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24226"/>
  <mc:AlternateContent xmlns:mc="http://schemas.openxmlformats.org/markup-compatibility/2006">
    <mc:Choice Requires="x15">
      <x15ac:absPath xmlns:x15ac="http://schemas.microsoft.com/office/spreadsheetml/2010/11/ac" url="C:\Users\reynald.perez\Desktop\"/>
    </mc:Choice>
  </mc:AlternateContent>
  <bookViews>
    <workbookView xWindow="0" yWindow="0" windowWidth="28800" windowHeight="12210" activeTab="5"/>
  </bookViews>
  <sheets>
    <sheet name="Project Summary" sheetId="10" r:id="rId1"/>
    <sheet name="Test Summary" sheetId="5" r:id="rId2"/>
    <sheet name="Traceability  Matrix" sheetId="8" r:id="rId3"/>
    <sheet name="Scripts and Execution" sheetId="2" r:id="rId4"/>
    <sheet name="Defect Log" sheetId="11" r:id="rId5"/>
    <sheet name="QA References" sheetId="9" r:id="rId6"/>
  </sheets>
  <definedNames>
    <definedName name="_xlnm._FilterDatabase" localSheetId="3" hidden="1">'Scripts and Execution'!$A$9:$B$9</definedName>
    <definedName name="_xlnm._FilterDatabase" localSheetId="2" hidden="1">'Traceability  Matrix'!$B$9:$N$385</definedName>
  </definedNames>
  <calcPr calcId="162913"/>
</workbook>
</file>

<file path=xl/calcChain.xml><?xml version="1.0" encoding="utf-8"?>
<calcChain xmlns="http://schemas.openxmlformats.org/spreadsheetml/2006/main">
  <c r="C14" i="11" l="1"/>
  <c r="C15" i="11"/>
  <c r="C16" i="11"/>
  <c r="B17" i="11"/>
  <c r="C17" i="11"/>
  <c r="D17" i="11"/>
  <c r="E175" i="5"/>
  <c r="D175" i="5"/>
  <c r="E131" i="5"/>
  <c r="E130" i="5"/>
  <c r="F130" i="5"/>
  <c r="E128" i="5"/>
  <c r="F128" i="5"/>
  <c r="D128" i="5"/>
  <c r="E35" i="5"/>
  <c r="F35" i="5"/>
  <c r="D35" i="5"/>
  <c r="E81" i="5"/>
  <c r="F81" i="5"/>
  <c r="D81" i="5"/>
  <c r="G38" i="5"/>
  <c r="H38" i="5"/>
  <c r="E37" i="5"/>
  <c r="F37" i="5"/>
  <c r="G37" i="5"/>
  <c r="H37" i="5"/>
  <c r="E38" i="5"/>
  <c r="F38" i="5"/>
  <c r="D44" i="5"/>
  <c r="F18" i="8"/>
  <c r="F17" i="8"/>
  <c r="F16" i="8"/>
  <c r="R219" i="5"/>
  <c r="U217" i="5"/>
  <c r="U216" i="5"/>
  <c r="T217" i="5"/>
  <c r="S217" i="5"/>
  <c r="R216" i="5"/>
  <c r="T216" i="5"/>
  <c r="S216" i="5"/>
  <c r="U219" i="5"/>
  <c r="R217" i="5"/>
  <c r="S218" i="5"/>
  <c r="S219" i="5"/>
  <c r="T219" i="5"/>
  <c r="T218" i="5"/>
  <c r="U218" i="5"/>
  <c r="R218" i="5"/>
  <c r="R220" i="5" l="1"/>
  <c r="F20" i="8"/>
  <c r="F21" i="8"/>
  <c r="F22" i="8"/>
  <c r="F23" i="8"/>
  <c r="A10" i="2"/>
  <c r="E14" i="8"/>
  <c r="B13" i="2"/>
  <c r="B12" i="2"/>
  <c r="B11" i="2"/>
  <c r="B10" i="2"/>
  <c r="F15" i="8"/>
  <c r="L14" i="8"/>
  <c r="C13" i="11"/>
  <c r="V217" i="5" l="1"/>
  <c r="V218" i="5"/>
  <c r="V219" i="5"/>
  <c r="V216" i="5"/>
  <c r="T220" i="5"/>
  <c r="U220" i="5"/>
  <c r="S220" i="5"/>
  <c r="F189" i="5"/>
  <c r="F188" i="5"/>
  <c r="F187" i="5"/>
  <c r="F186" i="5"/>
  <c r="F185" i="5"/>
  <c r="F184" i="5"/>
  <c r="F183" i="5"/>
  <c r="E189" i="5"/>
  <c r="E188" i="5"/>
  <c r="E187" i="5"/>
  <c r="E186" i="5"/>
  <c r="E185" i="5"/>
  <c r="E184" i="5"/>
  <c r="E183" i="5"/>
  <c r="D189" i="5"/>
  <c r="D188" i="5"/>
  <c r="D187" i="5"/>
  <c r="D186" i="5"/>
  <c r="D185" i="5"/>
  <c r="D184" i="5"/>
  <c r="D183" i="5"/>
  <c r="F142" i="5"/>
  <c r="F141" i="5"/>
  <c r="F140" i="5"/>
  <c r="F139" i="5"/>
  <c r="F138" i="5"/>
  <c r="F137" i="5"/>
  <c r="F136" i="5"/>
  <c r="E142" i="5"/>
  <c r="E141" i="5"/>
  <c r="E140" i="5"/>
  <c r="E139" i="5"/>
  <c r="E138" i="5"/>
  <c r="E137" i="5"/>
  <c r="E136" i="5"/>
  <c r="F95" i="5"/>
  <c r="F94" i="5"/>
  <c r="F93" i="5"/>
  <c r="F92" i="5"/>
  <c r="F91" i="5"/>
  <c r="F90" i="5"/>
  <c r="F89" i="5"/>
  <c r="E95" i="5"/>
  <c r="E94" i="5"/>
  <c r="E93" i="5"/>
  <c r="E92" i="5"/>
  <c r="E91" i="5"/>
  <c r="E90" i="5"/>
  <c r="E89" i="5"/>
  <c r="E225" i="5"/>
  <c r="D218" i="5"/>
  <c r="D220" i="5"/>
  <c r="C225" i="5"/>
  <c r="E220" i="5"/>
  <c r="C218" i="5"/>
  <c r="F217" i="5"/>
  <c r="E218" i="5"/>
  <c r="E216" i="5"/>
  <c r="F223" i="5"/>
  <c r="F225" i="5"/>
  <c r="D219" i="5"/>
  <c r="F216" i="5"/>
  <c r="D222" i="5"/>
  <c r="C224" i="5"/>
  <c r="E224" i="5"/>
  <c r="C217" i="5"/>
  <c r="E217" i="5"/>
  <c r="F218" i="5"/>
  <c r="F219" i="5"/>
  <c r="C222" i="5"/>
  <c r="C219" i="5"/>
  <c r="D217" i="5"/>
  <c r="E223" i="5"/>
  <c r="C223" i="5"/>
  <c r="C216" i="5"/>
  <c r="D224" i="5"/>
  <c r="C221" i="5"/>
  <c r="F222" i="5"/>
  <c r="F221" i="5"/>
  <c r="F224" i="5"/>
  <c r="D225" i="5"/>
  <c r="F220" i="5"/>
  <c r="E221" i="5"/>
  <c r="D223" i="5"/>
  <c r="D221" i="5"/>
  <c r="D216" i="5"/>
  <c r="E219" i="5"/>
  <c r="C220" i="5"/>
  <c r="E222" i="5"/>
  <c r="V220" i="5" l="1"/>
  <c r="G219" i="5"/>
  <c r="G224" i="5"/>
  <c r="G225" i="5"/>
  <c r="G217" i="5"/>
  <c r="G223" i="5"/>
  <c r="G221" i="5"/>
  <c r="G218" i="5"/>
  <c r="G220" i="5"/>
  <c r="G222" i="5"/>
  <c r="G216" i="5"/>
  <c r="D226" i="5"/>
  <c r="E226" i="5"/>
  <c r="F226" i="5"/>
  <c r="C226" i="5"/>
  <c r="F135" i="5"/>
  <c r="E135" i="5"/>
  <c r="F182" i="5"/>
  <c r="E182" i="5"/>
  <c r="D182" i="5"/>
  <c r="I84" i="5"/>
  <c r="H83" i="5"/>
  <c r="I83" i="5"/>
  <c r="H84" i="5"/>
  <c r="E83" i="5"/>
  <c r="F83" i="5"/>
  <c r="G83" i="5"/>
  <c r="D83" i="5"/>
  <c r="E84" i="5"/>
  <c r="F84" i="5"/>
  <c r="G84" i="5"/>
  <c r="D84" i="5"/>
  <c r="G226" i="5" l="1"/>
  <c r="E178" i="5"/>
  <c r="D178" i="5"/>
  <c r="E177" i="5"/>
  <c r="D177" i="5"/>
  <c r="E16" i="2" l="1"/>
  <c r="E17" i="2"/>
  <c r="E18" i="2"/>
  <c r="C16" i="2"/>
  <c r="C17" i="2"/>
  <c r="C18" i="2"/>
  <c r="O509" i="8"/>
  <c r="N509" i="8"/>
  <c r="M509" i="8"/>
  <c r="L509" i="8"/>
  <c r="K509" i="8"/>
  <c r="O504" i="8"/>
  <c r="N504" i="8"/>
  <c r="M504" i="8"/>
  <c r="L504" i="8"/>
  <c r="K504" i="8"/>
  <c r="F502" i="8"/>
  <c r="F501" i="8"/>
  <c r="F500" i="8"/>
  <c r="F499" i="8"/>
  <c r="O498" i="8"/>
  <c r="N498" i="8"/>
  <c r="M498" i="8"/>
  <c r="L498" i="8"/>
  <c r="K498" i="8"/>
  <c r="F497" i="8"/>
  <c r="F496" i="8"/>
  <c r="F495" i="8"/>
  <c r="F494" i="8"/>
  <c r="O493" i="8"/>
  <c r="N493" i="8"/>
  <c r="M493" i="8"/>
  <c r="L493" i="8"/>
  <c r="L491" i="8" s="1"/>
  <c r="K493" i="8"/>
  <c r="K491" i="8" s="1"/>
  <c r="K466" i="8"/>
  <c r="K464" i="8" s="1"/>
  <c r="L466" i="8"/>
  <c r="M466" i="8"/>
  <c r="N466" i="8"/>
  <c r="O466" i="8"/>
  <c r="F467" i="8"/>
  <c r="F468" i="8"/>
  <c r="F469" i="8"/>
  <c r="F470" i="8"/>
  <c r="K471" i="8"/>
  <c r="L471" i="8"/>
  <c r="M471" i="8"/>
  <c r="N471" i="8"/>
  <c r="O471" i="8"/>
  <c r="F472" i="8"/>
  <c r="F473" i="8"/>
  <c r="F474" i="8"/>
  <c r="F475" i="8"/>
  <c r="K477" i="8"/>
  <c r="L477" i="8"/>
  <c r="M477" i="8"/>
  <c r="N477" i="8"/>
  <c r="O477" i="8"/>
  <c r="K482" i="8"/>
  <c r="L482" i="8"/>
  <c r="M482" i="8"/>
  <c r="N482" i="8"/>
  <c r="O482" i="8"/>
  <c r="K440" i="8"/>
  <c r="L440" i="8"/>
  <c r="M440" i="8"/>
  <c r="N440" i="8"/>
  <c r="O440" i="8"/>
  <c r="F441" i="8"/>
  <c r="F442" i="8"/>
  <c r="F443" i="8"/>
  <c r="F444" i="8"/>
  <c r="K445" i="8"/>
  <c r="L445" i="8"/>
  <c r="M445" i="8"/>
  <c r="N445" i="8"/>
  <c r="O445" i="8"/>
  <c r="F446" i="8"/>
  <c r="F447" i="8"/>
  <c r="F448" i="8"/>
  <c r="F449" i="8"/>
  <c r="K451" i="8"/>
  <c r="L451" i="8"/>
  <c r="M451" i="8"/>
  <c r="N451" i="8"/>
  <c r="O451" i="8"/>
  <c r="K456" i="8"/>
  <c r="L456" i="8"/>
  <c r="M456" i="8"/>
  <c r="N456" i="8"/>
  <c r="O456" i="8"/>
  <c r="K414" i="8"/>
  <c r="K412" i="8" s="1"/>
  <c r="L414" i="8"/>
  <c r="M414" i="8"/>
  <c r="N414" i="8"/>
  <c r="O414" i="8"/>
  <c r="F415" i="8"/>
  <c r="F416" i="8"/>
  <c r="F417" i="8"/>
  <c r="F418" i="8"/>
  <c r="K419" i="8"/>
  <c r="L419" i="8"/>
  <c r="M419" i="8"/>
  <c r="N419" i="8"/>
  <c r="O419" i="8"/>
  <c r="F420" i="8"/>
  <c r="F421" i="8"/>
  <c r="F422" i="8"/>
  <c r="F423" i="8"/>
  <c r="K425" i="8"/>
  <c r="L425" i="8"/>
  <c r="M425" i="8"/>
  <c r="N425" i="8"/>
  <c r="O425" i="8"/>
  <c r="K430" i="8"/>
  <c r="L430" i="8"/>
  <c r="M430" i="8"/>
  <c r="N430" i="8"/>
  <c r="O430" i="8"/>
  <c r="K388" i="8"/>
  <c r="K386" i="8" s="1"/>
  <c r="L388" i="8"/>
  <c r="M388" i="8"/>
  <c r="N388" i="8"/>
  <c r="O388" i="8"/>
  <c r="O386" i="8" s="1"/>
  <c r="F389" i="8"/>
  <c r="F390" i="8"/>
  <c r="F391" i="8"/>
  <c r="F392" i="8"/>
  <c r="K393" i="8"/>
  <c r="L393" i="8"/>
  <c r="M393" i="8"/>
  <c r="N393" i="8"/>
  <c r="O393" i="8"/>
  <c r="F394" i="8"/>
  <c r="F395" i="8"/>
  <c r="F396" i="8"/>
  <c r="F397" i="8"/>
  <c r="K399" i="8"/>
  <c r="L399" i="8"/>
  <c r="M399" i="8"/>
  <c r="N399" i="8"/>
  <c r="O399" i="8"/>
  <c r="K404" i="8"/>
  <c r="L404" i="8"/>
  <c r="M404" i="8"/>
  <c r="N404" i="8"/>
  <c r="O404" i="8"/>
  <c r="O352" i="8"/>
  <c r="N352" i="8"/>
  <c r="M352" i="8"/>
  <c r="L352" i="8"/>
  <c r="K352" i="8"/>
  <c r="O378" i="8"/>
  <c r="N378" i="8"/>
  <c r="M378" i="8"/>
  <c r="L378" i="8"/>
  <c r="K378" i="8"/>
  <c r="O373" i="8"/>
  <c r="N373" i="8"/>
  <c r="M373" i="8"/>
  <c r="L373" i="8"/>
  <c r="K373" i="8"/>
  <c r="O367" i="8"/>
  <c r="N367" i="8"/>
  <c r="M367" i="8"/>
  <c r="L367" i="8"/>
  <c r="K367" i="8"/>
  <c r="O362" i="8"/>
  <c r="N362" i="8"/>
  <c r="M362" i="8"/>
  <c r="L362" i="8"/>
  <c r="K362" i="8"/>
  <c r="O346" i="8"/>
  <c r="N346" i="8"/>
  <c r="M346" i="8"/>
  <c r="L346" i="8"/>
  <c r="K346" i="8"/>
  <c r="O341" i="8"/>
  <c r="N341" i="8"/>
  <c r="M341" i="8"/>
  <c r="L341" i="8"/>
  <c r="K341" i="8"/>
  <c r="O331" i="8"/>
  <c r="N331" i="8"/>
  <c r="M331" i="8"/>
  <c r="L331" i="8"/>
  <c r="K331" i="8"/>
  <c r="O326" i="8"/>
  <c r="N326" i="8"/>
  <c r="M326" i="8"/>
  <c r="L326" i="8"/>
  <c r="K326" i="8"/>
  <c r="O320" i="8"/>
  <c r="N320" i="8"/>
  <c r="M320" i="8"/>
  <c r="L320" i="8"/>
  <c r="K320" i="8"/>
  <c r="O315" i="8"/>
  <c r="N315" i="8"/>
  <c r="M315" i="8"/>
  <c r="L315" i="8"/>
  <c r="K315" i="8"/>
  <c r="O305" i="8"/>
  <c r="N305" i="8"/>
  <c r="M305" i="8"/>
  <c r="L305" i="8"/>
  <c r="K305" i="8"/>
  <c r="O300" i="8"/>
  <c r="N300" i="8"/>
  <c r="M300" i="8"/>
  <c r="L300" i="8"/>
  <c r="K300" i="8"/>
  <c r="O294" i="8"/>
  <c r="N294" i="8"/>
  <c r="M294" i="8"/>
  <c r="L294" i="8"/>
  <c r="K294" i="8"/>
  <c r="O289" i="8"/>
  <c r="N289" i="8"/>
  <c r="M289" i="8"/>
  <c r="L289" i="8"/>
  <c r="K289" i="8"/>
  <c r="O279" i="8"/>
  <c r="N279" i="8"/>
  <c r="M279" i="8"/>
  <c r="L279" i="8"/>
  <c r="K279" i="8"/>
  <c r="O274" i="8"/>
  <c r="N274" i="8"/>
  <c r="M274" i="8"/>
  <c r="L274" i="8"/>
  <c r="K274" i="8"/>
  <c r="O268" i="8"/>
  <c r="N268" i="8"/>
  <c r="M268" i="8"/>
  <c r="L268" i="8"/>
  <c r="K268" i="8"/>
  <c r="O263" i="8"/>
  <c r="N263" i="8"/>
  <c r="M263" i="8"/>
  <c r="L263" i="8"/>
  <c r="K263" i="8"/>
  <c r="O253" i="8"/>
  <c r="N253" i="8"/>
  <c r="M253" i="8"/>
  <c r="L253" i="8"/>
  <c r="K253" i="8"/>
  <c r="O248" i="8"/>
  <c r="N248" i="8"/>
  <c r="M248" i="8"/>
  <c r="L248" i="8"/>
  <c r="K248" i="8"/>
  <c r="O242" i="8"/>
  <c r="N242" i="8"/>
  <c r="M242" i="8"/>
  <c r="L242" i="8"/>
  <c r="K242" i="8"/>
  <c r="O237" i="8"/>
  <c r="N237" i="8"/>
  <c r="M237" i="8"/>
  <c r="L237" i="8"/>
  <c r="K237" i="8"/>
  <c r="O227" i="8"/>
  <c r="N227" i="8"/>
  <c r="M227" i="8"/>
  <c r="L227" i="8"/>
  <c r="K227" i="8"/>
  <c r="O222" i="8"/>
  <c r="N222" i="8"/>
  <c r="M222" i="8"/>
  <c r="L222" i="8"/>
  <c r="K222" i="8"/>
  <c r="O216" i="8"/>
  <c r="N216" i="8"/>
  <c r="M216" i="8"/>
  <c r="L216" i="8"/>
  <c r="K216" i="8"/>
  <c r="O211" i="8"/>
  <c r="N211" i="8"/>
  <c r="M211" i="8"/>
  <c r="L211" i="8"/>
  <c r="K211" i="8"/>
  <c r="O201" i="8"/>
  <c r="N201" i="8"/>
  <c r="M201" i="8"/>
  <c r="L201" i="8"/>
  <c r="K201" i="8"/>
  <c r="O196" i="8"/>
  <c r="N196" i="8"/>
  <c r="M196" i="8"/>
  <c r="L196" i="8"/>
  <c r="K196" i="8"/>
  <c r="O190" i="8"/>
  <c r="N190" i="8"/>
  <c r="M190" i="8"/>
  <c r="L190" i="8"/>
  <c r="K190" i="8"/>
  <c r="O185" i="8"/>
  <c r="N185" i="8"/>
  <c r="M185" i="8"/>
  <c r="L185" i="8"/>
  <c r="K185" i="8"/>
  <c r="O175" i="8"/>
  <c r="N175" i="8"/>
  <c r="M175" i="8"/>
  <c r="L175" i="8"/>
  <c r="K175" i="8"/>
  <c r="O170" i="8"/>
  <c r="N170" i="8"/>
  <c r="M170" i="8"/>
  <c r="L170" i="8"/>
  <c r="K170" i="8"/>
  <c r="O164" i="8"/>
  <c r="N164" i="8"/>
  <c r="M164" i="8"/>
  <c r="L164" i="8"/>
  <c r="K164" i="8"/>
  <c r="O159" i="8"/>
  <c r="N159" i="8"/>
  <c r="M159" i="8"/>
  <c r="L159" i="8"/>
  <c r="K159" i="8"/>
  <c r="O149" i="8"/>
  <c r="N149" i="8"/>
  <c r="M149" i="8"/>
  <c r="L149" i="8"/>
  <c r="K149" i="8"/>
  <c r="O144" i="8"/>
  <c r="N144" i="8"/>
  <c r="M144" i="8"/>
  <c r="L144" i="8"/>
  <c r="K144" i="8"/>
  <c r="O138" i="8"/>
  <c r="N138" i="8"/>
  <c r="M138" i="8"/>
  <c r="L138" i="8"/>
  <c r="K138" i="8"/>
  <c r="O133" i="8"/>
  <c r="N133" i="8"/>
  <c r="M133" i="8"/>
  <c r="L133" i="8"/>
  <c r="K133" i="8"/>
  <c r="O123" i="8"/>
  <c r="N123" i="8"/>
  <c r="M123" i="8"/>
  <c r="L123" i="8"/>
  <c r="K123" i="8"/>
  <c r="O118" i="8"/>
  <c r="N118" i="8"/>
  <c r="M118" i="8"/>
  <c r="L118" i="8"/>
  <c r="K118" i="8"/>
  <c r="O112" i="8"/>
  <c r="N112" i="8"/>
  <c r="M112" i="8"/>
  <c r="L112" i="8"/>
  <c r="K112" i="8"/>
  <c r="O107" i="8"/>
  <c r="N107" i="8"/>
  <c r="M107" i="8"/>
  <c r="L107" i="8"/>
  <c r="K107" i="8"/>
  <c r="O97" i="8"/>
  <c r="N97" i="8"/>
  <c r="M97" i="8"/>
  <c r="L97" i="8"/>
  <c r="K97" i="8"/>
  <c r="O92" i="8"/>
  <c r="N92" i="8"/>
  <c r="M92" i="8"/>
  <c r="L92" i="8"/>
  <c r="K92" i="8"/>
  <c r="O86" i="8"/>
  <c r="N86" i="8"/>
  <c r="M86" i="8"/>
  <c r="L86" i="8"/>
  <c r="K86" i="8"/>
  <c r="O81" i="8"/>
  <c r="N81" i="8"/>
  <c r="M81" i="8"/>
  <c r="L81" i="8"/>
  <c r="K81" i="8"/>
  <c r="O71" i="8"/>
  <c r="N71" i="8"/>
  <c r="M71" i="8"/>
  <c r="L71" i="8"/>
  <c r="K71" i="8"/>
  <c r="O66" i="8"/>
  <c r="N66" i="8"/>
  <c r="M66" i="8"/>
  <c r="L66" i="8"/>
  <c r="K66" i="8"/>
  <c r="O60" i="8"/>
  <c r="N60" i="8"/>
  <c r="M60" i="8"/>
  <c r="L60" i="8"/>
  <c r="K60" i="8"/>
  <c r="O55" i="8"/>
  <c r="N55" i="8"/>
  <c r="M55" i="8"/>
  <c r="L55" i="8"/>
  <c r="K55" i="8"/>
  <c r="N464" i="8" l="1"/>
  <c r="M491" i="8"/>
  <c r="O491" i="8"/>
  <c r="N491" i="8"/>
  <c r="L464" i="8"/>
  <c r="O464" i="8"/>
  <c r="M464" i="8"/>
  <c r="N438" i="8"/>
  <c r="M438" i="8"/>
  <c r="L438" i="8"/>
  <c r="K438" i="8"/>
  <c r="O438" i="8"/>
  <c r="O412" i="8"/>
  <c r="N412" i="8"/>
  <c r="M412" i="8"/>
  <c r="L412" i="8"/>
  <c r="M386" i="8"/>
  <c r="L386" i="8"/>
  <c r="N386" i="8"/>
  <c r="O105" i="8"/>
  <c r="O157" i="8"/>
  <c r="O261" i="8"/>
  <c r="M360" i="8"/>
  <c r="M261" i="8"/>
  <c r="O360" i="8"/>
  <c r="O313" i="8"/>
  <c r="L261" i="8"/>
  <c r="N79" i="8"/>
  <c r="L105" i="8"/>
  <c r="N53" i="8"/>
  <c r="M131" i="8"/>
  <c r="N261" i="8"/>
  <c r="K360" i="8"/>
  <c r="L360" i="8"/>
  <c r="O79" i="8"/>
  <c r="M235" i="8"/>
  <c r="L53" i="8"/>
  <c r="N183" i="8"/>
  <c r="N235" i="8"/>
  <c r="O131" i="8"/>
  <c r="M157" i="8"/>
  <c r="M209" i="8"/>
  <c r="K261" i="8"/>
  <c r="L339" i="8"/>
  <c r="O339" i="8"/>
  <c r="M105" i="8"/>
  <c r="O183" i="8"/>
  <c r="K209" i="8"/>
  <c r="O235" i="8"/>
  <c r="M287" i="8"/>
  <c r="M339" i="8"/>
  <c r="K79" i="8"/>
  <c r="N105" i="8"/>
  <c r="K183" i="8"/>
  <c r="L209" i="8"/>
  <c r="O209" i="8"/>
  <c r="L183" i="8"/>
  <c r="L235" i="8"/>
  <c r="L131" i="8"/>
  <c r="M79" i="8"/>
  <c r="N157" i="8"/>
  <c r="N209" i="8"/>
  <c r="N287" i="8"/>
  <c r="N131" i="8"/>
  <c r="N339" i="8"/>
  <c r="N313" i="8"/>
  <c r="L313" i="8"/>
  <c r="M313" i="8"/>
  <c r="K287" i="8"/>
  <c r="K53" i="8"/>
  <c r="M53" i="8"/>
  <c r="O53" i="8"/>
  <c r="L79" i="8"/>
  <c r="K105" i="8"/>
  <c r="K131" i="8"/>
  <c r="K157" i="8"/>
  <c r="L157" i="8"/>
  <c r="M183" i="8"/>
  <c r="K235" i="8"/>
  <c r="L287" i="8"/>
  <c r="O287" i="8"/>
  <c r="K313" i="8"/>
  <c r="K339" i="8"/>
  <c r="N360" i="8"/>
  <c r="O45" i="8"/>
  <c r="N45" i="8"/>
  <c r="M45" i="8"/>
  <c r="L45" i="8"/>
  <c r="K45" i="8"/>
  <c r="O40" i="8"/>
  <c r="N40" i="8"/>
  <c r="M40" i="8"/>
  <c r="L40" i="8"/>
  <c r="K40" i="8"/>
  <c r="O34" i="8"/>
  <c r="N34" i="8"/>
  <c r="M34" i="8"/>
  <c r="L34" i="8"/>
  <c r="K34" i="8"/>
  <c r="O29" i="8"/>
  <c r="N29" i="8"/>
  <c r="M29" i="8"/>
  <c r="L29" i="8"/>
  <c r="K29" i="8"/>
  <c r="K27" i="8" l="1"/>
  <c r="M27" i="8"/>
  <c r="L27" i="8"/>
  <c r="N27" i="8"/>
  <c r="O27" i="8"/>
  <c r="D142" i="5"/>
  <c r="D141" i="5"/>
  <c r="D140" i="5"/>
  <c r="D139" i="5"/>
  <c r="D138" i="5"/>
  <c r="D137" i="5"/>
  <c r="D136" i="5"/>
  <c r="D131" i="5"/>
  <c r="D130" i="5"/>
  <c r="D135" i="5" l="1"/>
  <c r="D42" i="5" l="1"/>
  <c r="D46" i="5"/>
  <c r="D45" i="5"/>
  <c r="D43" i="5"/>
  <c r="D95" i="5"/>
  <c r="D94" i="5"/>
  <c r="D93" i="5"/>
  <c r="D92" i="5"/>
  <c r="D91" i="5"/>
  <c r="D90" i="5"/>
  <c r="D89" i="5"/>
  <c r="D37" i="5"/>
  <c r="D38" i="5"/>
  <c r="B36" i="10"/>
  <c r="B35" i="10"/>
  <c r="B29" i="10"/>
  <c r="B30" i="10"/>
  <c r="B28" i="10"/>
  <c r="B27" i="10"/>
  <c r="B33" i="10"/>
  <c r="B32" i="10"/>
  <c r="B16" i="10"/>
  <c r="B20" i="10"/>
  <c r="B18" i="10"/>
  <c r="B19" i="10"/>
  <c r="B21" i="10"/>
  <c r="B22" i="10"/>
  <c r="B23" i="10"/>
  <c r="B24" i="10"/>
  <c r="B17" i="10"/>
  <c r="B15" i="10"/>
  <c r="B9" i="10"/>
  <c r="B10" i="10"/>
  <c r="B11" i="10"/>
  <c r="B12" i="10"/>
  <c r="B13" i="10"/>
  <c r="B8" i="10"/>
  <c r="B5" i="10"/>
  <c r="B6" i="10"/>
  <c r="B4" i="10"/>
  <c r="B2" i="10" l="1"/>
  <c r="K14" i="8"/>
  <c r="C10" i="2"/>
  <c r="B13" i="11" s="1"/>
  <c r="O19" i="8"/>
  <c r="M19" i="8"/>
  <c r="N14" i="8"/>
  <c r="N12" i="8" s="1"/>
  <c r="O14" i="8"/>
  <c r="M14" i="8"/>
  <c r="M7" i="8" l="1"/>
  <c r="E88" i="5"/>
  <c r="O12" i="8"/>
  <c r="P6" i="8" s="1"/>
  <c r="M12" i="8"/>
  <c r="M5" i="8" s="1"/>
  <c r="L19" i="8"/>
  <c r="L12" i="8" s="1"/>
  <c r="G6" i="8" s="1"/>
  <c r="E15" i="2"/>
  <c r="C15" i="2"/>
  <c r="A15" i="2"/>
  <c r="P7" i="8" l="1"/>
  <c r="F88" i="5"/>
  <c r="M6" i="8"/>
  <c r="D5" i="8" l="1"/>
  <c r="C39" i="5" s="1"/>
  <c r="K19" i="8" l="1"/>
  <c r="K12" i="8" s="1"/>
  <c r="D6" i="8" s="1"/>
  <c r="D88" i="5" l="1"/>
  <c r="D41" i="5"/>
  <c r="C82" i="5" l="1"/>
  <c r="C85" i="5"/>
  <c r="G5" i="8"/>
  <c r="J5" i="8"/>
  <c r="G7" i="8" l="1"/>
  <c r="D7" i="8"/>
  <c r="F134" i="8"/>
  <c r="F135" i="8"/>
  <c r="F136" i="8"/>
  <c r="F137" i="8"/>
  <c r="F139" i="8"/>
  <c r="F140" i="8"/>
  <c r="F141" i="8"/>
  <c r="F142" i="8"/>
  <c r="F160" i="8"/>
  <c r="F161" i="8"/>
  <c r="F162" i="8"/>
  <c r="F163" i="8"/>
  <c r="F165" i="8"/>
  <c r="F166" i="8"/>
  <c r="F167" i="8"/>
  <c r="F168" i="8"/>
  <c r="F186" i="8"/>
  <c r="F187" i="8"/>
  <c r="F188" i="8"/>
  <c r="F189" i="8"/>
  <c r="F191" i="8"/>
  <c r="F192" i="8"/>
  <c r="F193" i="8"/>
  <c r="F194" i="8"/>
  <c r="F212" i="8"/>
  <c r="F213" i="8"/>
  <c r="F214" i="8"/>
  <c r="F215" i="8"/>
  <c r="F217" i="8"/>
  <c r="F218" i="8"/>
  <c r="F219" i="8"/>
  <c r="F220" i="8"/>
  <c r="F238" i="8"/>
  <c r="F239" i="8"/>
  <c r="F240" i="8"/>
  <c r="F241" i="8"/>
  <c r="F243" i="8"/>
  <c r="F244" i="8"/>
  <c r="F245" i="8"/>
  <c r="F246" i="8"/>
  <c r="F264" i="8"/>
  <c r="F265" i="8"/>
  <c r="F266" i="8"/>
  <c r="F267" i="8"/>
  <c r="F269" i="8"/>
  <c r="F270" i="8"/>
  <c r="F271" i="8"/>
  <c r="F272" i="8"/>
  <c r="F290" i="8"/>
  <c r="F291" i="8"/>
  <c r="F292" i="8"/>
  <c r="F293" i="8"/>
  <c r="F295" i="8"/>
  <c r="F296" i="8"/>
  <c r="F297" i="8"/>
  <c r="F298" i="8"/>
  <c r="F316" i="8"/>
  <c r="F317" i="8"/>
  <c r="F318" i="8"/>
  <c r="F319" i="8"/>
  <c r="F321" i="8"/>
  <c r="F322" i="8"/>
  <c r="F323" i="8"/>
  <c r="F324" i="8"/>
  <c r="F342" i="8"/>
  <c r="F343" i="8"/>
  <c r="F344" i="8"/>
  <c r="F345" i="8"/>
  <c r="F347" i="8"/>
  <c r="F348" i="8"/>
  <c r="F349" i="8"/>
  <c r="F350" i="8"/>
  <c r="F363" i="8"/>
  <c r="F364" i="8"/>
  <c r="F365" i="8"/>
  <c r="F366" i="8"/>
  <c r="F368" i="8"/>
  <c r="F369" i="8"/>
  <c r="F370" i="8"/>
  <c r="F371" i="8"/>
  <c r="C11" i="2"/>
  <c r="B14" i="11" s="1"/>
  <c r="C12" i="2"/>
  <c r="B15" i="11" s="1"/>
  <c r="C13" i="2"/>
  <c r="B16" i="11" s="1"/>
  <c r="E10" i="2"/>
  <c r="D13" i="11" s="1"/>
  <c r="E13" i="2"/>
  <c r="D16" i="11" s="1"/>
  <c r="E11" i="2"/>
  <c r="D14" i="11" s="1"/>
  <c r="E12" i="2"/>
  <c r="D15" i="11" s="1"/>
  <c r="F116" i="8"/>
  <c r="F115" i="8"/>
  <c r="F114" i="8"/>
  <c r="F113" i="8"/>
  <c r="F111" i="8"/>
  <c r="F110" i="8"/>
  <c r="F109" i="8"/>
  <c r="F108" i="8"/>
  <c r="F90" i="8"/>
  <c r="F89" i="8"/>
  <c r="F88" i="8"/>
  <c r="F87" i="8"/>
  <c r="F85" i="8"/>
  <c r="F84" i="8"/>
  <c r="F83" i="8"/>
  <c r="F82" i="8"/>
  <c r="F64" i="8"/>
  <c r="F63" i="8"/>
  <c r="F62" i="8"/>
  <c r="F61" i="8"/>
  <c r="F59" i="8"/>
  <c r="F58" i="8"/>
  <c r="F57" i="8"/>
  <c r="F56" i="8"/>
  <c r="F38" i="8"/>
  <c r="F37" i="8"/>
  <c r="F36" i="8"/>
  <c r="F35" i="8"/>
  <c r="F33" i="8"/>
  <c r="F32" i="8"/>
  <c r="F31" i="8"/>
  <c r="B18" i="2"/>
  <c r="B17" i="2"/>
  <c r="B16" i="2"/>
  <c r="F30" i="8"/>
  <c r="B15" i="2" l="1"/>
  <c r="J6" i="8" l="1"/>
  <c r="P5" i="8" s="1"/>
  <c r="J7" i="8" l="1"/>
</calcChain>
</file>

<file path=xl/comments1.xml><?xml version="1.0" encoding="utf-8"?>
<comments xmlns="http://schemas.openxmlformats.org/spreadsheetml/2006/main">
  <authors>
    <author>Reynald Perez</author>
  </authors>
  <commentList>
    <comment ref="C36" authorId="0" shapeId="0">
      <text>
        <r>
          <rPr>
            <b/>
            <sz val="9"/>
            <color indexed="81"/>
            <rFont val="Tahoma"/>
            <family val="2"/>
          </rPr>
          <t>Reynald Perez:</t>
        </r>
        <r>
          <rPr>
            <sz val="9"/>
            <color indexed="81"/>
            <rFont val="Tahoma"/>
            <family val="2"/>
          </rPr>
          <t xml:space="preserve">
Daily Test Case Design Target = Total Test Case Design / Days of Test Scripting
</t>
        </r>
      </text>
    </comment>
    <comment ref="C39" authorId="0" shapeId="0">
      <text>
        <r>
          <rPr>
            <b/>
            <sz val="9"/>
            <color indexed="81"/>
            <rFont val="Tahoma"/>
            <family val="2"/>
          </rPr>
          <t>Reynald Perez:</t>
        </r>
        <r>
          <rPr>
            <sz val="9"/>
            <color indexed="81"/>
            <rFont val="Tahoma"/>
            <family val="2"/>
          </rPr>
          <t xml:space="preserve">
Total Issue/Ticket </t>
        </r>
      </text>
    </comment>
    <comment ref="C82" authorId="0" shapeId="0">
      <text>
        <r>
          <rPr>
            <b/>
            <sz val="9"/>
            <color indexed="81"/>
            <rFont val="Tahoma"/>
            <family val="2"/>
          </rPr>
          <t>Reynald Perez:</t>
        </r>
        <r>
          <rPr>
            <sz val="9"/>
            <color indexed="81"/>
            <rFont val="Tahoma"/>
            <family val="2"/>
          </rPr>
          <t xml:space="preserve">
Daily Test Case Test Execution Target = Total Approved Test Case Design / Days of Test Execution</t>
        </r>
      </text>
    </comment>
    <comment ref="C85" authorId="0" shapeId="0">
      <text>
        <r>
          <rPr>
            <b/>
            <sz val="9"/>
            <color indexed="81"/>
            <rFont val="Tahoma"/>
            <family val="2"/>
          </rPr>
          <t>Reynald Perez:</t>
        </r>
        <r>
          <rPr>
            <sz val="9"/>
            <color indexed="81"/>
            <rFont val="Tahoma"/>
            <family val="2"/>
          </rPr>
          <t xml:space="preserve">
Total Approved Test Case </t>
        </r>
      </text>
    </comment>
    <comment ref="C129" authorId="0" shapeId="0">
      <text>
        <r>
          <rPr>
            <b/>
            <sz val="9"/>
            <color indexed="81"/>
            <rFont val="Tahoma"/>
            <family val="2"/>
          </rPr>
          <t>Reynald Perez:</t>
        </r>
        <r>
          <rPr>
            <sz val="9"/>
            <color indexed="81"/>
            <rFont val="Tahoma"/>
            <family val="2"/>
          </rPr>
          <t xml:space="preserve">
Daily Test Case Test Execution Target = Total Approved Test Case Design / Days of Test Execution</t>
        </r>
      </text>
    </comment>
    <comment ref="C132" authorId="0" shapeId="0">
      <text>
        <r>
          <rPr>
            <b/>
            <sz val="9"/>
            <color indexed="81"/>
            <rFont val="Tahoma"/>
            <family val="2"/>
          </rPr>
          <t>Reynald Perez:</t>
        </r>
        <r>
          <rPr>
            <sz val="9"/>
            <color indexed="81"/>
            <rFont val="Tahoma"/>
            <family val="2"/>
          </rPr>
          <t xml:space="preserve">
Total Test Case for Test Execution</t>
        </r>
      </text>
    </comment>
    <comment ref="C176" authorId="0" shapeId="0">
      <text>
        <r>
          <rPr>
            <b/>
            <sz val="9"/>
            <color indexed="81"/>
            <rFont val="Tahoma"/>
            <family val="2"/>
          </rPr>
          <t>Reynald Perez:</t>
        </r>
        <r>
          <rPr>
            <sz val="9"/>
            <color indexed="81"/>
            <rFont val="Tahoma"/>
            <family val="2"/>
          </rPr>
          <t xml:space="preserve">
Daily Test Case Test Execution Target = Total Approved Test Case Design / Days of Test Execution</t>
        </r>
      </text>
    </comment>
    <comment ref="C179" authorId="0" shapeId="0">
      <text>
        <r>
          <rPr>
            <b/>
            <sz val="9"/>
            <color indexed="81"/>
            <rFont val="Tahoma"/>
            <family val="2"/>
          </rPr>
          <t>Reynald Perez:</t>
        </r>
        <r>
          <rPr>
            <sz val="9"/>
            <color indexed="81"/>
            <rFont val="Tahoma"/>
            <family val="2"/>
          </rPr>
          <t xml:space="preserve">
Total Test Case for Test Execution</t>
        </r>
      </text>
    </comment>
  </commentList>
</comments>
</file>

<file path=xl/sharedStrings.xml><?xml version="1.0" encoding="utf-8"?>
<sst xmlns="http://schemas.openxmlformats.org/spreadsheetml/2006/main" count="1331" uniqueCount="301">
  <si>
    <t>Expected Result</t>
  </si>
  <si>
    <t>Status</t>
  </si>
  <si>
    <t>Date/Time</t>
  </si>
  <si>
    <t xml:space="preserve">  </t>
  </si>
  <si>
    <t>TRACEABILITY MATRIX</t>
  </si>
  <si>
    <r>
      <t xml:space="preserve">Requirement Traceability Matrix </t>
    </r>
    <r>
      <rPr>
        <sz val="14"/>
        <rFont val="Calibri"/>
        <family val="2"/>
        <scheme val="minor"/>
      </rPr>
      <t>captures all requirements proposed by the client or development team and their traceability in a single document delivered at the conclusion of the life-cycle.</t>
    </r>
  </si>
  <si>
    <t>Feature 1.1</t>
  </si>
  <si>
    <t>Feature 1.2</t>
  </si>
  <si>
    <t xml:space="preserve">Requirement ID </t>
  </si>
  <si>
    <t>Requirements Summary</t>
  </si>
  <si>
    <t>ZDHC_Req#001</t>
  </si>
  <si>
    <t>User selects a subscription plan from the "Plans" page in the Registration steps and purchases through Invoice- Check.</t>
  </si>
  <si>
    <t xml:space="preserve"> https://firstcarbon.atlassian.net/browse/ZDHC-556</t>
  </si>
  <si>
    <t>A copy of the receipt should be added to the order log in both Account Admin view and Bureau view, replacing the original Invoice.</t>
  </si>
  <si>
    <t xml:space="preserve"> User selects items from Add-on's and proceeds to check out through Invoice- Check.</t>
  </si>
  <si>
    <t xml:space="preserve">Test Case Review </t>
  </si>
  <si>
    <t xml:space="preserve">Test Case Design </t>
  </si>
  <si>
    <t>Test Execution</t>
  </si>
  <si>
    <t>System Test</t>
  </si>
  <si>
    <t>Test Scripting</t>
  </si>
  <si>
    <t xml:space="preserve">Test Execution </t>
  </si>
  <si>
    <t>ZDHC_Req#00n</t>
  </si>
  <si>
    <t>n</t>
  </si>
  <si>
    <t>n.1</t>
  </si>
  <si>
    <t>n.1.1</t>
  </si>
  <si>
    <t>Issue / Ticket</t>
  </si>
  <si>
    <t xml:space="preserve">Feature </t>
  </si>
  <si>
    <t>n.2</t>
  </si>
  <si>
    <t>n.2.1</t>
  </si>
  <si>
    <t>n.2.2</t>
  </si>
  <si>
    <t>n.2.1.1</t>
  </si>
  <si>
    <t>n.2.1.2</t>
  </si>
  <si>
    <t>n.2.1.3</t>
  </si>
  <si>
    <t>n.2.1.4</t>
  </si>
  <si>
    <t>Use Cae 1 / Function 1</t>
  </si>
  <si>
    <t>Use Cae 2 / Function 2</t>
  </si>
  <si>
    <t>Use Cae 2.1 / Function 2.1</t>
  </si>
  <si>
    <t>Use Cae 2.2/ Function 2.2</t>
  </si>
  <si>
    <t> </t>
  </si>
  <si>
    <t>1.2.1</t>
  </si>
  <si>
    <t xml:space="preserve">Test Scenario ID </t>
  </si>
  <si>
    <t>Test Scenario Description</t>
  </si>
  <si>
    <t xml:space="preserve">Test Steps </t>
  </si>
  <si>
    <r>
      <rPr>
        <b/>
        <sz val="11"/>
        <color theme="1" tint="0.249977111117893"/>
        <rFont val="Calibri"/>
        <family val="2"/>
        <scheme val="minor"/>
      </rPr>
      <t>Pre-Condition:</t>
    </r>
    <r>
      <rPr>
        <sz val="11"/>
        <color theme="1" tint="0.249977111117893"/>
        <rFont val="Calibri"/>
        <family val="2"/>
        <scheme val="minor"/>
      </rPr>
      <t xml:space="preserve">
</t>
    </r>
    <r>
      <rPr>
        <i/>
        <sz val="11"/>
        <color theme="1" tint="0.249977111117893"/>
        <rFont val="Calibri"/>
        <family val="2"/>
        <scheme val="minor"/>
      </rPr>
      <t>- Pre-condition 1
- Pre-condition 2</t>
    </r>
    <r>
      <rPr>
        <sz val="11"/>
        <color theme="1" tint="0.249977111117893"/>
        <rFont val="Calibri"/>
        <family val="2"/>
        <scheme val="minor"/>
      </rPr>
      <t xml:space="preserve">
1. </t>
    </r>
    <r>
      <rPr>
        <i/>
        <sz val="11"/>
        <color theme="1" tint="0.249977111117893"/>
        <rFont val="Calibri"/>
        <family val="2"/>
        <scheme val="minor"/>
      </rPr>
      <t>Step 1</t>
    </r>
    <r>
      <rPr>
        <sz val="11"/>
        <color theme="1" tint="0.249977111117893"/>
        <rFont val="Calibri"/>
        <family val="2"/>
        <scheme val="minor"/>
      </rPr>
      <t xml:space="preserve">
2.</t>
    </r>
    <r>
      <rPr>
        <i/>
        <sz val="11"/>
        <color theme="1" tint="0.249977111117893"/>
        <rFont val="Calibri"/>
        <family val="2"/>
        <scheme val="minor"/>
      </rPr>
      <t xml:space="preserve"> Step 2</t>
    </r>
    <r>
      <rPr>
        <sz val="11"/>
        <color theme="1" tint="0.249977111117893"/>
        <rFont val="Calibri"/>
        <family val="2"/>
        <scheme val="minor"/>
      </rPr>
      <t xml:space="preserve">
3.</t>
    </r>
    <r>
      <rPr>
        <i/>
        <sz val="11"/>
        <color theme="1" tint="0.249977111117893"/>
        <rFont val="Calibri"/>
        <family val="2"/>
        <scheme val="minor"/>
      </rPr>
      <t xml:space="preserve"> Step 3</t>
    </r>
  </si>
  <si>
    <t>Regression Test</t>
  </si>
  <si>
    <t>QA REFERENCES</t>
  </si>
  <si>
    <t>SOFTWARE TESTING LIFE CYCLE (STLC)</t>
  </si>
  <si>
    <t>Requirements/ Design Review</t>
  </si>
  <si>
    <t xml:space="preserve"> Discuss, review, and prioritize sytem requirements and design.</t>
  </si>
  <si>
    <t>Test Planning</t>
  </si>
  <si>
    <t>The approach in conducting the testing, it includes Test Plan,Test Strategy, Test Estimation, Test Resources and Test Schedule.</t>
  </si>
  <si>
    <t>Test Design</t>
  </si>
  <si>
    <t>Test Environment Setup</t>
  </si>
  <si>
    <t>The proper enviroment is determined, prepared and configured for testing purposes.</t>
  </si>
  <si>
    <t>Test Reports</t>
  </si>
  <si>
    <t>Act of executing the Test Cases and Test Scripts in the agreed test environmnet and record all results.</t>
  </si>
  <si>
    <t>The actual records of results during Test Execution phase.</t>
  </si>
  <si>
    <t xml:space="preserve">A deatiled documentation that includes Requirements Traceability Matrix,  Test Scenarions, Test Condition, </t>
  </si>
  <si>
    <t xml:space="preserve">Test Test Cases, Test Scripts, and Test Data used as tool in executing the test. </t>
  </si>
  <si>
    <t>Cycle 1</t>
  </si>
  <si>
    <t>Cycle 2</t>
  </si>
  <si>
    <t>N</t>
  </si>
  <si>
    <t xml:space="preserve">Test Scenario 1.1 </t>
  </si>
  <si>
    <t>Test Scenario 1.2</t>
  </si>
  <si>
    <t>Test Scenario 2.1</t>
  </si>
  <si>
    <t>Test Scenario 2.2</t>
  </si>
  <si>
    <t>Test Case 1.1.1</t>
  </si>
  <si>
    <t>Test Case 1.1.2</t>
  </si>
  <si>
    <t>Test Case 1</t>
  </si>
  <si>
    <t>Test Case 2</t>
  </si>
  <si>
    <t>Test Case 3</t>
  </si>
  <si>
    <t>Test Case 4</t>
  </si>
  <si>
    <t xml:space="preserve">Test Case 1.1.2  </t>
  </si>
  <si>
    <t xml:space="preserve">Test Case 2.1.1  </t>
  </si>
  <si>
    <t xml:space="preserve">Test Case 2.1.2 </t>
  </si>
  <si>
    <t>Test Case 2.2.1</t>
  </si>
  <si>
    <t xml:space="preserve">Test Case 2.2.2  </t>
  </si>
  <si>
    <t xml:space="preserve">Example: </t>
  </si>
  <si>
    <t>User is enable to Invoice- Check Payment.</t>
  </si>
  <si>
    <r>
      <t xml:space="preserve">                                                                                                                                                                                                                                                                                                                                               </t>
    </r>
    <r>
      <rPr>
        <sz val="11"/>
        <color theme="5"/>
        <rFont val="Calibri"/>
        <family val="2"/>
        <scheme val="minor"/>
      </rPr>
      <t xml:space="preserve">  The company wants to have product information that can be seen in the systen.</t>
    </r>
  </si>
  <si>
    <r>
      <rPr>
        <b/>
        <sz val="11"/>
        <color theme="1"/>
        <rFont val="Calibri"/>
        <family val="2"/>
        <scheme val="minor"/>
      </rPr>
      <t xml:space="preserve">                                                                                                                                                                                                                                                                                                                                                 TS2: </t>
    </r>
    <r>
      <rPr>
        <i/>
        <sz val="11"/>
        <color theme="5"/>
        <rFont val="Calibri"/>
        <family val="2"/>
        <scheme val="minor"/>
      </rPr>
      <t>Validate that a product is deleted on the product module.</t>
    </r>
  </si>
  <si>
    <r>
      <rPr>
        <b/>
        <sz val="11"/>
        <color theme="1"/>
        <rFont val="Calibri"/>
        <family val="2"/>
        <scheme val="minor"/>
      </rPr>
      <t xml:space="preserve">                                                                                                                                                                                                                                                                                                                                                 TS1: </t>
    </r>
    <r>
      <rPr>
        <i/>
        <sz val="11"/>
        <color theme="5"/>
        <rFont val="Calibri"/>
        <family val="2"/>
        <scheme val="minor"/>
      </rPr>
      <t>Validate that a new product is added on the product module.</t>
    </r>
  </si>
  <si>
    <r>
      <rPr>
        <b/>
        <sz val="11"/>
        <color theme="1"/>
        <rFont val="Calibri"/>
        <family val="2"/>
        <scheme val="minor"/>
      </rPr>
      <t xml:space="preserve">                                                                                                                                                                                                                                                                                                                                                 TS3: </t>
    </r>
    <r>
      <rPr>
        <i/>
        <sz val="11"/>
        <color theme="5"/>
        <rFont val="Calibri"/>
        <family val="2"/>
        <scheme val="minor"/>
      </rPr>
      <t>Validate that a product is updated on the product module.</t>
    </r>
  </si>
  <si>
    <r>
      <rPr>
        <b/>
        <sz val="11"/>
        <color theme="1"/>
        <rFont val="Calibri"/>
        <family val="2"/>
        <scheme val="minor"/>
      </rPr>
      <t xml:space="preserve">                                                                                                                                                                                                                                                                                                                                                 TC1:</t>
    </r>
    <r>
      <rPr>
        <b/>
        <sz val="11"/>
        <color theme="5"/>
        <rFont val="Calibri"/>
        <family val="2"/>
        <scheme val="minor"/>
      </rPr>
      <t xml:space="preserve"> </t>
    </r>
    <r>
      <rPr>
        <i/>
        <sz val="11"/>
        <color theme="5"/>
        <rFont val="Calibri"/>
        <family val="2"/>
        <scheme val="minor"/>
      </rPr>
      <t xml:space="preserve">Enter a </t>
    </r>
    <r>
      <rPr>
        <i/>
        <sz val="11"/>
        <color rgb="FF00B050"/>
        <rFont val="Calibri"/>
        <family val="2"/>
        <scheme val="minor"/>
      </rPr>
      <t>valid</t>
    </r>
    <r>
      <rPr>
        <i/>
        <sz val="11"/>
        <color theme="5"/>
        <rFont val="Calibri"/>
        <family val="2"/>
        <scheme val="minor"/>
      </rPr>
      <t xml:space="preserve"> product name  and </t>
    </r>
    <r>
      <rPr>
        <i/>
        <sz val="11"/>
        <color rgb="FF00B050"/>
        <rFont val="Calibri"/>
        <family val="2"/>
        <scheme val="minor"/>
      </rPr>
      <t>numeric</t>
    </r>
    <r>
      <rPr>
        <i/>
        <sz val="11"/>
        <color theme="5"/>
        <rFont val="Calibri"/>
        <family val="2"/>
        <scheme val="minor"/>
      </rPr>
      <t xml:space="preserve"> product price using </t>
    </r>
    <r>
      <rPr>
        <i/>
        <sz val="11"/>
        <color rgb="FF00B050"/>
        <rFont val="Calibri"/>
        <family val="2"/>
        <scheme val="minor"/>
      </rPr>
      <t>Admin account</t>
    </r>
    <r>
      <rPr>
        <i/>
        <sz val="11"/>
        <color theme="5"/>
        <rFont val="Calibri"/>
        <family val="2"/>
        <scheme val="minor"/>
      </rPr>
      <t xml:space="preserve"> and check the addition of product.</t>
    </r>
  </si>
  <si>
    <r>
      <rPr>
        <b/>
        <sz val="11"/>
        <color theme="1"/>
        <rFont val="Calibri"/>
        <family val="2"/>
        <scheme val="minor"/>
      </rPr>
      <t xml:space="preserve">                                                                                                                                                                                                                                                                                                                                                 TC2:</t>
    </r>
    <r>
      <rPr>
        <i/>
        <sz val="11"/>
        <color theme="1"/>
        <rFont val="Calibri"/>
        <family val="2"/>
        <scheme val="minor"/>
      </rPr>
      <t xml:space="preserve"> Select an </t>
    </r>
    <r>
      <rPr>
        <i/>
        <sz val="11"/>
        <color rgb="FF00B050"/>
        <rFont val="Calibri"/>
        <family val="2"/>
        <scheme val="minor"/>
      </rPr>
      <t>inactive</t>
    </r>
    <r>
      <rPr>
        <i/>
        <sz val="11"/>
        <color theme="1"/>
        <rFont val="Calibri"/>
        <family val="2"/>
        <scheme val="minor"/>
      </rPr>
      <t xml:space="preserve"> product using </t>
    </r>
    <r>
      <rPr>
        <i/>
        <sz val="11"/>
        <color rgb="FF00B050"/>
        <rFont val="Calibri"/>
        <family val="2"/>
        <scheme val="minor"/>
      </rPr>
      <t>Bureau account</t>
    </r>
    <r>
      <rPr>
        <i/>
        <sz val="11"/>
        <color theme="1"/>
        <rFont val="Calibri"/>
        <family val="2"/>
        <scheme val="minor"/>
      </rPr>
      <t>,  click delete button and check if the product is removed.</t>
    </r>
  </si>
  <si>
    <r>
      <rPr>
        <b/>
        <sz val="11"/>
        <color theme="1"/>
        <rFont val="Calibri"/>
        <family val="2"/>
        <scheme val="minor"/>
      </rPr>
      <t xml:space="preserve">                                                                                                                                                                                                                                                                                                                                                  TC3: </t>
    </r>
    <r>
      <rPr>
        <i/>
        <sz val="11"/>
        <color theme="5" tint="-0.249977111117893"/>
        <rFont val="Calibri"/>
        <family val="2"/>
        <scheme val="minor"/>
      </rPr>
      <t xml:space="preserve">Enter a </t>
    </r>
    <r>
      <rPr>
        <i/>
        <sz val="11"/>
        <color rgb="FF00B050"/>
        <rFont val="Calibri"/>
        <family val="2"/>
        <scheme val="minor"/>
      </rPr>
      <t>blank</t>
    </r>
    <r>
      <rPr>
        <i/>
        <sz val="11"/>
        <color theme="5" tint="-0.249977111117893"/>
        <rFont val="Calibri"/>
        <family val="2"/>
        <scheme val="minor"/>
      </rPr>
      <t xml:space="preserve"> product detail and check if the product is updated.</t>
    </r>
  </si>
  <si>
    <t xml:space="preserve">                                                                                                                                                                                                                                                                                                                                                 The system wil enable the user to add, delete, update and display a product in Product Menu page.</t>
  </si>
  <si>
    <t>Passed</t>
  </si>
  <si>
    <t>TEST EXECUTION</t>
  </si>
  <si>
    <t>TEST CASE DESIGN</t>
  </si>
  <si>
    <t>Scripting</t>
  </si>
  <si>
    <t xml:space="preserve"> </t>
  </si>
  <si>
    <t>Cycle3</t>
  </si>
  <si>
    <t>DEFECT MANAGEMENT</t>
  </si>
  <si>
    <t>REQUIREMENTS TRACEABILITY MATRIX</t>
  </si>
  <si>
    <t xml:space="preserve">Account Type </t>
  </si>
  <si>
    <t xml:space="preserve">Browser </t>
  </si>
  <si>
    <t>Bureau</t>
  </si>
  <si>
    <t>DEFEERED: A valid defect that decided to be fixed on the upcoming releases.</t>
  </si>
  <si>
    <t>OPEN: Development Lead / Development Team investigates the NEW defect and found to be valid.</t>
  </si>
  <si>
    <t>DROPPED: Development Lead / Development Team investigates the NEW defect and found to be invalid.</t>
  </si>
  <si>
    <t>NEW: Tester finds a defect and tage it as NEW. The defect is still subject for investigation and approval.</t>
  </si>
  <si>
    <t>ASSIGN: Development Lead assigns the NEW defect to a member of the team to fix the defect.</t>
  </si>
  <si>
    <t>FIXED: Development Team implemented a fix on the defect and assigns it back to the Testing Team.</t>
  </si>
  <si>
    <t>RETEST: Development Lead / Development Team tag the resolved defect to "Retest" sinifying it is ready for testing once again.</t>
  </si>
  <si>
    <t>REOPENED: The Tester finds the defect is re-occurring, and returns the defect to the assigned Developer.</t>
  </si>
  <si>
    <t>VERIFIED: The Tester finds the defect is indeed fixed, and no more  outstanding issue.</t>
  </si>
  <si>
    <t xml:space="preserve">CLOSED: On final stage of Defect Life Cycle, the defect is tag as "Closed". </t>
  </si>
  <si>
    <t xml:space="preserve">Account Type  </t>
  </si>
  <si>
    <t xml:space="preserve">Browser  </t>
  </si>
  <si>
    <t xml:space="preserve">Status  </t>
  </si>
  <si>
    <t xml:space="preserve">     SYTEM TEST</t>
  </si>
  <si>
    <t xml:space="preserve">       REGRESSION TEST</t>
  </si>
  <si>
    <t xml:space="preserve">       SMOKE TEST</t>
  </si>
  <si>
    <t xml:space="preserve">                                                                                                                                        TEST EXECUTION</t>
  </si>
  <si>
    <t>TEST SCRIPTING</t>
  </si>
  <si>
    <t xml:space="preserve">TEST CASE DESIGN </t>
  </si>
  <si>
    <t>--</t>
  </si>
  <si>
    <t>Ongoing</t>
  </si>
  <si>
    <t>REVIEW</t>
  </si>
  <si>
    <t>QA READY</t>
  </si>
  <si>
    <t xml:space="preserve">Yes </t>
  </si>
  <si>
    <t>No</t>
  </si>
  <si>
    <t>Out-of-scope</t>
  </si>
  <si>
    <t>Review Pending</t>
  </si>
  <si>
    <t>For Update</t>
  </si>
  <si>
    <t>Admin</t>
  </si>
  <si>
    <t>Finance</t>
  </si>
  <si>
    <t>Super Admin</t>
  </si>
  <si>
    <t>Reviewer</t>
  </si>
  <si>
    <t>Responder</t>
  </si>
  <si>
    <t>Viewer</t>
  </si>
  <si>
    <t>User</t>
  </si>
  <si>
    <t>Manager</t>
  </si>
  <si>
    <t>Monitor</t>
  </si>
  <si>
    <t>APPLICATION ROLES</t>
  </si>
  <si>
    <t>S</t>
  </si>
  <si>
    <t>ROLES AND STATUSES</t>
  </si>
  <si>
    <t>--AIP--</t>
  </si>
  <si>
    <t>--CDP--</t>
  </si>
  <si>
    <t>--CleanChain--</t>
  </si>
  <si>
    <t>--MetricsTrack--</t>
  </si>
  <si>
    <t>--ZDHC Gateway--</t>
  </si>
  <si>
    <t>Browsers</t>
  </si>
  <si>
    <t>Safari</t>
  </si>
  <si>
    <t>Test Excution Status</t>
  </si>
  <si>
    <t>Not started</t>
  </si>
  <si>
    <t>Blocked</t>
  </si>
  <si>
    <t>Failed</t>
  </si>
  <si>
    <t>Deferred</t>
  </si>
  <si>
    <t>Completed</t>
  </si>
  <si>
    <t>N/A</t>
  </si>
  <si>
    <t>Google Chrome</t>
  </si>
  <si>
    <t>Mozilla Firefox</t>
  </si>
  <si>
    <t>Internet Explorer</t>
  </si>
  <si>
    <r>
      <t xml:space="preserve">Upon receipt of the Check, ADEC finance will approve the payment.
- </t>
    </r>
    <r>
      <rPr>
        <i/>
        <sz val="11"/>
        <color rgb="FF333333"/>
        <rFont val="Arial"/>
        <family val="2"/>
      </rPr>
      <t>Additional detail</t>
    </r>
    <r>
      <rPr>
        <sz val="11"/>
        <color rgb="FF333333"/>
        <rFont val="Arial"/>
        <family val="2"/>
      </rPr>
      <t xml:space="preserve">
- </t>
    </r>
    <r>
      <rPr>
        <i/>
        <sz val="11"/>
        <color rgb="FF333333"/>
        <rFont val="Arial"/>
        <family val="2"/>
      </rPr>
      <t>Additional detail</t>
    </r>
  </si>
  <si>
    <t>Smoke Test</t>
  </si>
  <si>
    <t>Test Case Review</t>
  </si>
  <si>
    <t xml:space="preserve">Completed </t>
  </si>
  <si>
    <t xml:space="preserve"> Remaining</t>
  </si>
  <si>
    <t xml:space="preserve"> A copy of the Invoice is sent to ZDHC Gateway – Added to the order log in both Account Admin view and Bureau view.</t>
  </si>
  <si>
    <t>An email and in-app notification will be sent to the Account Admin(s).</t>
  </si>
  <si>
    <t xml:space="preserve">Date/Time  </t>
  </si>
  <si>
    <t>Date/Time  2</t>
  </si>
  <si>
    <t xml:space="preserve">Feature ID </t>
  </si>
  <si>
    <t>Remaining</t>
  </si>
  <si>
    <t>% Actual Progress Accumulated</t>
  </si>
  <si>
    <t xml:space="preserve">Total  Ticket for Scripting  </t>
  </si>
  <si>
    <t>Day 0</t>
  </si>
  <si>
    <t xml:space="preserve">Ongoing </t>
  </si>
  <si>
    <t>% Work Complete</t>
  </si>
  <si>
    <t>Task Name</t>
  </si>
  <si>
    <t>Duration</t>
  </si>
  <si>
    <t>Resource Names</t>
  </si>
  <si>
    <t>Notes/Comments</t>
  </si>
  <si>
    <t>Deployed?</t>
  </si>
  <si>
    <t>Start Date</t>
  </si>
  <si>
    <t>End Date</t>
  </si>
  <si>
    <t xml:space="preserve">   Sprint Timeline</t>
  </si>
  <si>
    <t>Sprint Planning</t>
  </si>
  <si>
    <t xml:space="preserve">  Use Case Design</t>
  </si>
  <si>
    <t xml:space="preserve">  Sprint Backlog (Prioritization)</t>
  </si>
  <si>
    <t>Development</t>
  </si>
  <si>
    <t xml:space="preserve">  Coding</t>
  </si>
  <si>
    <t xml:space="preserve">  Unit Testing</t>
  </si>
  <si>
    <t xml:space="preserve">  Analysis and Estimates</t>
  </si>
  <si>
    <t xml:space="preserve">  Test Case Design</t>
  </si>
  <si>
    <t xml:space="preserve">  Test Case Review and update</t>
  </si>
  <si>
    <t xml:space="preserve">  Test Data Preparation</t>
  </si>
  <si>
    <t xml:space="preserve">  Dev Handoff to QA</t>
  </si>
  <si>
    <t xml:space="preserve">  QA Handoff to UAT</t>
  </si>
  <si>
    <t>UAT</t>
  </si>
  <si>
    <t xml:space="preserve">  UAT Testing (Verification)</t>
  </si>
  <si>
    <t xml:space="preserve">  Regression Test Execution</t>
  </si>
  <si>
    <t xml:space="preserve">  System Test Execution</t>
  </si>
  <si>
    <t xml:space="preserve">  Scrum Call</t>
  </si>
  <si>
    <t xml:space="preserve">  UAT Signoff to Demo</t>
  </si>
  <si>
    <t>SmokeTest</t>
  </si>
  <si>
    <t>Code Lockdown</t>
  </si>
  <si>
    <t>Deployment to Production</t>
  </si>
  <si>
    <t>Live</t>
  </si>
  <si>
    <t>Sprint Review / Restropect</t>
  </si>
  <si>
    <t xml:space="preserve">  Deployment to QA</t>
  </si>
  <si>
    <t xml:space="preserve">  Deployment to Demo</t>
  </si>
  <si>
    <t xml:space="preserve">  Smoke Test Execution</t>
  </si>
  <si>
    <t>TEST SUMMARY REPORT</t>
  </si>
  <si>
    <t xml:space="preserve">  Test Execution</t>
  </si>
  <si>
    <t>TBD</t>
  </si>
  <si>
    <t>Project Owner</t>
  </si>
  <si>
    <t>CM Team</t>
  </si>
  <si>
    <t>Configuration Management Team (Name)</t>
  </si>
  <si>
    <t>Dev Lead/Dev Team(Name)</t>
  </si>
  <si>
    <t>Dev Team(Name)</t>
  </si>
  <si>
    <t>QA Lead/QA Team(Name)</t>
  </si>
  <si>
    <t>QA Team(Name)</t>
  </si>
  <si>
    <t>Agile Team</t>
  </si>
  <si>
    <t xml:space="preserve">Ideal Test Scripting Progess </t>
  </si>
  <si>
    <t>TEST CASE DESIGN  STATUS</t>
  </si>
  <si>
    <t>TEST EXECUTION STATUS</t>
  </si>
  <si>
    <t xml:space="preserve">Total  Test Case for Test Execution  </t>
  </si>
  <si>
    <t xml:space="preserve">Ideal Test Execution Progess </t>
  </si>
  <si>
    <t>% Ideal Progress Accumulated</t>
  </si>
  <si>
    <t>SCRIPTS AND EXECUTION</t>
  </si>
  <si>
    <t>SYSTEM TEST</t>
  </si>
  <si>
    <t>DEFECT METRICS</t>
  </si>
  <si>
    <t>Show Stopper</t>
  </si>
  <si>
    <t>Major</t>
  </si>
  <si>
    <t>Minor</t>
  </si>
  <si>
    <t>Closed</t>
  </si>
  <si>
    <t>Fixed</t>
  </si>
  <si>
    <t>New</t>
  </si>
  <si>
    <t>Open</t>
  </si>
  <si>
    <t>DEFECT SEVERITY</t>
  </si>
  <si>
    <t>Low</t>
  </si>
  <si>
    <t>Medium</t>
  </si>
  <si>
    <t>High</t>
  </si>
  <si>
    <t>Critical</t>
  </si>
  <si>
    <t>DEFECT PRIORITY</t>
  </si>
  <si>
    <t>Production</t>
  </si>
  <si>
    <t>Show stopper</t>
  </si>
  <si>
    <t>REGRESSION TEST</t>
  </si>
  <si>
    <t>Defect ID</t>
  </si>
  <si>
    <t>SMOKE TEST</t>
  </si>
  <si>
    <t>Test Case Design</t>
  </si>
  <si>
    <t xml:space="preserve">Defect Summary </t>
  </si>
  <si>
    <t>DEFECT STATUS</t>
  </si>
  <si>
    <t>Assigned</t>
  </si>
  <si>
    <t>Reopened</t>
  </si>
  <si>
    <t>Retest</t>
  </si>
  <si>
    <t>Dropped</t>
  </si>
  <si>
    <t>Environment</t>
  </si>
  <si>
    <t>DevApp</t>
  </si>
  <si>
    <t>TestApp</t>
  </si>
  <si>
    <t>DemoApp</t>
  </si>
  <si>
    <t>TEST PHASE</t>
  </si>
  <si>
    <t>Sytem Test</t>
  </si>
  <si>
    <t>Integration Test</t>
  </si>
  <si>
    <t>Test Phase</t>
  </si>
  <si>
    <t xml:space="preserve">Benito, Froilan Cardosa </t>
  </si>
  <si>
    <t>Ali, Rey</t>
  </si>
  <si>
    <t xml:space="preserve">Usana, Jayson </t>
  </si>
  <si>
    <t>Santos, Marion Kyle</t>
  </si>
  <si>
    <t>Porteria, Nelie Anne</t>
  </si>
  <si>
    <t>Casi, Patricia Monique</t>
  </si>
  <si>
    <t>Gonzaga, Jas</t>
  </si>
  <si>
    <t>Ilagan, Gillian</t>
  </si>
  <si>
    <t>AGILE DEVELOPMENT TEAM</t>
  </si>
  <si>
    <t>DEVELOPERS</t>
  </si>
  <si>
    <t>David, Ramon</t>
  </si>
  <si>
    <t>DEFECT DETAILS</t>
  </si>
  <si>
    <t>Severity</t>
  </si>
  <si>
    <t>Priority</t>
  </si>
  <si>
    <t>Cycle</t>
  </si>
  <si>
    <t>Developer</t>
  </si>
  <si>
    <t>Test Cycle</t>
  </si>
  <si>
    <t>Cycle 3</t>
  </si>
  <si>
    <t>Maximum allowable</t>
  </si>
  <si>
    <t>Actual Result</t>
  </si>
  <si>
    <t xml:space="preserve">Pajanustan, Lovely </t>
  </si>
  <si>
    <t xml:space="preserve">Manalili, Aaron </t>
  </si>
  <si>
    <t xml:space="preserve">Marco, Clifford </t>
  </si>
  <si>
    <t>Ines, Macky</t>
  </si>
  <si>
    <t>Configuration</t>
  </si>
  <si>
    <t xml:space="preserve">Queddeng, Allan 'Yofie' </t>
  </si>
  <si>
    <t>Mercado, Von Altair</t>
  </si>
  <si>
    <t>-- AIP --</t>
  </si>
  <si>
    <t>-- CleanChain --</t>
  </si>
  <si>
    <t>-- CDP --</t>
  </si>
  <si>
    <t>-- Configuration Management --</t>
  </si>
  <si>
    <t>-- MetricsTrack --</t>
  </si>
  <si>
    <t>-- ZDHC Gateway --</t>
  </si>
  <si>
    <t>Defect Reccurency</t>
  </si>
  <si>
    <t>Review</t>
  </si>
  <si>
    <t>Verified</t>
  </si>
  <si>
    <t>&lt;app&gt;-defect#00n</t>
  </si>
  <si>
    <t>&lt;app&gt;-defect#001</t>
  </si>
  <si>
    <t>Actual Test Scripting  Progess (Remaining)</t>
  </si>
  <si>
    <t>&lt;app&gt;-defect#002</t>
  </si>
  <si>
    <t>&lt;app&gt;-defect#003</t>
  </si>
  <si>
    <t>&lt;app&gt;-defect#004</t>
  </si>
  <si>
    <t>DevApP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</si>
</sst>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m/d/yy\ h:mm\ AM/PM;@"/>
    <numFmt numFmtId="165" formatCode="0;;\-;@"/>
  </numFmts>
  <fonts count="98">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sz val="11"/>
      <color theme="1"/>
      <name val="Calibri"/>
      <family val="2"/>
      <scheme val="minor"/>
    </font>
    <font>
      <u/>
      <sz val="11"/>
      <color theme="10"/>
      <name val="Calibri"/>
      <family val="2"/>
    </font>
    <font>
      <u/>
      <sz val="8"/>
      <color theme="10"/>
      <name val="Euphemia"/>
      <family val="2"/>
    </font>
    <font>
      <b/>
      <i/>
      <sz val="11"/>
      <color rgb="FF7F7F7F"/>
      <name val="Calibri"/>
      <family val="2"/>
      <scheme val="minor"/>
    </font>
    <font>
      <sz val="14"/>
      <color theme="1"/>
      <name val="Calibri"/>
      <family val="2"/>
      <scheme val="minor"/>
    </font>
    <font>
      <sz val="11"/>
      <color rgb="FF9C5700"/>
      <name val="Calibri"/>
      <family val="2"/>
      <scheme val="minor"/>
    </font>
    <font>
      <b/>
      <sz val="11"/>
      <color theme="0"/>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i/>
      <sz val="11"/>
      <color theme="1"/>
      <name val="Calibri"/>
      <family val="2"/>
      <scheme val="minor"/>
    </font>
    <font>
      <b/>
      <sz val="11"/>
      <name val="Calibri"/>
      <family val="2"/>
      <scheme val="minor"/>
    </font>
    <font>
      <b/>
      <sz val="14"/>
      <color rgb="FF0070C0"/>
      <name val="Calibri"/>
      <family val="2"/>
      <scheme val="minor"/>
    </font>
    <font>
      <sz val="14"/>
      <name val="Calibri"/>
      <family val="2"/>
      <scheme val="minor"/>
    </font>
    <font>
      <sz val="11"/>
      <color theme="1" tint="0.249977111117893"/>
      <name val="Calibri"/>
      <family val="2"/>
      <scheme val="minor"/>
    </font>
    <font>
      <sz val="14"/>
      <color rgb="FF00B050"/>
      <name val="Calibri"/>
      <family val="2"/>
      <scheme val="minor"/>
    </font>
    <font>
      <sz val="11"/>
      <color rgb="FF00B050"/>
      <name val="Calibri"/>
      <family val="2"/>
      <scheme val="minor"/>
    </font>
    <font>
      <sz val="11"/>
      <color theme="7"/>
      <name val="Calibri"/>
      <family val="2"/>
      <scheme val="minor"/>
    </font>
    <font>
      <sz val="11"/>
      <color rgb="FF333333"/>
      <name val="Arial"/>
      <family val="2"/>
    </font>
    <font>
      <b/>
      <sz val="11"/>
      <color rgb="FFFF0000"/>
      <name val="Calibri"/>
      <family val="2"/>
      <scheme val="minor"/>
    </font>
    <font>
      <b/>
      <sz val="11"/>
      <color rgb="FF9C5700"/>
      <name val="Calibri"/>
      <family val="2"/>
      <scheme val="minor"/>
    </font>
    <font>
      <b/>
      <sz val="11"/>
      <color theme="1" tint="0.249977111117893"/>
      <name val="Calibri"/>
      <family val="2"/>
      <scheme val="minor"/>
    </font>
    <font>
      <sz val="14"/>
      <color rgb="FF222222"/>
      <name val="Calibri"/>
      <family val="2"/>
      <scheme val="minor"/>
    </font>
    <font>
      <i/>
      <sz val="11"/>
      <color theme="1" tint="0.249977111117893"/>
      <name val="Calibri"/>
      <family val="2"/>
      <scheme val="minor"/>
    </font>
    <font>
      <b/>
      <sz val="16"/>
      <color rgb="FFFFC000"/>
      <name val="Calibri"/>
      <family val="2"/>
      <scheme val="minor"/>
    </font>
    <font>
      <b/>
      <sz val="18"/>
      <color theme="3" tint="-0.499984740745262"/>
      <name val="Calibri"/>
      <family val="2"/>
      <scheme val="minor"/>
    </font>
    <font>
      <sz val="11"/>
      <color theme="3" tint="-0.499984740745262"/>
      <name val="Calibri"/>
      <family val="2"/>
      <scheme val="minor"/>
    </font>
    <font>
      <b/>
      <sz val="12"/>
      <color rgb="FF333333"/>
      <name val="Verdana"/>
      <family val="2"/>
    </font>
    <font>
      <sz val="11"/>
      <color theme="1" tint="0.249977111117893"/>
      <name val="Verdana"/>
      <family val="2"/>
    </font>
    <font>
      <i/>
      <sz val="11"/>
      <color theme="5"/>
      <name val="Calibri"/>
      <family val="2"/>
      <scheme val="minor"/>
    </font>
    <font>
      <sz val="11"/>
      <color theme="5"/>
      <name val="Calibri"/>
      <family val="2"/>
      <scheme val="minor"/>
    </font>
    <font>
      <b/>
      <sz val="11"/>
      <color theme="5"/>
      <name val="Calibri"/>
      <family val="2"/>
      <scheme val="minor"/>
    </font>
    <font>
      <sz val="11"/>
      <color theme="3"/>
      <name val="Calibri"/>
      <family val="2"/>
      <scheme val="minor"/>
    </font>
    <font>
      <i/>
      <sz val="11"/>
      <color rgb="FF00B050"/>
      <name val="Calibri"/>
      <family val="2"/>
      <scheme val="minor"/>
    </font>
    <font>
      <i/>
      <sz val="11"/>
      <color theme="5" tint="-0.249977111117893"/>
      <name val="Calibri"/>
      <family val="2"/>
      <scheme val="minor"/>
    </font>
    <font>
      <b/>
      <sz val="12"/>
      <color theme="0"/>
      <name val="Calibri"/>
      <family val="2"/>
      <scheme val="minor"/>
    </font>
    <font>
      <sz val="12"/>
      <color theme="0"/>
      <name val="Calibri"/>
      <family val="2"/>
      <scheme val="minor"/>
    </font>
    <font>
      <sz val="12"/>
      <color theme="6"/>
      <name val="Calibri"/>
      <family val="2"/>
      <scheme val="minor"/>
    </font>
    <font>
      <sz val="12"/>
      <color theme="9"/>
      <name val="Calibri"/>
      <family val="2"/>
      <scheme val="minor"/>
    </font>
    <font>
      <sz val="18"/>
      <color theme="0"/>
      <name val="Calibri"/>
      <family val="2"/>
      <scheme val="minor"/>
    </font>
    <font>
      <b/>
      <sz val="18"/>
      <color theme="0"/>
      <name val="Calibri"/>
      <family val="2"/>
      <scheme val="minor"/>
    </font>
    <font>
      <b/>
      <sz val="12"/>
      <color rgb="FF6B6B6B"/>
      <name val="Verdana"/>
      <family val="2"/>
    </font>
    <font>
      <b/>
      <sz val="18"/>
      <color rgb="FFFFFF00"/>
      <name val="Calibri"/>
      <family val="2"/>
      <scheme val="minor"/>
    </font>
    <font>
      <b/>
      <sz val="20"/>
      <color rgb="FF00FFFF"/>
      <name val="Calibri"/>
      <family val="2"/>
      <scheme val="minor"/>
    </font>
    <font>
      <i/>
      <sz val="11"/>
      <color rgb="FF333333"/>
      <name val="Arial"/>
      <family val="2"/>
    </font>
    <font>
      <b/>
      <sz val="12"/>
      <color rgb="FF9C5700"/>
      <name val="Calibri"/>
      <family val="2"/>
      <scheme val="minor"/>
    </font>
    <font>
      <b/>
      <sz val="16"/>
      <color theme="1" tint="0.249977111117893"/>
      <name val="Calibri"/>
      <family val="2"/>
      <scheme val="minor"/>
    </font>
    <font>
      <b/>
      <sz val="16"/>
      <color theme="3"/>
      <name val="Calibri"/>
      <family val="2"/>
      <scheme val="minor"/>
    </font>
    <font>
      <b/>
      <sz val="16"/>
      <color rgb="FFFF0000"/>
      <name val="Calibri"/>
      <family val="2"/>
      <scheme val="minor"/>
    </font>
    <font>
      <sz val="11"/>
      <color rgb="FF3F3F76"/>
      <name val="Calibri"/>
      <family val="2"/>
      <scheme val="minor"/>
    </font>
    <font>
      <b/>
      <sz val="16"/>
      <color theme="4"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10"/>
      <color indexed="9"/>
      <name val="Arial"/>
      <family val="2"/>
    </font>
    <font>
      <sz val="10"/>
      <color indexed="8"/>
      <name val="Calibri"/>
      <family val="2"/>
    </font>
    <font>
      <b/>
      <sz val="10"/>
      <color indexed="8"/>
      <name val="Calibri"/>
      <family val="2"/>
    </font>
    <font>
      <b/>
      <sz val="10"/>
      <color indexed="9"/>
      <name val="Calibri"/>
      <family val="2"/>
    </font>
    <font>
      <b/>
      <sz val="10"/>
      <color theme="0"/>
      <name val="Arial"/>
      <family val="2"/>
    </font>
    <font>
      <sz val="10"/>
      <color theme="1"/>
      <name val="Arial"/>
      <family val="2"/>
    </font>
    <font>
      <b/>
      <sz val="10"/>
      <color rgb="FF000000"/>
      <name val="Arial"/>
      <family val="2"/>
    </font>
    <font>
      <sz val="10"/>
      <color rgb="FF000000"/>
      <name val="Arial"/>
      <family val="2"/>
    </font>
    <font>
      <b/>
      <sz val="10"/>
      <color theme="1"/>
      <name val="Arial"/>
      <family val="2"/>
    </font>
    <font>
      <b/>
      <sz val="12"/>
      <color theme="1"/>
      <name val="Arial"/>
      <family val="2"/>
    </font>
    <font>
      <sz val="11"/>
      <color theme="0" tint="-0.499984740745262"/>
      <name val="Calibri"/>
      <family val="2"/>
      <scheme val="minor"/>
    </font>
    <font>
      <sz val="10"/>
      <color rgb="FF0070C0"/>
      <name val="Arial"/>
      <family val="2"/>
    </font>
    <font>
      <sz val="12"/>
      <color rgb="FF0070C0"/>
      <name val="Calibri"/>
      <family val="2"/>
      <scheme val="minor"/>
    </font>
    <font>
      <sz val="11"/>
      <color rgb="FF0070C0"/>
      <name val="Calibri"/>
      <family val="2"/>
      <scheme val="minor"/>
    </font>
    <font>
      <i/>
      <sz val="10"/>
      <color theme="0" tint="-0.499984740745262"/>
      <name val="Arial"/>
      <family val="2"/>
    </font>
    <font>
      <i/>
      <sz val="11"/>
      <color theme="0" tint="-0.499984740745262"/>
      <name val="Calibri"/>
      <family val="2"/>
      <scheme val="minor"/>
    </font>
    <font>
      <sz val="10"/>
      <color theme="0" tint="-0.499984740745262"/>
      <name val="Calibri"/>
      <family val="2"/>
    </font>
    <font>
      <b/>
      <sz val="10"/>
      <color theme="0" tint="-0.499984740745262"/>
      <name val="Calibri"/>
      <family val="2"/>
    </font>
    <font>
      <sz val="10"/>
      <color theme="0"/>
      <name val="Calibri"/>
      <family val="2"/>
    </font>
    <font>
      <sz val="9"/>
      <color indexed="81"/>
      <name val="Tahoma"/>
      <family val="2"/>
    </font>
    <font>
      <b/>
      <sz val="9"/>
      <color indexed="81"/>
      <name val="Tahoma"/>
      <family val="2"/>
    </font>
    <font>
      <b/>
      <sz val="20"/>
      <color theme="0"/>
      <name val="Calibri"/>
      <family val="2"/>
      <scheme val="minor"/>
    </font>
    <font>
      <b/>
      <sz val="10"/>
      <color rgb="FFFF0000"/>
      <name val="Calibri"/>
      <family val="2"/>
    </font>
    <font>
      <b/>
      <sz val="10"/>
      <color theme="0"/>
      <name val="Calibri"/>
      <family val="2"/>
    </font>
    <font>
      <sz val="8"/>
      <name val="Arial"/>
      <family val="2"/>
    </font>
    <font>
      <b/>
      <sz val="10"/>
      <color theme="1"/>
      <name val="Calibri"/>
      <family val="2"/>
      <scheme val="minor"/>
    </font>
    <font>
      <b/>
      <sz val="10"/>
      <color theme="0"/>
      <name val="Calibri"/>
      <family val="2"/>
      <scheme val="minor"/>
    </font>
    <font>
      <b/>
      <sz val="12"/>
      <color rgb="FFC00000"/>
      <name val="Calibri"/>
      <family val="2"/>
      <scheme val="minor"/>
    </font>
    <font>
      <b/>
      <sz val="11"/>
      <color rgb="FFC00000"/>
      <name val="Calibri"/>
      <family val="2"/>
      <scheme val="minor"/>
    </font>
    <font>
      <sz val="12"/>
      <color theme="9" tint="-0.499984740745262"/>
      <name val="Calibri"/>
      <family val="2"/>
      <scheme val="minor"/>
    </font>
    <font>
      <b/>
      <sz val="11"/>
      <color theme="1" tint="0.14999847407452621"/>
      <name val="Calibri"/>
      <family val="2"/>
      <scheme val="minor"/>
    </font>
    <font>
      <b/>
      <sz val="14"/>
      <color rgb="FF9C5700"/>
      <name val="Calibri"/>
      <family val="2"/>
      <scheme val="minor"/>
    </font>
    <font>
      <i/>
      <sz val="9"/>
      <color rgb="FF9C5700"/>
      <name val="Calibri"/>
      <family val="2"/>
      <scheme val="minor"/>
    </font>
    <font>
      <i/>
      <sz val="10"/>
      <color theme="1" tint="0.499984740745262"/>
      <name val="Arial"/>
      <family val="2"/>
    </font>
    <font>
      <sz val="8"/>
      <color theme="5" tint="-0.499984740745262"/>
      <name val="Arial"/>
      <family val="2"/>
    </font>
    <font>
      <b/>
      <sz val="12"/>
      <color theme="1" tint="4.9989318521683403E-2"/>
      <name val="Calibri"/>
      <family val="2"/>
      <scheme val="minor"/>
    </font>
    <font>
      <sz val="14"/>
      <color theme="5"/>
      <name val="Calibri"/>
      <family val="2"/>
      <scheme val="minor"/>
    </font>
    <font>
      <sz val="18"/>
      <color rgb="FFFF0000"/>
      <name val="Calibri"/>
      <family val="2"/>
      <scheme val="minor"/>
    </font>
    <font>
      <sz val="14"/>
      <color theme="5" tint="-0.249977111117893"/>
      <name val="Calibri"/>
      <family val="2"/>
      <scheme val="minor"/>
    </font>
    <font>
      <sz val="10"/>
      <name val="Arial"/>
      <family val="2"/>
    </font>
  </fonts>
  <fills count="53">
    <fill>
      <patternFill patternType="none"/>
    </fill>
    <fill>
      <patternFill patternType="gray125"/>
    </fill>
    <fill>
      <patternFill patternType="solid">
        <fgColor rgb="FFFFEB9C"/>
      </patternFill>
    </fill>
    <fill>
      <patternFill patternType="solid">
        <fgColor theme="4" tint="0.79998168889431442"/>
        <bgColor theme="4" tint="0.79998168889431442"/>
      </patternFill>
    </fill>
    <fill>
      <patternFill patternType="solid">
        <fgColor theme="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1" tint="0.14999847407452621"/>
        <bgColor indexed="64"/>
      </patternFill>
    </fill>
    <fill>
      <patternFill patternType="solid">
        <fgColor rgb="FF00B050"/>
        <bgColor indexed="64"/>
      </patternFill>
    </fill>
    <fill>
      <patternFill patternType="solid">
        <fgColor theme="8" tint="-0.249977111117893"/>
        <bgColor indexed="64"/>
      </patternFill>
    </fill>
    <fill>
      <patternFill patternType="solid">
        <fgColor rgb="FF92D050"/>
        <bgColor indexed="64"/>
      </patternFill>
    </fill>
    <fill>
      <patternFill patternType="solid">
        <fgColor rgb="FFFFC000"/>
        <bgColor indexed="64"/>
      </patternFill>
    </fill>
    <fill>
      <patternFill patternType="solid">
        <fgColor rgb="FF2BF5B6"/>
        <bgColor indexed="64"/>
      </patternFill>
    </fill>
    <fill>
      <patternFill patternType="solid">
        <fgColor theme="4" tint="-0.249977111117893"/>
        <bgColor theme="4"/>
      </patternFill>
    </fill>
    <fill>
      <patternFill patternType="solid">
        <fgColor rgb="FFFFFF99"/>
        <bgColor indexed="64"/>
      </patternFill>
    </fill>
    <fill>
      <patternFill patternType="solid">
        <fgColor rgb="FF0CC41E"/>
        <bgColor indexed="64"/>
      </patternFill>
    </fill>
    <fill>
      <patternFill patternType="solid">
        <fgColor rgb="FFE57B07"/>
        <bgColor indexed="64"/>
      </patternFill>
    </fill>
    <fill>
      <patternFill patternType="solid">
        <fgColor rgb="FFFF0000"/>
        <bgColor indexed="64"/>
      </patternFill>
    </fill>
    <fill>
      <patternFill patternType="solid">
        <fgColor theme="3" tint="-0.49998474074526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0"/>
        <bgColor theme="4" tint="0.79998168889431442"/>
      </patternFill>
    </fill>
    <fill>
      <patternFill patternType="solid">
        <fgColor theme="1" tint="0.14999847407452621"/>
        <bgColor theme="4" tint="0.79998168889431442"/>
      </patternFill>
    </fill>
    <fill>
      <patternFill patternType="solid">
        <fgColor rgb="FFFFCC99"/>
      </patternFill>
    </fill>
    <fill>
      <patternFill patternType="solid">
        <fgColor theme="1"/>
        <bgColor indexed="64"/>
      </patternFill>
    </fill>
    <fill>
      <patternFill patternType="solid">
        <fgColor theme="1" tint="0.249977111117893"/>
        <bgColor indexed="64"/>
      </patternFill>
    </fill>
    <fill>
      <patternFill patternType="solid">
        <fgColor theme="1"/>
        <bgColor indexed="49"/>
      </patternFill>
    </fill>
    <fill>
      <patternFill patternType="solid">
        <fgColor theme="1"/>
        <bgColor indexed="31"/>
      </patternFill>
    </fill>
    <fill>
      <patternFill patternType="solid">
        <fgColor theme="1"/>
        <bgColor indexed="22"/>
      </patternFill>
    </fill>
    <fill>
      <patternFill patternType="solid">
        <fgColor rgb="FFFFFFFF"/>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0"/>
        <bgColor indexed="49"/>
      </patternFill>
    </fill>
    <fill>
      <patternFill patternType="solid">
        <fgColor theme="0"/>
        <bgColor indexed="31"/>
      </patternFill>
    </fill>
    <fill>
      <patternFill patternType="solid">
        <fgColor theme="0"/>
        <bgColor indexed="22"/>
      </patternFill>
    </fill>
    <fill>
      <patternFill patternType="solid">
        <fgColor theme="1"/>
        <bgColor indexed="59"/>
      </patternFill>
    </fill>
    <fill>
      <patternFill patternType="solid">
        <fgColor rgb="FF0070C0"/>
        <bgColor indexed="49"/>
      </patternFill>
    </fill>
    <fill>
      <patternFill patternType="solid">
        <fgColor theme="5" tint="0.59999389629810485"/>
        <bgColor indexed="64"/>
      </patternFill>
    </fill>
    <fill>
      <patternFill patternType="solid">
        <fgColor theme="1" tint="0.14999847407452621"/>
        <bgColor indexed="49"/>
      </patternFill>
    </fill>
    <fill>
      <patternFill patternType="solid">
        <fgColor theme="1" tint="0.14999847407452621"/>
        <bgColor indexed="31"/>
      </patternFill>
    </fill>
    <fill>
      <patternFill patternType="solid">
        <fgColor theme="1" tint="0.14999847407452621"/>
        <bgColor indexed="22"/>
      </patternFill>
    </fill>
    <fill>
      <patternFill patternType="solid">
        <fgColor theme="1" tint="0.14999847407452621"/>
        <bgColor indexed="59"/>
      </patternFill>
    </fill>
    <fill>
      <patternFill patternType="solid">
        <fgColor rgb="FF002060"/>
        <bgColor indexed="64"/>
      </patternFill>
    </fill>
    <fill>
      <patternFill patternType="solid">
        <fgColor theme="9" tint="0.59999389629810485"/>
        <bgColor indexed="64"/>
      </patternFill>
    </fill>
    <fill>
      <patternFill patternType="solid">
        <fgColor theme="3" tint="0.39997558519241921"/>
        <bgColor indexed="31"/>
      </patternFill>
    </fill>
    <fill>
      <patternFill patternType="solid">
        <fgColor theme="3" tint="0.39997558519241921"/>
        <bgColor indexed="22"/>
      </patternFill>
    </fill>
    <fill>
      <patternFill patternType="solid">
        <fgColor rgb="FF00B0F0"/>
        <bgColor indexed="49"/>
      </patternFill>
    </fill>
    <fill>
      <patternFill patternType="solid">
        <fgColor theme="3" tint="0.59999389629810485"/>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rgb="FFC00000"/>
        <bgColor indexed="64"/>
      </patternFill>
    </fill>
  </fills>
  <borders count="141">
    <border>
      <left/>
      <right/>
      <top/>
      <bottom/>
      <diagonal/>
    </border>
    <border>
      <left/>
      <right/>
      <top/>
      <bottom style="thick">
        <color theme="4"/>
      </bottom>
      <diagonal/>
    </border>
    <border>
      <left style="thin">
        <color theme="9" tint="0.39994506668294322"/>
      </left>
      <right style="thin">
        <color theme="9" tint="0.39994506668294322"/>
      </right>
      <top style="thin">
        <color theme="9" tint="0.39994506668294322"/>
      </top>
      <bottom/>
      <diagonal/>
    </border>
    <border>
      <left style="dotted">
        <color theme="9" tint="0.39991454817346722"/>
      </left>
      <right style="dotted">
        <color theme="9" tint="0.39991454817346722"/>
      </right>
      <top style="dotted">
        <color theme="9" tint="0.39991454817346722"/>
      </top>
      <bottom style="dotted">
        <color theme="9" tint="0.39991454817346722"/>
      </bottom>
      <diagonal/>
    </border>
    <border>
      <left style="dotted">
        <color theme="9" tint="0.39991454817346722"/>
      </left>
      <right/>
      <top style="dotted">
        <color theme="9" tint="0.39991454817346722"/>
      </top>
      <bottom style="dotted">
        <color theme="9" tint="0.39991454817346722"/>
      </bottom>
      <diagonal/>
    </border>
    <border>
      <left style="dotted">
        <color theme="9" tint="0.39994506668294322"/>
      </left>
      <right style="dotted">
        <color theme="9" tint="0.39994506668294322"/>
      </right>
      <top style="dotted">
        <color theme="9" tint="0.39994506668294322"/>
      </top>
      <bottom style="dotted">
        <color theme="9" tint="0.39994506668294322"/>
      </bottom>
      <diagonal/>
    </border>
    <border>
      <left style="dotted">
        <color theme="9" tint="0.39988402966399123"/>
      </left>
      <right style="dotted">
        <color theme="9" tint="0.39988402966399123"/>
      </right>
      <top style="dotted">
        <color theme="9" tint="0.39988402966399123"/>
      </top>
      <bottom style="dotted">
        <color theme="9" tint="0.39988402966399123"/>
      </bottom>
      <diagonal/>
    </border>
    <border>
      <left style="dotted">
        <color theme="9" tint="0.39985351115451523"/>
      </left>
      <right style="dotted">
        <color theme="9" tint="0.39985351115451523"/>
      </right>
      <top style="dotted">
        <color theme="9" tint="0.39985351115451523"/>
      </top>
      <bottom style="dotted">
        <color theme="9" tint="0.39985351115451523"/>
      </bottom>
      <diagonal/>
    </border>
    <border>
      <left style="dotted">
        <color theme="9" tint="0.39988402966399123"/>
      </left>
      <right style="dotted">
        <color theme="9" tint="0.39988402966399123"/>
      </right>
      <top style="dotted">
        <color theme="9" tint="0.39988402966399123"/>
      </top>
      <bottom/>
      <diagonal/>
    </border>
    <border>
      <left style="dotted">
        <color theme="9" tint="0.39982299264503923"/>
      </left>
      <right style="dotted">
        <color theme="9" tint="0.39982299264503923"/>
      </right>
      <top style="dotted">
        <color theme="9" tint="0.39982299264503923"/>
      </top>
      <bottom style="dotted">
        <color theme="9" tint="0.39982299264503923"/>
      </bottom>
      <diagonal/>
    </border>
    <border>
      <left style="dotted">
        <color theme="9" tint="0.39991454817346722"/>
      </left>
      <right/>
      <top style="dotted">
        <color theme="9" tint="0.39991454817346722"/>
      </top>
      <bottom style="dotted">
        <color theme="9" tint="0.39988402966399123"/>
      </bottom>
      <diagonal/>
    </border>
    <border>
      <left/>
      <right/>
      <top style="dotted">
        <color theme="9" tint="0.39991454817346722"/>
      </top>
      <bottom style="dotted">
        <color theme="9" tint="0.39988402966399123"/>
      </bottom>
      <diagonal/>
    </border>
    <border>
      <left/>
      <right style="dotted">
        <color theme="9" tint="0.39991454817346722"/>
      </right>
      <top style="dotted">
        <color theme="9" tint="0.39991454817346722"/>
      </top>
      <bottom style="dotted">
        <color theme="9" tint="0.39988402966399123"/>
      </bottom>
      <diagonal/>
    </border>
    <border>
      <left style="dotted">
        <color theme="9" tint="0.39994506668294322"/>
      </left>
      <right/>
      <top style="dotted">
        <color theme="9" tint="0.39994506668294322"/>
      </top>
      <bottom style="dotted">
        <color theme="9" tint="0.39991454817346722"/>
      </bottom>
      <diagonal/>
    </border>
    <border>
      <left/>
      <right/>
      <top style="dotted">
        <color theme="9" tint="0.39994506668294322"/>
      </top>
      <bottom style="dotted">
        <color theme="9" tint="0.39991454817346722"/>
      </bottom>
      <diagonal/>
    </border>
    <border>
      <left/>
      <right style="dotted">
        <color theme="9" tint="0.39994506668294322"/>
      </right>
      <top style="dotted">
        <color theme="9" tint="0.39994506668294322"/>
      </top>
      <bottom style="dotted">
        <color theme="9" tint="0.39991454817346722"/>
      </bottom>
      <diagonal/>
    </border>
    <border>
      <left/>
      <right/>
      <top style="thick">
        <color theme="4"/>
      </top>
      <bottom/>
      <diagonal/>
    </border>
    <border>
      <left style="hair">
        <color theme="4" tint="0.59996337778862885"/>
      </left>
      <right style="hair">
        <color theme="4" tint="0.59996337778862885"/>
      </right>
      <top style="hair">
        <color theme="4" tint="0.59996337778862885"/>
      </top>
      <bottom style="hair">
        <color theme="4" tint="0.59996337778862885"/>
      </bottom>
      <diagonal/>
    </border>
    <border>
      <left style="hair">
        <color theme="4" tint="0.59996337778862885"/>
      </left>
      <right/>
      <top style="hair">
        <color theme="4" tint="0.59996337778862885"/>
      </top>
      <bottom style="hair">
        <color theme="4" tint="0.59996337778862885"/>
      </bottom>
      <diagonal/>
    </border>
    <border>
      <left/>
      <right style="hair">
        <color theme="4" tint="0.59996337778862885"/>
      </right>
      <top style="hair">
        <color theme="4" tint="0.59996337778862885"/>
      </top>
      <bottom style="hair">
        <color theme="4" tint="0.59996337778862885"/>
      </bottom>
      <diagonal/>
    </border>
    <border>
      <left/>
      <right/>
      <top style="hair">
        <color theme="4" tint="0.59996337778862885"/>
      </top>
      <bottom style="hair">
        <color theme="4" tint="0.59996337778862885"/>
      </bottom>
      <diagonal/>
    </border>
    <border>
      <left style="hair">
        <color theme="4" tint="0.59996337778862885"/>
      </left>
      <right style="hair">
        <color theme="4" tint="0.59996337778862885"/>
      </right>
      <top style="hair">
        <color theme="4" tint="0.59996337778862885"/>
      </top>
      <bottom/>
      <diagonal/>
    </border>
    <border>
      <left style="hair">
        <color theme="4" tint="0.59996337778862885"/>
      </left>
      <right style="hair">
        <color theme="4" tint="0.59996337778862885"/>
      </right>
      <top/>
      <bottom/>
      <diagonal/>
    </border>
    <border>
      <left style="hair">
        <color theme="4" tint="0.59996337778862885"/>
      </left>
      <right style="hair">
        <color theme="4" tint="0.59996337778862885"/>
      </right>
      <top/>
      <bottom style="hair">
        <color theme="4" tint="0.59996337778862885"/>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dotted">
        <color theme="9" tint="0.39985351115451523"/>
      </left>
      <right style="dotted">
        <color theme="9" tint="0.39985351115451523"/>
      </right>
      <top style="dotted">
        <color theme="9" tint="0.39985351115451523"/>
      </top>
      <bottom style="dotted">
        <color theme="9" tint="0.39982299264503923"/>
      </bottom>
      <diagonal/>
    </border>
    <border>
      <left style="dotted">
        <color theme="9" tint="0.39988402966399123"/>
      </left>
      <right style="dotted">
        <color theme="9" tint="0.39988402966399123"/>
      </right>
      <top style="dotted">
        <color theme="9" tint="0.39988402966399123"/>
      </top>
      <bottom style="dotted">
        <color theme="9" tint="0.39991454817346722"/>
      </bottom>
      <diagonal/>
    </border>
    <border>
      <left style="hair">
        <color theme="4" tint="0.59996337778862885"/>
      </left>
      <right/>
      <top/>
      <bottom style="hair">
        <color theme="4" tint="0.59996337778862885"/>
      </bottom>
      <diagonal/>
    </border>
    <border>
      <left/>
      <right/>
      <top/>
      <bottom style="hair">
        <color theme="4" tint="0.59996337778862885"/>
      </bottom>
      <diagonal/>
    </border>
    <border>
      <left/>
      <right style="hair">
        <color theme="4" tint="0.59996337778862885"/>
      </right>
      <top/>
      <bottom style="hair">
        <color theme="4" tint="0.59996337778862885"/>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style="thin">
        <color theme="1" tint="0.14996795556505021"/>
      </right>
      <top/>
      <bottom style="thin">
        <color theme="1" tint="0.14996795556505021"/>
      </bottom>
      <diagonal/>
    </border>
    <border>
      <left style="hair">
        <color theme="9" tint="0.39994506668294322"/>
      </left>
      <right style="hair">
        <color theme="9" tint="0.39994506668294322"/>
      </right>
      <top style="hair">
        <color theme="9" tint="0.39994506668294322"/>
      </top>
      <bottom style="hair">
        <color theme="9" tint="0.39994506668294322"/>
      </bottom>
      <diagonal/>
    </border>
    <border>
      <left style="hair">
        <color theme="9" tint="0.59996337778862885"/>
      </left>
      <right style="hair">
        <color theme="9" tint="0.59996337778862885"/>
      </right>
      <top style="hair">
        <color theme="9" tint="0.59996337778862885"/>
      </top>
      <bottom style="hair">
        <color theme="9" tint="0.59996337778862885"/>
      </bottom>
      <diagonal/>
    </border>
    <border>
      <left style="hair">
        <color theme="9" tint="0.39994506668294322"/>
      </left>
      <right/>
      <top style="hair">
        <color theme="9" tint="0.39994506668294322"/>
      </top>
      <bottom style="hair">
        <color theme="9" tint="0.39994506668294322"/>
      </bottom>
      <diagonal/>
    </border>
    <border>
      <left/>
      <right style="hair">
        <color theme="9" tint="0.39994506668294322"/>
      </right>
      <top style="hair">
        <color theme="9" tint="0.39994506668294322"/>
      </top>
      <bottom style="hair">
        <color theme="9" tint="0.39994506668294322"/>
      </bottom>
      <diagonal/>
    </border>
    <border>
      <left style="hair">
        <color theme="9" tint="0.59996337778862885"/>
      </left>
      <right/>
      <top style="hair">
        <color theme="9" tint="0.39994506668294322"/>
      </top>
      <bottom style="hair">
        <color theme="9" tint="0.59996337778862885"/>
      </bottom>
      <diagonal/>
    </border>
    <border>
      <left/>
      <right style="hair">
        <color theme="9" tint="0.59996337778862885"/>
      </right>
      <top style="hair">
        <color theme="9" tint="0.59996337778862885"/>
      </top>
      <bottom style="hair">
        <color theme="9" tint="0.59996337778862885"/>
      </bottom>
      <diagonal/>
    </border>
    <border>
      <left style="hair">
        <color theme="9" tint="0.59996337778862885"/>
      </left>
      <right/>
      <top style="hair">
        <color theme="9" tint="0.59996337778862885"/>
      </top>
      <bottom style="hair">
        <color theme="9" tint="0.59996337778862885"/>
      </bottom>
      <diagonal/>
    </border>
    <border>
      <left style="hair">
        <color theme="9" tint="0.39994506668294322"/>
      </left>
      <right/>
      <top/>
      <bottom/>
      <diagonal/>
    </border>
    <border>
      <left style="hair">
        <color theme="9" tint="0.39991454817346722"/>
      </left>
      <right/>
      <top style="hair">
        <color theme="9" tint="0.39994506668294322"/>
      </top>
      <bottom style="hair">
        <color theme="9" tint="0.39994506668294322"/>
      </bottom>
      <diagonal/>
    </border>
    <border>
      <left/>
      <right style="hair">
        <color theme="9" tint="0.39991454817346722"/>
      </right>
      <top style="hair">
        <color theme="9" tint="0.39994506668294322"/>
      </top>
      <bottom style="hair">
        <color theme="9" tint="0.39994506668294322"/>
      </bottom>
      <diagonal/>
    </border>
    <border>
      <left style="hair">
        <color theme="9" tint="0.39991454817346722"/>
      </left>
      <right/>
      <top/>
      <bottom style="hair">
        <color theme="9" tint="0.39991454817346722"/>
      </bottom>
      <diagonal/>
    </border>
    <border>
      <left/>
      <right style="hair">
        <color theme="9" tint="0.39991454817346722"/>
      </right>
      <top/>
      <bottom style="hair">
        <color theme="9" tint="0.39991454817346722"/>
      </bottom>
      <diagonal/>
    </border>
    <border>
      <left/>
      <right style="hair">
        <color theme="9" tint="0.59996337778862885"/>
      </right>
      <top/>
      <bottom style="hair">
        <color theme="9" tint="0.59996337778862885"/>
      </bottom>
      <diagonal/>
    </border>
    <border>
      <left style="thin">
        <color theme="9" tint="0.39994506668294322"/>
      </left>
      <right/>
      <top style="thin">
        <color theme="9" tint="0.39994506668294322"/>
      </top>
      <bottom/>
      <diagonal/>
    </border>
    <border>
      <left style="dotted">
        <color theme="9" tint="0.39988402966399123"/>
      </left>
      <right/>
      <top style="dotted">
        <color theme="9" tint="0.39988402966399123"/>
      </top>
      <bottom/>
      <diagonal/>
    </border>
    <border>
      <left style="dotted">
        <color theme="9" tint="0.39985351115451523"/>
      </left>
      <right/>
      <top style="dotted">
        <color theme="9" tint="0.39985351115451523"/>
      </top>
      <bottom style="dotted">
        <color theme="9" tint="0.39985351115451523"/>
      </bottom>
      <diagonal/>
    </border>
    <border>
      <left/>
      <right style="thin">
        <color theme="1" tint="0.14996795556505021"/>
      </right>
      <top/>
      <bottom/>
      <diagonal/>
    </border>
    <border>
      <left/>
      <right style="thin">
        <color theme="1" tint="0.14996795556505021"/>
      </right>
      <top style="thin">
        <color theme="1" tint="0.14996795556505021"/>
      </top>
      <bottom style="thin">
        <color theme="1" tint="0.14996795556505021"/>
      </bottom>
      <diagonal/>
    </border>
    <border>
      <left/>
      <right style="hair">
        <color theme="4" tint="0.59996337778862885"/>
      </right>
      <top/>
      <bottom/>
      <diagonal/>
    </border>
    <border>
      <left style="hair">
        <color theme="4" tint="0.59996337778862885"/>
      </left>
      <right style="thin">
        <color theme="4" tint="0.39997558519241921"/>
      </right>
      <top style="thin">
        <color theme="4" tint="0.39997558519241921"/>
      </top>
      <bottom/>
      <diagonal/>
    </border>
    <border>
      <left style="hair">
        <color theme="4" tint="0.59996337778862885"/>
      </left>
      <right style="hair">
        <color theme="4" tint="0.59996337778862885"/>
      </right>
      <top style="thin">
        <color theme="4" tint="0.39997558519241921"/>
      </top>
      <bottom/>
      <diagonal/>
    </border>
    <border>
      <left style="hair">
        <color theme="4" tint="0.79998168889431442"/>
      </left>
      <right style="hair">
        <color theme="4" tint="0.79998168889431442"/>
      </right>
      <top style="hair">
        <color theme="4" tint="0.79998168889431442"/>
      </top>
      <bottom style="hair">
        <color theme="4" tint="0.79998168889431442"/>
      </bottom>
      <diagonal/>
    </border>
    <border>
      <left style="hair">
        <color theme="4" tint="0.59996337778862885"/>
      </left>
      <right/>
      <top style="hair">
        <color theme="4" tint="0.59996337778862885"/>
      </top>
      <bottom/>
      <diagonal/>
    </border>
    <border>
      <left style="thin">
        <color rgb="FF7F7F7F"/>
      </left>
      <right style="thin">
        <color rgb="FF7F7F7F"/>
      </right>
      <top style="thin">
        <color rgb="FF7F7F7F"/>
      </top>
      <bottom style="thin">
        <color rgb="FF7F7F7F"/>
      </bottom>
      <diagonal/>
    </border>
    <border>
      <left style="thin">
        <color theme="1" tint="0.14996795556505021"/>
      </left>
      <right style="thin">
        <color theme="1" tint="0.14996795556505021"/>
      </right>
      <top style="thin">
        <color theme="1" tint="0.14996795556505021"/>
      </top>
      <bottom/>
      <diagonal/>
    </border>
    <border>
      <left/>
      <right style="hair">
        <color theme="4" tint="0.59996337778862885"/>
      </right>
      <top style="thin">
        <color theme="4" tint="0.39997558519241921"/>
      </top>
      <bottom/>
      <diagonal/>
    </border>
    <border>
      <left style="hair">
        <color theme="4" tint="0.79998168889431442"/>
      </left>
      <right style="hair">
        <color theme="4" tint="0.79998168889431442"/>
      </right>
      <top/>
      <bottom style="hair">
        <color theme="4" tint="0.79998168889431442"/>
      </bottom>
      <diagonal/>
    </border>
    <border>
      <left style="hair">
        <color theme="4" tint="0.79998168889431442"/>
      </left>
      <right/>
      <top style="hair">
        <color theme="4" tint="0.79998168889431442"/>
      </top>
      <bottom style="hair">
        <color theme="4" tint="0.79998168889431442"/>
      </bottom>
      <diagonal/>
    </border>
    <border>
      <left style="hair">
        <color theme="4" tint="0.79998168889431442"/>
      </left>
      <right/>
      <top/>
      <bottom style="hair">
        <color theme="4" tint="0.79998168889431442"/>
      </bottom>
      <diagonal/>
    </border>
    <border>
      <left style="dotted">
        <color theme="3"/>
      </left>
      <right/>
      <top style="dotted">
        <color theme="3"/>
      </top>
      <bottom style="thick">
        <color theme="4"/>
      </bottom>
      <diagonal/>
    </border>
    <border>
      <left/>
      <right/>
      <top style="dotted">
        <color theme="3"/>
      </top>
      <bottom style="thick">
        <color theme="4"/>
      </bottom>
      <diagonal/>
    </border>
    <border>
      <left/>
      <right style="dotted">
        <color theme="3"/>
      </right>
      <top style="dotted">
        <color theme="3"/>
      </top>
      <bottom/>
      <diagonal/>
    </border>
    <border>
      <left style="dotted">
        <color theme="3"/>
      </left>
      <right/>
      <top style="thick">
        <color theme="4"/>
      </top>
      <bottom/>
      <diagonal/>
    </border>
    <border>
      <left/>
      <right style="dotted">
        <color theme="3"/>
      </right>
      <top/>
      <bottom/>
      <diagonal/>
    </border>
    <border>
      <left style="dotted">
        <color theme="3"/>
      </left>
      <right/>
      <top/>
      <bottom style="dotted">
        <color theme="3"/>
      </bottom>
      <diagonal/>
    </border>
    <border>
      <left/>
      <right/>
      <top/>
      <bottom style="dotted">
        <color theme="3"/>
      </bottom>
      <diagonal/>
    </border>
    <border>
      <left/>
      <right style="dotted">
        <color theme="3"/>
      </right>
      <top/>
      <bottom style="dotted">
        <color theme="3"/>
      </bottom>
      <diagonal/>
    </border>
    <border>
      <left style="medium">
        <color indexed="8"/>
      </left>
      <right style="thin">
        <color indexed="8"/>
      </right>
      <top style="medium">
        <color indexed="8"/>
      </top>
      <bottom style="medium">
        <color indexed="8"/>
      </bottom>
      <diagonal/>
    </border>
    <border>
      <left/>
      <right style="thin">
        <color indexed="8"/>
      </right>
      <top style="medium">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diagonal/>
    </border>
    <border>
      <left style="medium">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medium">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bottom style="medium">
        <color indexed="8"/>
      </bottom>
      <diagonal/>
    </border>
    <border>
      <left style="medium">
        <color indexed="8"/>
      </left>
      <right style="thin">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8"/>
      </left>
      <right style="thin">
        <color indexed="8"/>
      </right>
      <top/>
      <bottom style="medium">
        <color indexed="8"/>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style="thin">
        <color indexed="8"/>
      </left>
      <right/>
      <top style="medium">
        <color indexed="8"/>
      </top>
      <bottom/>
      <diagonal/>
    </border>
    <border>
      <left style="thin">
        <color indexed="8"/>
      </left>
      <right/>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indexed="8"/>
      </right>
      <top style="medium">
        <color indexed="8"/>
      </top>
      <bottom/>
      <diagonal/>
    </border>
    <border>
      <left/>
      <right/>
      <top/>
      <bottom style="thin">
        <color indexed="64"/>
      </bottom>
      <diagonal/>
    </border>
    <border>
      <left style="hair">
        <color theme="3"/>
      </left>
      <right/>
      <top style="hair">
        <color theme="3"/>
      </top>
      <bottom style="thick">
        <color theme="4"/>
      </bottom>
      <diagonal/>
    </border>
    <border>
      <left/>
      <right/>
      <top style="hair">
        <color theme="3"/>
      </top>
      <bottom style="thick">
        <color theme="4"/>
      </bottom>
      <diagonal/>
    </border>
    <border>
      <left style="hair">
        <color theme="3"/>
      </left>
      <right/>
      <top style="thick">
        <color theme="4"/>
      </top>
      <bottom/>
      <diagonal/>
    </border>
    <border>
      <left style="hair">
        <color theme="3"/>
      </left>
      <right/>
      <top/>
      <bottom/>
      <diagonal/>
    </border>
    <border>
      <left style="hair">
        <color theme="3"/>
      </left>
      <right/>
      <top/>
      <bottom style="hair">
        <color theme="3"/>
      </bottom>
      <diagonal/>
    </border>
    <border>
      <left/>
      <right/>
      <top/>
      <bottom style="hair">
        <color theme="3"/>
      </bottom>
      <diagonal/>
    </border>
    <border>
      <left style="hair">
        <color theme="3"/>
      </left>
      <right style="hair">
        <color theme="3"/>
      </right>
      <top style="hair">
        <color theme="3"/>
      </top>
      <bottom/>
      <diagonal/>
    </border>
    <border>
      <left style="hair">
        <color theme="3"/>
      </left>
      <right style="hair">
        <color theme="3"/>
      </right>
      <top/>
      <bottom/>
      <diagonal/>
    </border>
    <border>
      <left style="hair">
        <color theme="3"/>
      </left>
      <right style="hair">
        <color theme="3"/>
      </right>
      <top/>
      <bottom style="hair">
        <color theme="3"/>
      </bottom>
      <diagonal/>
    </border>
    <border>
      <left style="dotted">
        <color theme="9" tint="0.39982299264503923"/>
      </left>
      <right/>
      <top style="dotted">
        <color theme="9" tint="0.39982299264503923"/>
      </top>
      <bottom style="dotted">
        <color theme="9" tint="0.39982299264503923"/>
      </bottom>
      <diagonal/>
    </border>
    <border>
      <left style="hair">
        <color theme="9" tint="0.59996337778862885"/>
      </left>
      <right style="hair">
        <color theme="9" tint="0.59996337778862885"/>
      </right>
      <top style="hair">
        <color theme="9" tint="0.59996337778862885"/>
      </top>
      <bottom/>
      <diagonal/>
    </border>
    <border>
      <left style="hair">
        <color theme="9" tint="0.59996337778862885"/>
      </left>
      <right style="hair">
        <color theme="9" tint="0.59996337778862885"/>
      </right>
      <top/>
      <bottom style="hair">
        <color theme="9" tint="0.59996337778862885"/>
      </bottom>
      <diagonal/>
    </border>
    <border>
      <left style="dotted">
        <color theme="9" tint="0.39982299264503923"/>
      </left>
      <right style="dotted">
        <color theme="9" tint="0.39985351115451523"/>
      </right>
      <top style="dotted">
        <color theme="9" tint="0.39982299264503923"/>
      </top>
      <bottom style="dotted">
        <color theme="9" tint="0.39985351115451523"/>
      </bottom>
      <diagonal/>
    </border>
    <border>
      <left style="dotted">
        <color theme="9" tint="0.39985351115451523"/>
      </left>
      <right style="dotted">
        <color theme="9" tint="0.39985351115451523"/>
      </right>
      <top style="dotted">
        <color theme="9" tint="0.39982299264503923"/>
      </top>
      <bottom style="dotted">
        <color theme="9" tint="0.39985351115451523"/>
      </bottom>
      <diagonal/>
    </border>
    <border>
      <left style="dotted">
        <color theme="9" tint="0.39985351115451523"/>
      </left>
      <right/>
      <top style="dotted">
        <color theme="9" tint="0.39982299264503923"/>
      </top>
      <bottom style="dotted">
        <color theme="9" tint="0.39985351115451523"/>
      </bottom>
      <diagonal/>
    </border>
    <border>
      <left style="hair">
        <color theme="9" tint="0.59996337778862885"/>
      </left>
      <right style="hair">
        <color theme="9" tint="0.59996337778862885"/>
      </right>
      <top style="dotted">
        <color theme="9" tint="0.39982299264503923"/>
      </top>
      <bottom style="hair">
        <color theme="9" tint="0.59996337778862885"/>
      </bottom>
      <diagonal/>
    </border>
    <border>
      <left style="hair">
        <color theme="9" tint="0.59996337778862885"/>
      </left>
      <right style="dotted">
        <color theme="9" tint="0.39982299264503923"/>
      </right>
      <top style="dotted">
        <color theme="9" tint="0.39982299264503923"/>
      </top>
      <bottom style="hair">
        <color theme="9" tint="0.59996337778862885"/>
      </bottom>
      <diagonal/>
    </border>
    <border>
      <left style="dotted">
        <color theme="9" tint="0.39982299264503923"/>
      </left>
      <right style="dotted">
        <color theme="9" tint="0.39985351115451523"/>
      </right>
      <top style="dotted">
        <color theme="9" tint="0.39985351115451523"/>
      </top>
      <bottom style="dotted">
        <color theme="9" tint="0.39985351115451523"/>
      </bottom>
      <diagonal/>
    </border>
    <border>
      <left style="hair">
        <color theme="9" tint="0.59996337778862885"/>
      </left>
      <right style="dotted">
        <color theme="9" tint="0.39982299264503923"/>
      </right>
      <top style="hair">
        <color theme="9" tint="0.59996337778862885"/>
      </top>
      <bottom style="hair">
        <color theme="9" tint="0.59996337778862885"/>
      </bottom>
      <diagonal/>
    </border>
    <border>
      <left style="dotted">
        <color theme="9" tint="0.39982299264503923"/>
      </left>
      <right style="dotted">
        <color theme="9" tint="0.39985351115451523"/>
      </right>
      <top style="dotted">
        <color theme="9" tint="0.39985351115451523"/>
      </top>
      <bottom style="dotted">
        <color theme="9" tint="0.39982299264503923"/>
      </bottom>
      <diagonal/>
    </border>
    <border>
      <left style="dotted">
        <color theme="9" tint="0.39985351115451523"/>
      </left>
      <right/>
      <top style="dotted">
        <color theme="9" tint="0.39985351115451523"/>
      </top>
      <bottom style="dotted">
        <color theme="9" tint="0.39982299264503923"/>
      </bottom>
      <diagonal/>
    </border>
    <border>
      <left style="hair">
        <color theme="9" tint="0.59996337778862885"/>
      </left>
      <right style="hair">
        <color theme="9" tint="0.59996337778862885"/>
      </right>
      <top style="hair">
        <color theme="9" tint="0.59996337778862885"/>
      </top>
      <bottom style="dotted">
        <color theme="9" tint="0.39982299264503923"/>
      </bottom>
      <diagonal/>
    </border>
    <border>
      <left style="hair">
        <color theme="9" tint="0.59996337778862885"/>
      </left>
      <right style="dotted">
        <color theme="9" tint="0.39982299264503923"/>
      </right>
      <top style="hair">
        <color theme="9" tint="0.59996337778862885"/>
      </top>
      <bottom style="dotted">
        <color theme="9" tint="0.39982299264503923"/>
      </bottom>
      <diagonal/>
    </border>
    <border>
      <left/>
      <right style="thin">
        <color theme="0" tint="-0.14996795556505021"/>
      </right>
      <top style="thin">
        <color theme="0" tint="-0.14996795556505021"/>
      </top>
      <bottom style="thin">
        <color theme="0" tint="-0.14996795556505021"/>
      </bottom>
      <diagonal/>
    </border>
    <border>
      <left style="dotted">
        <color theme="9" tint="0.39982299264503923"/>
      </left>
      <right style="dotted">
        <color theme="9" tint="0.39985351115451523"/>
      </right>
      <top style="dotted">
        <color theme="9" tint="0.39985351115451523"/>
      </top>
      <bottom/>
      <diagonal/>
    </border>
    <border>
      <left style="dotted">
        <color theme="9" tint="0.39985351115451523"/>
      </left>
      <right style="dotted">
        <color theme="9" tint="0.39985351115451523"/>
      </right>
      <top style="dotted">
        <color theme="9" tint="0.39985351115451523"/>
      </top>
      <bottom/>
      <diagonal/>
    </border>
    <border>
      <left style="dotted">
        <color theme="9" tint="0.39985351115451523"/>
      </left>
      <right/>
      <top style="dotted">
        <color theme="9" tint="0.39985351115451523"/>
      </top>
      <bottom/>
      <diagonal/>
    </border>
    <border>
      <left style="thin">
        <color theme="9" tint="0.39994506668294322"/>
      </left>
      <right style="thin">
        <color theme="9" tint="0.39994506668294322"/>
      </right>
      <top/>
      <bottom/>
      <diagonal/>
    </border>
    <border>
      <left style="hair">
        <color theme="9" tint="0.39994506668294322"/>
      </left>
      <right/>
      <top/>
      <bottom style="hair">
        <color theme="9" tint="0.39994506668294322"/>
      </bottom>
      <diagonal/>
    </border>
    <border>
      <left/>
      <right/>
      <top/>
      <bottom style="hair">
        <color theme="9" tint="0.39994506668294322"/>
      </bottom>
      <diagonal/>
    </border>
    <border>
      <left style="dotted">
        <color theme="9" tint="0.59996337778862885"/>
      </left>
      <right style="dotted">
        <color theme="9" tint="0.59996337778862885"/>
      </right>
      <top style="dotted">
        <color theme="9" tint="0.59996337778862885"/>
      </top>
      <bottom style="dotted">
        <color theme="9" tint="0.59996337778862885"/>
      </bottom>
      <diagonal/>
    </border>
    <border>
      <left style="dotted">
        <color theme="9" tint="0.59996337778862885"/>
      </left>
      <right style="dotted">
        <color theme="9" tint="0.59996337778862885"/>
      </right>
      <top style="dotted">
        <color theme="9" tint="0.59996337778862885"/>
      </top>
      <bottom style="hair">
        <color theme="9" tint="0.59996337778862885"/>
      </bottom>
      <diagonal/>
    </border>
    <border>
      <left style="dotted">
        <color theme="9" tint="0.59996337778862885"/>
      </left>
      <right style="dotted">
        <color theme="9" tint="0.59996337778862885"/>
      </right>
      <top style="hair">
        <color theme="9" tint="0.59996337778862885"/>
      </top>
      <bottom style="dotted">
        <color theme="9" tint="0.59996337778862885"/>
      </bottom>
      <diagonal/>
    </border>
    <border>
      <left style="dotted">
        <color theme="9" tint="0.59996337778862885"/>
      </left>
      <right/>
      <top style="dotted">
        <color theme="9" tint="0.59996337778862885"/>
      </top>
      <bottom style="dotted">
        <color theme="9" tint="0.59996337778862885"/>
      </bottom>
      <diagonal/>
    </border>
    <border>
      <left/>
      <right/>
      <top style="dotted">
        <color theme="9" tint="0.59996337778862885"/>
      </top>
      <bottom style="dotted">
        <color theme="9" tint="0.59996337778862885"/>
      </bottom>
      <diagonal/>
    </border>
    <border>
      <left/>
      <right style="dotted">
        <color theme="9" tint="0.59996337778862885"/>
      </right>
      <top style="dotted">
        <color theme="9" tint="0.59996337778862885"/>
      </top>
      <bottom style="dotted">
        <color theme="9" tint="0.59996337778862885"/>
      </bottom>
      <diagonal/>
    </border>
    <border>
      <left style="hair">
        <color rgb="FFE57B07"/>
      </left>
      <right/>
      <top style="hair">
        <color rgb="FFE57B07"/>
      </top>
      <bottom style="hair">
        <color rgb="FFE57B07"/>
      </bottom>
      <diagonal/>
    </border>
    <border>
      <left/>
      <right style="hair">
        <color rgb="FFE57B07"/>
      </right>
      <top style="hair">
        <color rgb="FFE57B07"/>
      </top>
      <bottom style="hair">
        <color rgb="FFE57B07"/>
      </bottom>
      <diagonal/>
    </border>
    <border>
      <left/>
      <right style="hair">
        <color rgb="FFE57B07"/>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1" tint="0.14993743705557422"/>
      </right>
      <top style="hair">
        <color theme="4" tint="0.79998168889431442"/>
      </top>
      <bottom style="hair">
        <color theme="4" tint="0.79998168889431442"/>
      </bottom>
      <diagonal/>
    </border>
    <border>
      <left/>
      <right style="thin">
        <color theme="1" tint="0.14996795556505021"/>
      </right>
      <top style="hair">
        <color theme="4" tint="0.59996337778862885"/>
      </top>
      <bottom/>
      <diagonal/>
    </border>
    <border>
      <left style="thin">
        <color theme="1" tint="0.14996795556505021"/>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style="thin">
        <color theme="1" tint="0.14996795556505021"/>
      </left>
      <right style="thin">
        <color theme="1" tint="0.14996795556505021"/>
      </right>
      <top/>
      <bottom/>
      <diagonal/>
    </border>
    <border>
      <left style="hair">
        <color theme="4" tint="0.59996337778862885"/>
      </left>
      <right/>
      <top/>
      <bottom/>
      <diagonal/>
    </border>
  </borders>
  <cellStyleXfs count="8">
    <xf numFmtId="0" fontId="0" fillId="0" borderId="0"/>
    <xf numFmtId="9" fontId="1" fillId="0" borderId="0" applyFont="0" applyFill="0" applyBorder="0" applyAlignment="0" applyProtection="0"/>
    <xf numFmtId="0" fontId="2" fillId="0" borderId="1" applyNumberFormat="0" applyFill="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6" fillId="0" borderId="0" applyNumberFormat="0" applyFill="0" applyBorder="0" applyAlignment="0" applyProtection="0">
      <alignment vertical="top"/>
      <protection locked="0"/>
    </xf>
    <xf numFmtId="0" fontId="10" fillId="2" borderId="0" applyNumberFormat="0" applyBorder="0" applyAlignment="0" applyProtection="0"/>
    <xf numFmtId="0" fontId="54" fillId="23" borderId="55" applyNumberFormat="0" applyAlignment="0" applyProtection="0"/>
  </cellStyleXfs>
  <cellXfs count="524">
    <xf numFmtId="0" fontId="0" fillId="0" borderId="0" xfId="0"/>
    <xf numFmtId="0" fontId="0" fillId="4" borderId="0" xfId="0" applyFill="1"/>
    <xf numFmtId="0" fontId="9" fillId="4" borderId="0" xfId="0" applyFont="1" applyFill="1"/>
    <xf numFmtId="0" fontId="0" fillId="7" borderId="0" xfId="0" applyFill="1"/>
    <xf numFmtId="0" fontId="0" fillId="4" borderId="0" xfId="0" applyFill="1" applyAlignment="1">
      <alignment horizontal="center"/>
    </xf>
    <xf numFmtId="0" fontId="0" fillId="4" borderId="0" xfId="0" applyFont="1" applyFill="1"/>
    <xf numFmtId="0" fontId="5" fillId="4" borderId="0" xfId="0" applyFont="1" applyFill="1"/>
    <xf numFmtId="0" fontId="17" fillId="4" borderId="0" xfId="0" applyFont="1" applyFill="1"/>
    <xf numFmtId="0" fontId="19" fillId="4" borderId="0" xfId="0" applyFont="1" applyFill="1"/>
    <xf numFmtId="0" fontId="20" fillId="4" borderId="0" xfId="0" applyFont="1" applyFill="1"/>
    <xf numFmtId="0" fontId="12" fillId="9" borderId="0" xfId="0" applyFont="1" applyFill="1"/>
    <xf numFmtId="0" fontId="12" fillId="8" borderId="0" xfId="0" applyFont="1" applyFill="1"/>
    <xf numFmtId="0" fontId="12" fillId="11" borderId="0" xfId="0" applyFont="1" applyFill="1"/>
    <xf numFmtId="0" fontId="12" fillId="12" borderId="0" xfId="0" applyFont="1" applyFill="1"/>
    <xf numFmtId="0" fontId="12" fillId="4" borderId="0" xfId="0" applyFont="1" applyFill="1"/>
    <xf numFmtId="0" fontId="13" fillId="4" borderId="0" xfId="0" applyFont="1" applyFill="1"/>
    <xf numFmtId="0" fontId="21" fillId="4" borderId="0" xfId="0" applyFont="1" applyFill="1"/>
    <xf numFmtId="0" fontId="0" fillId="11" borderId="0" xfId="0" applyFont="1" applyFill="1"/>
    <xf numFmtId="0" fontId="24" fillId="4" borderId="0" xfId="0" applyFont="1" applyFill="1"/>
    <xf numFmtId="0" fontId="23" fillId="4" borderId="0" xfId="0" applyFont="1" applyFill="1" applyAlignment="1">
      <alignment horizontal="left" wrapText="1"/>
    </xf>
    <xf numFmtId="0" fontId="10" fillId="2" borderId="2" xfId="6" applyBorder="1" applyAlignment="1">
      <alignment horizontal="center"/>
    </xf>
    <xf numFmtId="0" fontId="12" fillId="4" borderId="3" xfId="0" applyFont="1" applyFill="1" applyBorder="1"/>
    <xf numFmtId="0" fontId="0" fillId="4" borderId="3" xfId="0" applyFill="1" applyBorder="1"/>
    <xf numFmtId="0" fontId="12" fillId="4" borderId="4" xfId="0" applyFont="1" applyFill="1" applyBorder="1"/>
    <xf numFmtId="0" fontId="0" fillId="4" borderId="4" xfId="0" applyFill="1" applyBorder="1"/>
    <xf numFmtId="0" fontId="0" fillId="4" borderId="0" xfId="0" applyFill="1" applyBorder="1"/>
    <xf numFmtId="0" fontId="22" fillId="4" borderId="0" xfId="0" applyFont="1" applyFill="1"/>
    <xf numFmtId="0" fontId="5" fillId="4" borderId="5" xfId="0" applyFont="1" applyFill="1" applyBorder="1"/>
    <xf numFmtId="0" fontId="24" fillId="4" borderId="5" xfId="0" applyFont="1" applyFill="1" applyBorder="1" applyAlignment="1">
      <alignment horizontal="left"/>
    </xf>
    <xf numFmtId="0" fontId="24" fillId="4" borderId="3" xfId="0" applyFont="1" applyFill="1" applyBorder="1" applyAlignment="1">
      <alignment horizontal="center"/>
    </xf>
    <xf numFmtId="0" fontId="24" fillId="4" borderId="7" xfId="0" applyFont="1" applyFill="1" applyBorder="1" applyAlignment="1">
      <alignment vertical="top"/>
    </xf>
    <xf numFmtId="0" fontId="24" fillId="4" borderId="7" xfId="0" applyFont="1" applyFill="1" applyBorder="1"/>
    <xf numFmtId="0" fontId="24" fillId="10" borderId="9" xfId="0" applyFont="1" applyFill="1" applyBorder="1" applyAlignment="1">
      <alignment vertical="top"/>
    </xf>
    <xf numFmtId="0" fontId="24" fillId="10" borderId="6" xfId="0" applyFont="1" applyFill="1" applyBorder="1" applyAlignment="1">
      <alignment vertical="top"/>
    </xf>
    <xf numFmtId="0" fontId="9" fillId="4" borderId="0" xfId="0" applyFont="1" applyFill="1" applyAlignment="1">
      <alignment horizontal="center"/>
    </xf>
    <xf numFmtId="0" fontId="9" fillId="4" borderId="0" xfId="0" applyFont="1" applyFill="1" applyAlignment="1">
      <alignment horizontal="left" vertical="center"/>
    </xf>
    <xf numFmtId="0" fontId="0" fillId="4" borderId="0" xfId="0" applyFill="1" applyAlignment="1">
      <alignment horizontal="left"/>
    </xf>
    <xf numFmtId="0" fontId="9" fillId="4" borderId="0" xfId="0" applyFont="1" applyFill="1" applyAlignment="1"/>
    <xf numFmtId="0" fontId="6" fillId="0" borderId="0" xfId="5" applyAlignment="1" applyProtection="1">
      <alignment horizontal="left" vertical="center"/>
    </xf>
    <xf numFmtId="0" fontId="6" fillId="5" borderId="17" xfId="5" applyFill="1" applyBorder="1" applyAlignment="1" applyProtection="1">
      <alignment horizontal="center" vertical="center"/>
    </xf>
    <xf numFmtId="0" fontId="0" fillId="5" borderId="17" xfId="0" applyFill="1" applyBorder="1" applyAlignment="1">
      <alignment horizontal="left" vertical="top" wrapText="1" shrinkToFit="1"/>
    </xf>
    <xf numFmtId="0" fontId="19" fillId="5" borderId="17" xfId="0" applyFont="1" applyFill="1" applyBorder="1" applyAlignment="1">
      <alignment horizontal="left" vertical="top" wrapText="1"/>
    </xf>
    <xf numFmtId="0" fontId="0" fillId="5" borderId="17" xfId="0" applyFill="1" applyBorder="1" applyAlignment="1">
      <alignment horizontal="left" vertical="top" wrapText="1"/>
    </xf>
    <xf numFmtId="0" fontId="6" fillId="4" borderId="17" xfId="5" applyFill="1" applyBorder="1" applyAlignment="1" applyProtection="1">
      <alignment horizontal="center" vertical="center"/>
    </xf>
    <xf numFmtId="0" fontId="6" fillId="10" borderId="6" xfId="5" applyFill="1" applyBorder="1" applyAlignment="1" applyProtection="1">
      <alignment vertical="top"/>
    </xf>
    <xf numFmtId="0" fontId="30" fillId="0" borderId="0" xfId="0" applyFont="1" applyAlignment="1">
      <alignment vertical="center"/>
    </xf>
    <xf numFmtId="0" fontId="31" fillId="4" borderId="0" xfId="0" applyFont="1" applyFill="1"/>
    <xf numFmtId="0" fontId="32" fillId="0" borderId="0" xfId="0" applyFont="1"/>
    <xf numFmtId="0" fontId="33" fillId="4" borderId="0" xfId="0" applyFont="1" applyFill="1"/>
    <xf numFmtId="0" fontId="24" fillId="4" borderId="0" xfId="0" applyFont="1" applyFill="1" applyBorder="1"/>
    <xf numFmtId="0" fontId="23" fillId="4" borderId="0" xfId="0" applyFont="1" applyFill="1" applyBorder="1" applyAlignment="1">
      <alignment horizontal="left" wrapText="1"/>
    </xf>
    <xf numFmtId="0" fontId="0" fillId="4" borderId="0" xfId="0" quotePrefix="1" applyFill="1" applyAlignment="1">
      <alignment horizontal="center"/>
    </xf>
    <xf numFmtId="0" fontId="27" fillId="4" borderId="0" xfId="0" applyFont="1" applyFill="1"/>
    <xf numFmtId="0" fontId="11" fillId="9" borderId="0" xfId="0" applyFont="1" applyFill="1"/>
    <xf numFmtId="0" fontId="11" fillId="12" borderId="0" xfId="0" applyFont="1" applyFill="1"/>
    <xf numFmtId="0" fontId="26" fillId="4" borderId="0" xfId="0" applyFont="1" applyFill="1"/>
    <xf numFmtId="0" fontId="11" fillId="4" borderId="0" xfId="0" applyFont="1" applyFill="1"/>
    <xf numFmtId="0" fontId="11" fillId="8" borderId="0" xfId="0" applyFont="1" applyFill="1"/>
    <xf numFmtId="0" fontId="11" fillId="11" borderId="0" xfId="0" applyFont="1" applyFill="1"/>
    <xf numFmtId="0" fontId="0" fillId="0" borderId="24" xfId="0" applyBorder="1"/>
    <xf numFmtId="0" fontId="0" fillId="4" borderId="24" xfId="0" applyFill="1" applyBorder="1" applyAlignment="1">
      <alignment horizontal="center"/>
    </xf>
    <xf numFmtId="0" fontId="34" fillId="4" borderId="0" xfId="0" applyFont="1" applyFill="1"/>
    <xf numFmtId="0" fontId="0" fillId="14" borderId="0" xfId="0" applyFill="1" applyAlignment="1"/>
    <xf numFmtId="0" fontId="37" fillId="4" borderId="26" xfId="0" applyFont="1" applyFill="1" applyBorder="1"/>
    <xf numFmtId="0" fontId="40" fillId="13" borderId="17" xfId="0" applyFont="1" applyFill="1" applyBorder="1" applyAlignment="1">
      <alignment horizontal="center" vertical="center" wrapText="1"/>
    </xf>
    <xf numFmtId="0" fontId="41" fillId="6" borderId="18" xfId="0" applyFont="1" applyFill="1" applyBorder="1" applyAlignment="1">
      <alignment horizontal="center" vertical="center" wrapText="1"/>
    </xf>
    <xf numFmtId="0" fontId="41" fillId="6" borderId="17" xfId="0" applyFont="1" applyFill="1" applyBorder="1" applyAlignment="1">
      <alignment horizontal="center" vertical="center" wrapText="1"/>
    </xf>
    <xf numFmtId="0" fontId="0" fillId="7" borderId="30" xfId="0" applyFill="1" applyBorder="1"/>
    <xf numFmtId="0" fontId="29" fillId="7" borderId="31" xfId="0" applyFont="1" applyFill="1" applyBorder="1" applyAlignment="1">
      <alignment horizontal="center" vertical="center"/>
    </xf>
    <xf numFmtId="0" fontId="29" fillId="7" borderId="31" xfId="0" applyFont="1" applyFill="1" applyBorder="1" applyAlignment="1">
      <alignment vertical="center"/>
    </xf>
    <xf numFmtId="0" fontId="14" fillId="7" borderId="31" xfId="0" applyFont="1" applyFill="1" applyBorder="1" applyAlignment="1">
      <alignment horizontal="center" vertical="center"/>
    </xf>
    <xf numFmtId="0" fontId="3" fillId="4" borderId="0" xfId="3" applyFill="1" applyBorder="1" applyAlignment="1">
      <alignment horizontal="left"/>
    </xf>
    <xf numFmtId="0" fontId="43" fillId="6" borderId="17" xfId="0" applyFont="1" applyFill="1" applyBorder="1" applyAlignment="1">
      <alignment horizontal="center" vertical="center" wrapText="1"/>
    </xf>
    <xf numFmtId="0" fontId="43" fillId="6" borderId="19" xfId="0" applyFont="1" applyFill="1" applyBorder="1" applyAlignment="1">
      <alignment horizontal="center" vertical="center" wrapText="1"/>
    </xf>
    <xf numFmtId="0" fontId="43" fillId="6" borderId="20" xfId="0" applyFont="1" applyFill="1" applyBorder="1" applyAlignment="1">
      <alignment horizontal="center" vertical="center" wrapText="1"/>
    </xf>
    <xf numFmtId="0" fontId="14" fillId="16" borderId="27" xfId="0" applyFont="1" applyFill="1" applyBorder="1" applyAlignment="1">
      <alignment horizontal="center" vertical="center"/>
    </xf>
    <xf numFmtId="0" fontId="14" fillId="16" borderId="28" xfId="0" applyFont="1" applyFill="1" applyBorder="1" applyAlignment="1">
      <alignment horizontal="center" vertical="center"/>
    </xf>
    <xf numFmtId="0" fontId="14" fillId="17" borderId="28" xfId="0" applyFont="1" applyFill="1" applyBorder="1" applyAlignment="1">
      <alignment horizontal="center" vertical="center"/>
    </xf>
    <xf numFmtId="0" fontId="14" fillId="15" borderId="28" xfId="0" applyFont="1" applyFill="1" applyBorder="1" applyAlignment="1">
      <alignment horizontal="center" vertical="center"/>
    </xf>
    <xf numFmtId="0" fontId="0" fillId="4" borderId="0" xfId="0" applyFill="1" applyAlignment="1"/>
    <xf numFmtId="0" fontId="46" fillId="0" borderId="0" xfId="0" applyFont="1"/>
    <xf numFmtId="0" fontId="10" fillId="2" borderId="0" xfId="6"/>
    <xf numFmtId="0" fontId="47" fillId="18" borderId="0" xfId="0" applyFont="1" applyFill="1" applyBorder="1" applyAlignment="1">
      <alignment horizontal="left" vertical="center"/>
    </xf>
    <xf numFmtId="0" fontId="48" fillId="7" borderId="0" xfId="0" applyFont="1" applyFill="1" applyBorder="1" applyAlignment="1">
      <alignment horizontal="left" vertical="center"/>
    </xf>
    <xf numFmtId="0" fontId="0" fillId="5" borderId="17" xfId="0" applyFill="1" applyBorder="1" applyAlignment="1">
      <alignment horizontal="center" vertical="center" wrapText="1"/>
    </xf>
    <xf numFmtId="164" fontId="0" fillId="5" borderId="17" xfId="0" applyNumberFormat="1" applyFill="1" applyBorder="1" applyAlignment="1">
      <alignment horizontal="center" vertical="center" wrapText="1"/>
    </xf>
    <xf numFmtId="0" fontId="0" fillId="5" borderId="18" xfId="0" applyFill="1" applyBorder="1" applyAlignment="1">
      <alignment horizontal="center" vertical="center" wrapText="1"/>
    </xf>
    <xf numFmtId="0" fontId="0" fillId="4" borderId="0" xfId="0" applyFill="1" applyBorder="1" applyAlignment="1"/>
    <xf numFmtId="0" fontId="0" fillId="4" borderId="33" xfId="0" applyFill="1" applyBorder="1"/>
    <xf numFmtId="0" fontId="10" fillId="2" borderId="33" xfId="6" applyBorder="1" applyAlignment="1">
      <alignment horizontal="center"/>
    </xf>
    <xf numFmtId="0" fontId="0" fillId="4" borderId="35" xfId="0" quotePrefix="1" applyFill="1" applyBorder="1" applyAlignment="1"/>
    <xf numFmtId="0" fontId="0" fillId="4" borderId="35" xfId="0" applyFill="1" applyBorder="1" applyAlignment="1"/>
    <xf numFmtId="0" fontId="0" fillId="4" borderId="35" xfId="0" applyFill="1" applyBorder="1"/>
    <xf numFmtId="0" fontId="0" fillId="4" borderId="34" xfId="0" quotePrefix="1" applyFill="1" applyBorder="1" applyAlignment="1"/>
    <xf numFmtId="0" fontId="0" fillId="4" borderId="34" xfId="0" applyFill="1" applyBorder="1" applyAlignment="1"/>
    <xf numFmtId="0" fontId="0" fillId="4" borderId="34" xfId="0" applyFill="1" applyBorder="1"/>
    <xf numFmtId="0" fontId="36" fillId="4" borderId="0" xfId="0" applyFont="1" applyFill="1" applyBorder="1" applyAlignment="1"/>
    <xf numFmtId="0" fontId="10" fillId="2" borderId="35" xfId="6" applyBorder="1"/>
    <xf numFmtId="0" fontId="10" fillId="2" borderId="35" xfId="6" applyBorder="1" applyAlignment="1"/>
    <xf numFmtId="0" fontId="10" fillId="2" borderId="34" xfId="6" quotePrefix="1" applyBorder="1" applyAlignment="1"/>
    <xf numFmtId="0" fontId="0" fillId="4" borderId="40" xfId="0" applyFill="1" applyBorder="1" applyAlignment="1"/>
    <xf numFmtId="0" fontId="0" fillId="4" borderId="41" xfId="0" applyFill="1" applyBorder="1"/>
    <xf numFmtId="0" fontId="0" fillId="4" borderId="42" xfId="0" quotePrefix="1" applyFill="1" applyBorder="1"/>
    <xf numFmtId="0" fontId="0" fillId="4" borderId="43" xfId="0" applyFill="1" applyBorder="1"/>
    <xf numFmtId="0" fontId="10" fillId="2" borderId="0" xfId="6" applyBorder="1"/>
    <xf numFmtId="0" fontId="10" fillId="2" borderId="0" xfId="6" quotePrefix="1" applyBorder="1"/>
    <xf numFmtId="0" fontId="0" fillId="4" borderId="44" xfId="0" applyFill="1" applyBorder="1"/>
    <xf numFmtId="0" fontId="5" fillId="4" borderId="33" xfId="0" applyFont="1" applyFill="1" applyBorder="1" applyAlignment="1">
      <alignment horizontal="center"/>
    </xf>
    <xf numFmtId="0" fontId="12" fillId="4" borderId="33" xfId="0" applyFont="1" applyFill="1" applyBorder="1"/>
    <xf numFmtId="0" fontId="0" fillId="4" borderId="33" xfId="0" applyFill="1" applyBorder="1" applyAlignment="1">
      <alignment horizontal="center" vertical="center"/>
    </xf>
    <xf numFmtId="0" fontId="14" fillId="15" borderId="0" xfId="0" applyFont="1" applyFill="1" applyBorder="1" applyAlignment="1">
      <alignment horizontal="center" vertical="center"/>
    </xf>
    <xf numFmtId="22" fontId="0" fillId="3" borderId="0" xfId="0" applyNumberFormat="1" applyFont="1" applyFill="1" applyBorder="1" applyAlignment="1">
      <alignment horizontal="center" vertical="center" wrapText="1"/>
    </xf>
    <xf numFmtId="0" fontId="43" fillId="6" borderId="0" xfId="0" applyFont="1" applyFill="1" applyBorder="1" applyAlignment="1">
      <alignment horizontal="center" vertical="center" wrapText="1"/>
    </xf>
    <xf numFmtId="0" fontId="0" fillId="3" borderId="27" xfId="0" applyFont="1" applyFill="1" applyBorder="1" applyAlignment="1">
      <alignment horizontal="center" vertical="center" wrapText="1"/>
    </xf>
    <xf numFmtId="0" fontId="14" fillId="17" borderId="0" xfId="0" applyFont="1" applyFill="1" applyBorder="1" applyAlignment="1">
      <alignment horizontal="center" vertical="center"/>
    </xf>
    <xf numFmtId="0" fontId="14" fillId="16" borderId="0" xfId="0" applyFont="1" applyFill="1" applyBorder="1" applyAlignment="1">
      <alignment horizontal="center" vertical="center"/>
    </xf>
    <xf numFmtId="22" fontId="0" fillId="5" borderId="0" xfId="0" applyNumberFormat="1" applyFill="1" applyBorder="1" applyAlignment="1">
      <alignment horizontal="center" vertical="center" wrapText="1"/>
    </xf>
    <xf numFmtId="0" fontId="14" fillId="4" borderId="0" xfId="0" applyFont="1" applyFill="1" applyAlignment="1">
      <alignment horizontal="center" vertical="center"/>
    </xf>
    <xf numFmtId="0" fontId="3" fillId="4" borderId="16" xfId="3" applyFill="1" applyBorder="1" applyAlignment="1">
      <alignment horizontal="left"/>
    </xf>
    <xf numFmtId="49" fontId="41" fillId="6" borderId="50" xfId="0" applyNumberFormat="1" applyFont="1" applyFill="1" applyBorder="1" applyAlignment="1">
      <alignment horizontal="center" vertical="center" wrapText="1"/>
    </xf>
    <xf numFmtId="49" fontId="41" fillId="6" borderId="22" xfId="0" applyNumberFormat="1" applyFont="1" applyFill="1" applyBorder="1" applyAlignment="1">
      <alignment horizontal="center" vertical="center" wrapText="1"/>
    </xf>
    <xf numFmtId="49" fontId="40" fillId="6" borderId="51" xfId="0" applyNumberFormat="1" applyFont="1" applyFill="1" applyBorder="1" applyAlignment="1">
      <alignment horizontal="center" vertical="center" wrapText="1"/>
    </xf>
    <xf numFmtId="49" fontId="40" fillId="6" borderId="52"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0" fillId="7" borderId="49" xfId="0" applyFill="1" applyBorder="1"/>
    <xf numFmtId="0" fontId="0" fillId="22" borderId="21" xfId="0" applyFont="1" applyFill="1" applyBorder="1" applyAlignment="1">
      <alignment wrapText="1"/>
    </xf>
    <xf numFmtId="0" fontId="6" fillId="7" borderId="21" xfId="5" applyFill="1" applyBorder="1" applyAlignment="1" applyProtection="1">
      <alignment horizontal="left" vertical="top" wrapText="1"/>
    </xf>
    <xf numFmtId="0" fontId="0" fillId="7" borderId="21" xfId="0" applyFill="1" applyBorder="1" applyAlignment="1">
      <alignment wrapText="1"/>
    </xf>
    <xf numFmtId="0" fontId="0" fillId="7" borderId="21" xfId="0" applyFill="1" applyBorder="1" applyAlignment="1">
      <alignment horizontal="center" vertical="center" wrapText="1"/>
    </xf>
    <xf numFmtId="164" fontId="0" fillId="7" borderId="21" xfId="0" applyNumberFormat="1" applyFill="1" applyBorder="1" applyAlignment="1">
      <alignment horizontal="center" vertical="center" wrapText="1"/>
    </xf>
    <xf numFmtId="0" fontId="0" fillId="7" borderId="54" xfId="0" applyFill="1" applyBorder="1" applyAlignment="1">
      <alignment horizontal="center" vertical="center" wrapText="1"/>
    </xf>
    <xf numFmtId="0" fontId="6" fillId="5" borderId="53" xfId="5" applyFill="1" applyBorder="1" applyAlignment="1" applyProtection="1">
      <alignment horizontal="center" vertical="center"/>
    </xf>
    <xf numFmtId="0" fontId="0" fillId="5" borderId="17" xfId="0" applyFont="1" applyFill="1" applyBorder="1" applyAlignment="1">
      <alignment horizontal="left" vertical="top" wrapText="1"/>
    </xf>
    <xf numFmtId="0" fontId="0" fillId="5" borderId="17" xfId="0" applyFont="1" applyFill="1" applyBorder="1" applyAlignment="1">
      <alignment horizontal="center" vertical="center" wrapText="1"/>
    </xf>
    <xf numFmtId="164" fontId="0" fillId="5" borderId="17" xfId="0" applyNumberFormat="1" applyFont="1" applyFill="1" applyBorder="1" applyAlignment="1">
      <alignment horizontal="center" vertical="center" wrapText="1"/>
    </xf>
    <xf numFmtId="0" fontId="0" fillId="10" borderId="33" xfId="0" applyFill="1" applyBorder="1" applyAlignment="1">
      <alignment horizontal="center" vertical="center" wrapText="1"/>
    </xf>
    <xf numFmtId="0" fontId="0" fillId="0" borderId="58" xfId="0" applyBorder="1"/>
    <xf numFmtId="0" fontId="0" fillId="7" borderId="31" xfId="0" applyFill="1" applyBorder="1"/>
    <xf numFmtId="0" fontId="0" fillId="4" borderId="17" xfId="0" applyFont="1" applyFill="1" applyBorder="1" applyAlignment="1">
      <alignment horizontal="center" vertical="center" wrapText="1"/>
    </xf>
    <xf numFmtId="164" fontId="0" fillId="4" borderId="17" xfId="0" applyNumberFormat="1" applyFont="1" applyFill="1" applyBorder="1" applyAlignment="1">
      <alignment horizontal="center" vertical="center" wrapText="1"/>
    </xf>
    <xf numFmtId="0" fontId="0" fillId="5" borderId="59" xfId="0" applyFont="1" applyFill="1" applyBorder="1" applyAlignment="1">
      <alignment horizontal="left" vertical="top" wrapText="1" shrinkToFit="1"/>
    </xf>
    <xf numFmtId="0" fontId="0" fillId="0" borderId="60" xfId="0" applyBorder="1"/>
    <xf numFmtId="0" fontId="0" fillId="5" borderId="17" xfId="0" applyFill="1" applyBorder="1" applyAlignment="1">
      <alignment wrapText="1"/>
    </xf>
    <xf numFmtId="0" fontId="0" fillId="5" borderId="17" xfId="0" applyFill="1" applyBorder="1"/>
    <xf numFmtId="0" fontId="0" fillId="4" borderId="17" xfId="0" applyFill="1" applyBorder="1"/>
    <xf numFmtId="0" fontId="0" fillId="0" borderId="17" xfId="0" applyBorder="1"/>
    <xf numFmtId="0" fontId="0" fillId="3" borderId="17" xfId="0" applyFont="1" applyFill="1" applyBorder="1" applyAlignment="1">
      <alignment horizontal="center" vertical="center" wrapText="1"/>
    </xf>
    <xf numFmtId="22" fontId="0" fillId="3" borderId="17" xfId="0" applyNumberFormat="1" applyFont="1" applyFill="1" applyBorder="1" applyAlignment="1">
      <alignment horizontal="center" vertical="center" wrapText="1"/>
    </xf>
    <xf numFmtId="0" fontId="0" fillId="21" borderId="17" xfId="0" applyFont="1" applyFill="1" applyBorder="1" applyAlignment="1">
      <alignment horizontal="center" vertical="center" wrapText="1"/>
    </xf>
    <xf numFmtId="22" fontId="0" fillId="21" borderId="17" xfId="0" applyNumberFormat="1" applyFont="1" applyFill="1" applyBorder="1" applyAlignment="1">
      <alignment horizontal="center" vertical="center" wrapText="1"/>
    </xf>
    <xf numFmtId="0" fontId="0" fillId="7" borderId="17" xfId="0" applyFill="1" applyBorder="1" applyAlignment="1">
      <alignment wrapText="1"/>
    </xf>
    <xf numFmtId="0" fontId="0" fillId="21" borderId="17" xfId="0" quotePrefix="1" applyFont="1" applyFill="1" applyBorder="1" applyAlignment="1">
      <alignment horizontal="center" vertical="center" wrapText="1"/>
    </xf>
    <xf numFmtId="0" fontId="0" fillId="7" borderId="17" xfId="0" applyFill="1" applyBorder="1"/>
    <xf numFmtId="0" fontId="56" fillId="4" borderId="0" xfId="3" applyFont="1" applyFill="1" applyBorder="1" applyAlignment="1">
      <alignment horizontal="left"/>
    </xf>
    <xf numFmtId="0" fontId="57" fillId="4" borderId="0" xfId="0" applyFont="1" applyFill="1"/>
    <xf numFmtId="0" fontId="55" fillId="4" borderId="0" xfId="0" applyFont="1" applyFill="1"/>
    <xf numFmtId="0" fontId="55" fillId="4" borderId="0" xfId="0" applyFont="1" applyFill="1" applyAlignment="1">
      <alignment horizontal="center" vertical="center"/>
    </xf>
    <xf numFmtId="0" fontId="2" fillId="4" borderId="61" xfId="2" applyFill="1" applyBorder="1" applyAlignment="1">
      <alignment horizontal="left"/>
    </xf>
    <xf numFmtId="0" fontId="2" fillId="4" borderId="62" xfId="2" applyFill="1" applyBorder="1" applyAlignment="1">
      <alignment horizontal="left"/>
    </xf>
    <xf numFmtId="0" fontId="51" fillId="5" borderId="63" xfId="0" applyFont="1" applyFill="1" applyBorder="1"/>
    <xf numFmtId="0" fontId="3" fillId="4" borderId="64" xfId="3" applyFill="1" applyBorder="1" applyAlignment="1">
      <alignment horizontal="left"/>
    </xf>
    <xf numFmtId="0" fontId="55" fillId="5" borderId="65" xfId="0" applyFont="1" applyFill="1" applyBorder="1"/>
    <xf numFmtId="0" fontId="3" fillId="4" borderId="66" xfId="3" applyFill="1" applyBorder="1" applyAlignment="1">
      <alignment horizontal="left"/>
    </xf>
    <xf numFmtId="0" fontId="0" fillId="4" borderId="67" xfId="0" applyFill="1" applyBorder="1"/>
    <xf numFmtId="0" fontId="3" fillId="4" borderId="67" xfId="3" applyFill="1" applyBorder="1" applyAlignment="1">
      <alignment horizontal="left"/>
    </xf>
    <xf numFmtId="0" fontId="53" fillId="5" borderId="68" xfId="0" applyFont="1" applyFill="1" applyBorder="1"/>
    <xf numFmtId="0" fontId="52" fillId="5" borderId="65" xfId="0" applyFont="1" applyFill="1" applyBorder="1"/>
    <xf numFmtId="0" fontId="8" fillId="4" borderId="0" xfId="4" applyFont="1" applyFill="1" applyBorder="1"/>
    <xf numFmtId="0" fontId="3" fillId="4" borderId="0" xfId="3" applyFill="1" applyBorder="1"/>
    <xf numFmtId="0" fontId="0" fillId="0" borderId="0" xfId="0" applyAlignment="1"/>
    <xf numFmtId="0" fontId="59" fillId="24" borderId="72" xfId="0" applyFont="1" applyFill="1" applyBorder="1" applyAlignment="1">
      <alignment horizontal="center" vertical="center"/>
    </xf>
    <xf numFmtId="0" fontId="59" fillId="24" borderId="74" xfId="0" applyFont="1" applyFill="1" applyBorder="1" applyAlignment="1">
      <alignment horizontal="center" vertical="center"/>
    </xf>
    <xf numFmtId="0" fontId="60" fillId="26" borderId="75" xfId="0" applyFont="1" applyFill="1" applyBorder="1" applyAlignment="1">
      <alignment horizontal="center" vertical="center"/>
    </xf>
    <xf numFmtId="9" fontId="59" fillId="27" borderId="72" xfId="1" applyFont="1" applyFill="1" applyBorder="1" applyAlignment="1" applyProtection="1">
      <alignment horizontal="center" vertical="center"/>
    </xf>
    <xf numFmtId="9" fontId="59" fillId="28" borderId="79" xfId="1" applyFont="1" applyFill="1" applyBorder="1" applyAlignment="1" applyProtection="1">
      <alignment horizontal="center" vertical="center"/>
    </xf>
    <xf numFmtId="0" fontId="63" fillId="0" borderId="0" xfId="0" applyFont="1"/>
    <xf numFmtId="0" fontId="10" fillId="2" borderId="33" xfId="6" applyBorder="1" applyAlignment="1">
      <alignment vertical="center" wrapText="1"/>
    </xf>
    <xf numFmtId="0" fontId="64" fillId="29" borderId="33" xfId="0" applyFont="1" applyFill="1" applyBorder="1" applyAlignment="1">
      <alignment vertical="center" wrapText="1"/>
    </xf>
    <xf numFmtId="0" fontId="64" fillId="29" borderId="33" xfId="0" applyFont="1" applyFill="1" applyBorder="1" applyAlignment="1">
      <alignment horizontal="right" vertical="center" wrapText="1"/>
    </xf>
    <xf numFmtId="0" fontId="63" fillId="29" borderId="33" xfId="0" applyFont="1" applyFill="1" applyBorder="1" applyAlignment="1">
      <alignment vertical="center" wrapText="1"/>
    </xf>
    <xf numFmtId="0" fontId="65" fillId="29" borderId="33" xfId="0" applyFont="1" applyFill="1" applyBorder="1" applyAlignment="1">
      <alignment vertical="center" wrapText="1"/>
    </xf>
    <xf numFmtId="0" fontId="65" fillId="29" borderId="33" xfId="0" applyFont="1" applyFill="1" applyBorder="1" applyAlignment="1">
      <alignment horizontal="right" vertical="center" wrapText="1"/>
    </xf>
    <xf numFmtId="0" fontId="65" fillId="29" borderId="33" xfId="0" applyFont="1" applyFill="1" applyBorder="1" applyAlignment="1">
      <alignment horizontal="left" vertical="center" wrapText="1" indent="5"/>
    </xf>
    <xf numFmtId="0" fontId="63" fillId="30" borderId="33" xfId="0" applyFont="1" applyFill="1" applyBorder="1" applyAlignment="1">
      <alignment vertical="center" wrapText="1"/>
    </xf>
    <xf numFmtId="14" fontId="64" fillId="29" borderId="33" xfId="0" applyNumberFormat="1" applyFont="1" applyFill="1" applyBorder="1" applyAlignment="1">
      <alignment horizontal="right" vertical="center" wrapText="1"/>
    </xf>
    <xf numFmtId="0" fontId="62" fillId="30" borderId="33" xfId="0" applyFont="1" applyFill="1" applyBorder="1" applyAlignment="1">
      <alignment vertical="center" wrapText="1"/>
    </xf>
    <xf numFmtId="0" fontId="62" fillId="30" borderId="33" xfId="0" applyNumberFormat="1" applyFont="1" applyFill="1" applyBorder="1" applyAlignment="1">
      <alignment horizontal="center" vertical="center" wrapText="1"/>
    </xf>
    <xf numFmtId="14" fontId="62" fillId="30" borderId="33" xfId="0" applyNumberFormat="1" applyFont="1" applyFill="1" applyBorder="1" applyAlignment="1">
      <alignment horizontal="center" vertical="center"/>
    </xf>
    <xf numFmtId="14" fontId="66" fillId="31" borderId="33" xfId="0" applyNumberFormat="1" applyFont="1" applyFill="1" applyBorder="1" applyAlignment="1">
      <alignment horizontal="center" vertical="center"/>
    </xf>
    <xf numFmtId="14" fontId="62" fillId="30" borderId="38" xfId="0" applyNumberFormat="1" applyFont="1" applyFill="1" applyBorder="1" applyAlignment="1">
      <alignment horizontal="center" vertical="center" wrapText="1"/>
    </xf>
    <xf numFmtId="14" fontId="66" fillId="31" borderId="37" xfId="0" applyNumberFormat="1" applyFont="1" applyFill="1" applyBorder="1" applyAlignment="1">
      <alignment horizontal="center" vertical="center"/>
    </xf>
    <xf numFmtId="0" fontId="65" fillId="29" borderId="37" xfId="0" applyFont="1" applyFill="1" applyBorder="1" applyAlignment="1">
      <alignment horizontal="right" vertical="center" wrapText="1"/>
    </xf>
    <xf numFmtId="0" fontId="64" fillId="29" borderId="37" xfId="0" applyFont="1" applyFill="1" applyBorder="1" applyAlignment="1">
      <alignment horizontal="right" vertical="center" wrapText="1"/>
    </xf>
    <xf numFmtId="0" fontId="11" fillId="25" borderId="0" xfId="7" applyFont="1" applyFill="1" applyBorder="1" applyAlignment="1">
      <alignment horizontal="center" vertical="center" wrapText="1"/>
    </xf>
    <xf numFmtId="14" fontId="62" fillId="25" borderId="0" xfId="0" applyNumberFormat="1" applyFont="1" applyFill="1" applyBorder="1" applyAlignment="1">
      <alignment horizontal="center" vertical="center" wrapText="1"/>
    </xf>
    <xf numFmtId="0" fontId="64" fillId="25" borderId="0" xfId="0" applyFont="1" applyFill="1" applyBorder="1" applyAlignment="1">
      <alignment horizontal="right" vertical="center" wrapText="1"/>
    </xf>
    <xf numFmtId="0" fontId="65" fillId="25" borderId="0" xfId="0" applyFont="1" applyFill="1" applyBorder="1" applyAlignment="1">
      <alignment horizontal="right" vertical="center" wrapText="1"/>
    </xf>
    <xf numFmtId="0" fontId="63" fillId="25" borderId="0" xfId="0" applyFont="1" applyFill="1" applyBorder="1"/>
    <xf numFmtId="0" fontId="11" fillId="25" borderId="81" xfId="7" applyFont="1" applyFill="1" applyBorder="1" applyAlignment="1">
      <alignment horizontal="center" vertical="center" wrapText="1"/>
    </xf>
    <xf numFmtId="0" fontId="63" fillId="0" borderId="33" xfId="0" applyFont="1" applyBorder="1"/>
    <xf numFmtId="0" fontId="63" fillId="0" borderId="37" xfId="0" applyFont="1" applyBorder="1"/>
    <xf numFmtId="0" fontId="10" fillId="2" borderId="33" xfId="6" applyBorder="1"/>
    <xf numFmtId="0" fontId="50" fillId="2" borderId="33" xfId="6" applyFont="1" applyBorder="1" applyAlignment="1">
      <alignment horizontal="left" vertical="center" wrapText="1"/>
    </xf>
    <xf numFmtId="0" fontId="67" fillId="0" borderId="33" xfId="0" applyFont="1" applyBorder="1"/>
    <xf numFmtId="14" fontId="64" fillId="29" borderId="38" xfId="0" applyNumberFormat="1" applyFont="1" applyFill="1" applyBorder="1" applyAlignment="1">
      <alignment horizontal="right" vertical="center" wrapText="1"/>
    </xf>
    <xf numFmtId="14" fontId="65" fillId="29" borderId="33" xfId="0" applyNumberFormat="1" applyFont="1" applyFill="1" applyBorder="1" applyAlignment="1">
      <alignment horizontal="right" vertical="center" wrapText="1"/>
    </xf>
    <xf numFmtId="14" fontId="65" fillId="29" borderId="38" xfId="0" applyNumberFormat="1" applyFont="1" applyFill="1" applyBorder="1" applyAlignment="1">
      <alignment horizontal="right" vertical="center" wrapText="1"/>
    </xf>
    <xf numFmtId="14" fontId="11" fillId="25" borderId="81" xfId="7" applyNumberFormat="1" applyFont="1" applyFill="1" applyBorder="1" applyAlignment="1">
      <alignment horizontal="center" vertical="center" wrapText="1"/>
    </xf>
    <xf numFmtId="14" fontId="11" fillId="25" borderId="82" xfId="7" applyNumberFormat="1" applyFont="1" applyFill="1" applyBorder="1" applyAlignment="1">
      <alignment horizontal="center" vertical="center" wrapText="1"/>
    </xf>
    <xf numFmtId="14" fontId="63" fillId="0" borderId="33" xfId="0" applyNumberFormat="1" applyFont="1" applyBorder="1"/>
    <xf numFmtId="14" fontId="63" fillId="0" borderId="38" xfId="0" applyNumberFormat="1" applyFont="1" applyBorder="1"/>
    <xf numFmtId="14" fontId="63" fillId="0" borderId="0" xfId="0" applyNumberFormat="1" applyFont="1"/>
    <xf numFmtId="0" fontId="25" fillId="2" borderId="33" xfId="6" applyNumberFormat="1" applyFont="1" applyBorder="1" applyAlignment="1">
      <alignment horizontal="center" vertical="center" wrapText="1"/>
    </xf>
    <xf numFmtId="14" fontId="25" fillId="2" borderId="33" xfId="6" applyNumberFormat="1" applyFont="1" applyBorder="1" applyAlignment="1">
      <alignment horizontal="center" vertical="center"/>
    </xf>
    <xf numFmtId="14" fontId="25" fillId="2" borderId="38" xfId="6" applyNumberFormat="1" applyFont="1" applyBorder="1" applyAlignment="1">
      <alignment horizontal="center" vertical="center" wrapText="1"/>
    </xf>
    <xf numFmtId="0" fontId="0" fillId="4" borderId="69" xfId="0" applyFill="1" applyBorder="1" applyAlignment="1"/>
    <xf numFmtId="0" fontId="60" fillId="4" borderId="71" xfId="0" applyFont="1" applyFill="1" applyBorder="1" applyAlignment="1"/>
    <xf numFmtId="0" fontId="59" fillId="4" borderId="72" xfId="0" applyFont="1" applyFill="1" applyBorder="1" applyAlignment="1">
      <alignment horizontal="center" vertical="center"/>
    </xf>
    <xf numFmtId="0" fontId="60" fillId="4" borderId="73" xfId="0" applyFont="1" applyFill="1" applyBorder="1" applyAlignment="1"/>
    <xf numFmtId="0" fontId="59" fillId="4" borderId="74" xfId="0" applyFont="1" applyFill="1" applyBorder="1" applyAlignment="1">
      <alignment horizontal="center" vertical="center"/>
    </xf>
    <xf numFmtId="0" fontId="60" fillId="32" borderId="71" xfId="0" applyFont="1" applyFill="1" applyBorder="1" applyAlignment="1"/>
    <xf numFmtId="0" fontId="60" fillId="32" borderId="75" xfId="0" applyFont="1" applyFill="1" applyBorder="1" applyAlignment="1">
      <alignment horizontal="center" vertical="center"/>
    </xf>
    <xf numFmtId="0" fontId="60" fillId="32" borderId="76" xfId="0" applyFont="1" applyFill="1" applyBorder="1" applyAlignment="1"/>
    <xf numFmtId="0" fontId="60" fillId="33" borderId="78" xfId="0" applyFont="1" applyFill="1" applyBorder="1" applyAlignment="1"/>
    <xf numFmtId="9" fontId="59" fillId="33" borderId="72" xfId="1" applyFont="1" applyFill="1" applyBorder="1" applyAlignment="1" applyProtection="1">
      <alignment horizontal="center" vertical="center"/>
    </xf>
    <xf numFmtId="0" fontId="60" fillId="34" borderId="79" xfId="0" applyFont="1" applyFill="1" applyBorder="1" applyAlignment="1"/>
    <xf numFmtId="9" fontId="59" fillId="34" borderId="79" xfId="1" applyFont="1" applyFill="1" applyBorder="1" applyAlignment="1" applyProtection="1">
      <alignment horizontal="center" vertical="center"/>
    </xf>
    <xf numFmtId="16" fontId="58" fillId="35" borderId="70" xfId="0" applyNumberFormat="1" applyFont="1" applyFill="1" applyBorder="1" applyAlignment="1">
      <alignment horizontal="center"/>
    </xf>
    <xf numFmtId="0" fontId="61" fillId="35" borderId="77" xfId="0" applyFont="1" applyFill="1" applyBorder="1" applyAlignment="1">
      <alignment horizontal="center" vertical="center"/>
    </xf>
    <xf numFmtId="0" fontId="61" fillId="35" borderId="80" xfId="0" applyFont="1" applyFill="1" applyBorder="1" applyAlignment="1"/>
    <xf numFmtId="1" fontId="59" fillId="36" borderId="77" xfId="1" applyNumberFormat="1" applyFont="1" applyFill="1" applyBorder="1" applyAlignment="1" applyProtection="1">
      <alignment horizontal="center" vertical="center"/>
    </xf>
    <xf numFmtId="0" fontId="65" fillId="29" borderId="33" xfId="0" applyFont="1" applyFill="1" applyBorder="1" applyAlignment="1">
      <alignment horizontal="left" wrapText="1"/>
    </xf>
    <xf numFmtId="0" fontId="68" fillId="4" borderId="33" xfId="6" applyNumberFormat="1" applyFont="1" applyFill="1" applyBorder="1" applyAlignment="1">
      <alignment horizontal="center" vertical="center" wrapText="1"/>
    </xf>
    <xf numFmtId="14" fontId="68" fillId="4" borderId="33" xfId="6" applyNumberFormat="1" applyFont="1" applyFill="1" applyBorder="1" applyAlignment="1">
      <alignment horizontal="center" vertical="center"/>
    </xf>
    <xf numFmtId="14" fontId="68" fillId="4" borderId="38" xfId="6" applyNumberFormat="1" applyFont="1" applyFill="1" applyBorder="1" applyAlignment="1">
      <alignment horizontal="center" vertical="center" wrapText="1"/>
    </xf>
    <xf numFmtId="0" fontId="69" fillId="29" borderId="33" xfId="0" applyFont="1" applyFill="1" applyBorder="1" applyAlignment="1">
      <alignment horizontal="left" wrapText="1"/>
    </xf>
    <xf numFmtId="0" fontId="70" fillId="37" borderId="33" xfId="6" applyFont="1" applyFill="1" applyBorder="1" applyAlignment="1">
      <alignment horizontal="left" vertical="center" wrapText="1"/>
    </xf>
    <xf numFmtId="0" fontId="71" fillId="37" borderId="33" xfId="6" applyNumberFormat="1" applyFont="1" applyFill="1" applyBorder="1" applyAlignment="1">
      <alignment horizontal="center" vertical="center" wrapText="1"/>
    </xf>
    <xf numFmtId="14" fontId="71" fillId="37" borderId="33" xfId="6" applyNumberFormat="1" applyFont="1" applyFill="1" applyBorder="1" applyAlignment="1">
      <alignment horizontal="center" vertical="center"/>
    </xf>
    <xf numFmtId="14" fontId="71" fillId="37" borderId="38" xfId="6" applyNumberFormat="1" applyFont="1" applyFill="1" applyBorder="1" applyAlignment="1">
      <alignment horizontal="center" vertical="center" wrapText="1"/>
    </xf>
    <xf numFmtId="0" fontId="69" fillId="29" borderId="33" xfId="0" applyFont="1" applyFill="1" applyBorder="1" applyAlignment="1">
      <alignment vertical="center" wrapText="1"/>
    </xf>
    <xf numFmtId="0" fontId="65" fillId="37" borderId="33" xfId="0" applyFont="1" applyFill="1" applyBorder="1" applyAlignment="1">
      <alignment horizontal="left" wrapText="1"/>
    </xf>
    <xf numFmtId="0" fontId="10" fillId="37" borderId="33" xfId="6" applyFill="1" applyBorder="1" applyAlignment="1">
      <alignment vertical="center" wrapText="1"/>
    </xf>
    <xf numFmtId="0" fontId="63" fillId="37" borderId="33" xfId="0" applyFont="1" applyFill="1" applyBorder="1" applyAlignment="1">
      <alignment vertical="center" wrapText="1"/>
    </xf>
    <xf numFmtId="0" fontId="63" fillId="0" borderId="0" xfId="0" applyFont="1" applyAlignment="1">
      <alignment horizontal="center" wrapText="1"/>
    </xf>
    <xf numFmtId="0" fontId="74" fillId="7" borderId="72" xfId="0" applyFont="1" applyFill="1" applyBorder="1" applyAlignment="1">
      <alignment horizontal="center" vertical="center"/>
    </xf>
    <xf numFmtId="0" fontId="74" fillId="7" borderId="74" xfId="0" applyFont="1" applyFill="1" applyBorder="1" applyAlignment="1">
      <alignment horizontal="center" vertical="center"/>
    </xf>
    <xf numFmtId="1" fontId="74" fillId="38" borderId="77" xfId="1" applyNumberFormat="1" applyFont="1" applyFill="1" applyBorder="1" applyAlignment="1" applyProtection="1">
      <alignment horizontal="center" vertical="center"/>
    </xf>
    <xf numFmtId="0" fontId="75" fillId="41" borderId="77" xfId="0" applyFont="1" applyFill="1" applyBorder="1" applyAlignment="1">
      <alignment horizontal="center" vertical="center"/>
    </xf>
    <xf numFmtId="1" fontId="76" fillId="26" borderId="77" xfId="1" applyNumberFormat="1" applyFont="1" applyFill="1" applyBorder="1" applyAlignment="1" applyProtection="1">
      <alignment horizontal="center" vertical="center"/>
    </xf>
    <xf numFmtId="0" fontId="60" fillId="4" borderId="85" xfId="0" applyFont="1" applyFill="1" applyBorder="1" applyAlignment="1"/>
    <xf numFmtId="0" fontId="59" fillId="4" borderId="86" xfId="0" applyFont="1" applyFill="1" applyBorder="1" applyAlignment="1">
      <alignment horizontal="center" vertical="center"/>
    </xf>
    <xf numFmtId="0" fontId="59" fillId="7" borderId="86" xfId="0" applyFont="1" applyFill="1" applyBorder="1" applyAlignment="1">
      <alignment horizontal="center" vertical="center"/>
    </xf>
    <xf numFmtId="0" fontId="59" fillId="24" borderId="86" xfId="0" applyFont="1" applyFill="1" applyBorder="1" applyAlignment="1">
      <alignment horizontal="center" vertical="center"/>
    </xf>
    <xf numFmtId="0" fontId="59" fillId="7" borderId="74" xfId="0" applyFont="1" applyFill="1" applyBorder="1" applyAlignment="1">
      <alignment horizontal="center" vertical="center"/>
    </xf>
    <xf numFmtId="0" fontId="74" fillId="7" borderId="86" xfId="0" applyFont="1" applyFill="1" applyBorder="1" applyAlignment="1">
      <alignment horizontal="center" vertical="center"/>
    </xf>
    <xf numFmtId="0" fontId="60" fillId="38" borderId="75" xfId="0" applyFont="1" applyFill="1" applyBorder="1" applyAlignment="1">
      <alignment horizontal="center" vertical="center"/>
    </xf>
    <xf numFmtId="9" fontId="59" fillId="39" borderId="72" xfId="1" applyFont="1" applyFill="1" applyBorder="1" applyAlignment="1" applyProtection="1">
      <alignment horizontal="center" vertical="center"/>
    </xf>
    <xf numFmtId="9" fontId="59" fillId="40" borderId="79" xfId="1" applyFont="1" applyFill="1" applyBorder="1" applyAlignment="1" applyProtection="1">
      <alignment horizontal="center" vertical="center"/>
    </xf>
    <xf numFmtId="0" fontId="59" fillId="7" borderId="72" xfId="0" applyFont="1" applyFill="1" applyBorder="1" applyAlignment="1">
      <alignment horizontal="center" vertical="center"/>
    </xf>
    <xf numFmtId="1" fontId="59" fillId="38" borderId="77" xfId="1" applyNumberFormat="1" applyFont="1" applyFill="1" applyBorder="1" applyAlignment="1" applyProtection="1">
      <alignment horizontal="center" vertical="center"/>
    </xf>
    <xf numFmtId="0" fontId="61" fillId="41" borderId="77" xfId="0" applyFont="1" applyFill="1" applyBorder="1" applyAlignment="1">
      <alignment horizontal="center" vertical="center"/>
    </xf>
    <xf numFmtId="0" fontId="0" fillId="9" borderId="0" xfId="0" applyFill="1" applyAlignment="1"/>
    <xf numFmtId="0" fontId="79" fillId="9" borderId="0" xfId="0" applyFont="1" applyFill="1" applyAlignment="1"/>
    <xf numFmtId="0" fontId="80" fillId="41" borderId="77" xfId="0" applyFont="1" applyFill="1" applyBorder="1" applyAlignment="1">
      <alignment horizontal="center" vertical="center"/>
    </xf>
    <xf numFmtId="0" fontId="59" fillId="24" borderId="87" xfId="0" applyFont="1" applyFill="1" applyBorder="1" applyAlignment="1">
      <alignment horizontal="center" vertical="center"/>
    </xf>
    <xf numFmtId="0" fontId="59" fillId="24" borderId="88" xfId="0" applyFont="1" applyFill="1" applyBorder="1" applyAlignment="1">
      <alignment horizontal="center" vertical="center"/>
    </xf>
    <xf numFmtId="0" fontId="59" fillId="24" borderId="89" xfId="0" applyFont="1" applyFill="1" applyBorder="1" applyAlignment="1">
      <alignment horizontal="center" vertical="center"/>
    </xf>
    <xf numFmtId="0" fontId="59" fillId="24" borderId="90" xfId="0" applyFont="1" applyFill="1" applyBorder="1" applyAlignment="1">
      <alignment horizontal="center" vertical="center"/>
    </xf>
    <xf numFmtId="16" fontId="58" fillId="35" borderId="91" xfId="0" applyNumberFormat="1" applyFont="1" applyFill="1" applyBorder="1" applyAlignment="1">
      <alignment horizontal="center"/>
    </xf>
    <xf numFmtId="0" fontId="59" fillId="4" borderId="79" xfId="0" applyFont="1" applyFill="1" applyBorder="1" applyAlignment="1">
      <alignment horizontal="center" vertical="center"/>
    </xf>
    <xf numFmtId="0" fontId="74" fillId="7" borderId="79" xfId="0" applyFont="1" applyFill="1" applyBorder="1" applyAlignment="1">
      <alignment horizontal="center" vertical="center"/>
    </xf>
    <xf numFmtId="0" fontId="59" fillId="7" borderId="79" xfId="0" applyFont="1" applyFill="1" applyBorder="1" applyAlignment="1">
      <alignment horizontal="center" vertical="center"/>
    </xf>
    <xf numFmtId="0" fontId="81" fillId="26" borderId="75" xfId="0" applyFont="1" applyFill="1" applyBorder="1" applyAlignment="1">
      <alignment horizontal="center" vertical="center"/>
    </xf>
    <xf numFmtId="0" fontId="0" fillId="7" borderId="0" xfId="0" applyFill="1" applyBorder="1"/>
    <xf numFmtId="0" fontId="7" fillId="7" borderId="0" xfId="5" applyFont="1" applyFill="1" applyBorder="1" applyAlignment="1" applyProtection="1"/>
    <xf numFmtId="22" fontId="0" fillId="7" borderId="0" xfId="0" applyNumberFormat="1" applyFill="1" applyBorder="1"/>
    <xf numFmtId="0" fontId="82" fillId="0" borderId="0" xfId="0" applyFont="1" applyAlignment="1">
      <alignment horizontal="left" vertical="top"/>
    </xf>
    <xf numFmtId="0" fontId="82" fillId="0" borderId="0" xfId="0" applyFont="1" applyBorder="1" applyAlignment="1">
      <alignment horizontal="center" vertical="top"/>
    </xf>
    <xf numFmtId="0" fontId="82" fillId="0" borderId="0" xfId="0" applyFont="1" applyBorder="1" applyAlignment="1">
      <alignment horizontal="left" vertical="top"/>
    </xf>
    <xf numFmtId="0" fontId="82" fillId="0" borderId="0" xfId="0" applyFont="1" applyBorder="1" applyAlignment="1">
      <alignment horizontal="left" vertical="top" wrapText="1"/>
    </xf>
    <xf numFmtId="0" fontId="82" fillId="0" borderId="0" xfId="0" applyFont="1" applyAlignment="1">
      <alignment horizontal="center" vertical="top"/>
    </xf>
    <xf numFmtId="0" fontId="82" fillId="0" borderId="0" xfId="0" applyFont="1" applyAlignment="1">
      <alignment horizontal="left" vertical="top" wrapText="1"/>
    </xf>
    <xf numFmtId="0" fontId="82" fillId="4" borderId="0" xfId="0" applyFont="1" applyFill="1" applyAlignment="1">
      <alignment horizontal="center" vertical="top"/>
    </xf>
    <xf numFmtId="0" fontId="82" fillId="4" borderId="0" xfId="0" applyFont="1" applyFill="1" applyAlignment="1">
      <alignment horizontal="left" vertical="top"/>
    </xf>
    <xf numFmtId="0" fontId="82" fillId="4" borderId="0" xfId="0" applyFont="1" applyFill="1" applyAlignment="1">
      <alignment horizontal="left" vertical="top" wrapText="1"/>
    </xf>
    <xf numFmtId="0" fontId="45" fillId="18" borderId="0" xfId="0" applyFont="1" applyFill="1" applyAlignment="1"/>
    <xf numFmtId="0" fontId="1" fillId="4" borderId="0" xfId="0" applyFont="1" applyFill="1" applyAlignment="1"/>
    <xf numFmtId="0" fontId="1" fillId="4" borderId="0" xfId="0" applyFont="1" applyFill="1" applyBorder="1" applyAlignment="1"/>
    <xf numFmtId="0" fontId="0" fillId="42" borderId="0" xfId="0" applyFill="1"/>
    <xf numFmtId="0" fontId="12" fillId="42" borderId="0" xfId="0" applyFont="1" applyFill="1"/>
    <xf numFmtId="0" fontId="83" fillId="4" borderId="0" xfId="0" applyFont="1" applyFill="1" applyBorder="1" applyAlignment="1">
      <alignment wrapText="1"/>
    </xf>
    <xf numFmtId="0" fontId="83" fillId="4" borderId="92" xfId="0" applyFont="1" applyFill="1" applyBorder="1" applyAlignment="1"/>
    <xf numFmtId="0" fontId="10" fillId="2" borderId="2" xfId="6" applyBorder="1" applyAlignment="1">
      <alignment horizontal="center"/>
    </xf>
    <xf numFmtId="0" fontId="2" fillId="4" borderId="93" xfId="2" applyFill="1" applyBorder="1" applyAlignment="1">
      <alignment horizontal="left"/>
    </xf>
    <xf numFmtId="0" fontId="2" fillId="4" borderId="94" xfId="2" applyFill="1" applyBorder="1" applyAlignment="1">
      <alignment horizontal="left"/>
    </xf>
    <xf numFmtId="0" fontId="3" fillId="4" borderId="95" xfId="3" applyFill="1" applyBorder="1" applyAlignment="1">
      <alignment horizontal="left"/>
    </xf>
    <xf numFmtId="0" fontId="3" fillId="4" borderId="96" xfId="3" applyFill="1" applyBorder="1" applyAlignment="1">
      <alignment horizontal="left"/>
    </xf>
    <xf numFmtId="0" fontId="3" fillId="4" borderId="97" xfId="3" applyFill="1" applyBorder="1" applyAlignment="1">
      <alignment horizontal="left"/>
    </xf>
    <xf numFmtId="0" fontId="0" fillId="4" borderId="98" xfId="0" applyFill="1" applyBorder="1"/>
    <xf numFmtId="0" fontId="51" fillId="5" borderId="99" xfId="0" applyFont="1" applyFill="1" applyBorder="1"/>
    <xf numFmtId="0" fontId="52" fillId="5" borderId="100" xfId="0" applyFont="1" applyFill="1" applyBorder="1"/>
    <xf numFmtId="0" fontId="52" fillId="5" borderId="101" xfId="0" applyFont="1" applyFill="1" applyBorder="1"/>
    <xf numFmtId="0" fontId="10" fillId="2" borderId="2" xfId="6" applyBorder="1" applyAlignment="1">
      <alignment horizontal="center"/>
    </xf>
    <xf numFmtId="0" fontId="6" fillId="5" borderId="53" xfId="5" applyFill="1" applyBorder="1" applyAlignment="1" applyProtection="1">
      <alignment horizontal="center" vertical="center"/>
    </xf>
    <xf numFmtId="0" fontId="24" fillId="10" borderId="102" xfId="0" applyFont="1" applyFill="1" applyBorder="1" applyAlignment="1">
      <alignment vertical="top"/>
    </xf>
    <xf numFmtId="0" fontId="0" fillId="10" borderId="103" xfId="0" applyFill="1" applyBorder="1" applyAlignment="1">
      <alignment horizontal="center" vertical="center" wrapText="1"/>
    </xf>
    <xf numFmtId="0" fontId="0" fillId="4" borderId="104" xfId="0" applyFill="1" applyBorder="1"/>
    <xf numFmtId="0" fontId="6" fillId="0" borderId="33" xfId="5" applyBorder="1" applyAlignment="1" applyProtection="1">
      <alignment horizontal="left" vertical="center"/>
    </xf>
    <xf numFmtId="0" fontId="0" fillId="4" borderId="0" xfId="0" quotePrefix="1" applyFill="1" applyBorder="1" applyAlignment="1">
      <alignment horizontal="center"/>
    </xf>
    <xf numFmtId="0" fontId="9" fillId="4" borderId="0" xfId="0" applyFont="1" applyFill="1" applyBorder="1"/>
    <xf numFmtId="0" fontId="25" fillId="4" borderId="0" xfId="6" applyFont="1" applyFill="1" applyBorder="1" applyAlignment="1"/>
    <xf numFmtId="0" fontId="0" fillId="14" borderId="0" xfId="0" applyFill="1" applyBorder="1" applyAlignment="1"/>
    <xf numFmtId="0" fontId="10" fillId="4" borderId="0" xfId="6" applyFill="1" applyBorder="1" applyAlignment="1">
      <alignment horizontal="center"/>
    </xf>
    <xf numFmtId="0" fontId="24" fillId="4" borderId="105" xfId="0" applyFont="1" applyFill="1" applyBorder="1"/>
    <xf numFmtId="0" fontId="0" fillId="4" borderId="108" xfId="0" applyFill="1" applyBorder="1"/>
    <xf numFmtId="0" fontId="0" fillId="4" borderId="109" xfId="0" applyFill="1" applyBorder="1"/>
    <xf numFmtId="0" fontId="24" fillId="4" borderId="110" xfId="0" applyFont="1" applyFill="1" applyBorder="1"/>
    <xf numFmtId="0" fontId="0" fillId="4" borderId="111" xfId="0" applyFill="1" applyBorder="1"/>
    <xf numFmtId="0" fontId="24" fillId="4" borderId="112" xfId="0" applyFont="1" applyFill="1" applyBorder="1"/>
    <xf numFmtId="0" fontId="0" fillId="4" borderId="114" xfId="0" applyFill="1" applyBorder="1"/>
    <xf numFmtId="0" fontId="0" fillId="4" borderId="115" xfId="0" applyFill="1" applyBorder="1"/>
    <xf numFmtId="0" fontId="0" fillId="4" borderId="116" xfId="0" applyFill="1" applyBorder="1" applyAlignment="1">
      <alignment horizontal="center"/>
    </xf>
    <xf numFmtId="0" fontId="24" fillId="4" borderId="117" xfId="0" applyFont="1" applyFill="1" applyBorder="1"/>
    <xf numFmtId="0" fontId="10" fillId="2" borderId="120" xfId="6" applyBorder="1" applyAlignment="1">
      <alignment horizontal="center"/>
    </xf>
    <xf numFmtId="0" fontId="0" fillId="4" borderId="0" xfId="0" applyFill="1" applyBorder="1" applyAlignment="1">
      <alignment horizontal="center"/>
    </xf>
    <xf numFmtId="0" fontId="82" fillId="4" borderId="0" xfId="0" applyFont="1" applyFill="1" applyBorder="1" applyAlignment="1">
      <alignment horizontal="center" vertical="top"/>
    </xf>
    <xf numFmtId="0" fontId="82" fillId="4" borderId="0" xfId="0" applyFont="1" applyFill="1" applyBorder="1" applyAlignment="1">
      <alignment horizontal="left" vertical="top"/>
    </xf>
    <xf numFmtId="0" fontId="82" fillId="4" borderId="0" xfId="0" applyFont="1" applyFill="1" applyBorder="1" applyAlignment="1">
      <alignment horizontal="left" vertical="top" wrapText="1"/>
    </xf>
    <xf numFmtId="9" fontId="59" fillId="44" borderId="72" xfId="1" applyFont="1" applyFill="1" applyBorder="1" applyAlignment="1" applyProtection="1">
      <alignment horizontal="center" vertical="center"/>
    </xf>
    <xf numFmtId="9" fontId="59" fillId="45" borderId="79" xfId="1" applyFont="1" applyFill="1" applyBorder="1" applyAlignment="1" applyProtection="1">
      <alignment horizontal="center" vertical="center"/>
    </xf>
    <xf numFmtId="1" fontId="59" fillId="46" borderId="77" xfId="1" applyNumberFormat="1" applyFont="1" applyFill="1" applyBorder="1" applyAlignment="1" applyProtection="1">
      <alignment horizontal="center" vertical="center"/>
    </xf>
    <xf numFmtId="0" fontId="10" fillId="2" borderId="38" xfId="6" quotePrefix="1" applyBorder="1" applyAlignment="1"/>
    <xf numFmtId="0" fontId="10" fillId="2" borderId="38" xfId="6" applyBorder="1" applyAlignment="1"/>
    <xf numFmtId="0" fontId="10" fillId="2" borderId="38" xfId="6" applyBorder="1"/>
    <xf numFmtId="0" fontId="10" fillId="2" borderId="36" xfId="6" applyBorder="1" applyAlignment="1"/>
    <xf numFmtId="0" fontId="10" fillId="2" borderId="37" xfId="6" applyBorder="1"/>
    <xf numFmtId="0" fontId="10" fillId="2" borderId="44" xfId="6" applyBorder="1"/>
    <xf numFmtId="0" fontId="10" fillId="2" borderId="0" xfId="6" applyFont="1"/>
    <xf numFmtId="0" fontId="1" fillId="4" borderId="0" xfId="0" applyFont="1" applyFill="1" applyBorder="1"/>
    <xf numFmtId="0" fontId="1" fillId="4" borderId="0" xfId="0" applyFont="1" applyFill="1"/>
    <xf numFmtId="0" fontId="10" fillId="4" borderId="0" xfId="6" applyFont="1" applyFill="1"/>
    <xf numFmtId="0" fontId="82" fillId="4" borderId="33" xfId="0" applyFont="1" applyFill="1" applyBorder="1" applyAlignment="1">
      <alignment horizontal="center" vertical="top"/>
    </xf>
    <xf numFmtId="0" fontId="82" fillId="4" borderId="104" xfId="0" applyFont="1" applyFill="1" applyBorder="1" applyAlignment="1">
      <alignment horizontal="left" vertical="top"/>
    </xf>
    <xf numFmtId="0" fontId="87" fillId="47" borderId="123" xfId="0" applyFont="1" applyFill="1" applyBorder="1" applyAlignment="1">
      <alignment horizontal="center" vertical="center" wrapText="1"/>
    </xf>
    <xf numFmtId="0" fontId="87" fillId="37" borderId="123" xfId="0" applyFont="1" applyFill="1" applyBorder="1" applyAlignment="1">
      <alignment horizontal="center" vertical="center" wrapText="1"/>
    </xf>
    <xf numFmtId="0" fontId="90" fillId="2" borderId="0" xfId="6" applyFont="1" applyBorder="1"/>
    <xf numFmtId="22" fontId="82" fillId="4" borderId="104" xfId="0" applyNumberFormat="1" applyFont="1" applyFill="1" applyBorder="1" applyAlignment="1">
      <alignment horizontal="left" vertical="top"/>
    </xf>
    <xf numFmtId="0" fontId="88" fillId="4" borderId="0" xfId="0" applyFont="1" applyFill="1" applyBorder="1" applyAlignment="1"/>
    <xf numFmtId="0" fontId="10" fillId="4" borderId="0" xfId="6" applyFill="1" applyBorder="1" applyAlignment="1">
      <alignment vertical="center"/>
    </xf>
    <xf numFmtId="0" fontId="0" fillId="4" borderId="129" xfId="0" quotePrefix="1" applyFill="1" applyBorder="1" applyAlignment="1"/>
    <xf numFmtId="0" fontId="0" fillId="4" borderId="130" xfId="0" quotePrefix="1" applyFill="1" applyBorder="1" applyAlignment="1"/>
    <xf numFmtId="0" fontId="10" fillId="2" borderId="130" xfId="6" applyBorder="1" applyAlignment="1"/>
    <xf numFmtId="0" fontId="0" fillId="4" borderId="129" xfId="0" applyFill="1" applyBorder="1" applyAlignment="1"/>
    <xf numFmtId="0" fontId="0" fillId="4" borderId="130" xfId="0" applyFill="1" applyBorder="1" applyAlignment="1"/>
    <xf numFmtId="0" fontId="0" fillId="0" borderId="130" xfId="0" applyBorder="1"/>
    <xf numFmtId="0" fontId="0" fillId="4" borderId="129" xfId="0" applyFill="1" applyBorder="1"/>
    <xf numFmtId="0" fontId="10" fillId="2" borderId="130" xfId="6" applyBorder="1" applyAlignment="1">
      <alignment horizontal="center"/>
    </xf>
    <xf numFmtId="0" fontId="10" fillId="2" borderId="129" xfId="6" quotePrefix="1" applyBorder="1" applyAlignment="1"/>
    <xf numFmtId="0" fontId="10" fillId="2" borderId="129" xfId="6" quotePrefix="1" applyBorder="1" applyAlignment="1">
      <alignment horizontal="left"/>
    </xf>
    <xf numFmtId="0" fontId="0" fillId="0" borderId="131" xfId="0" applyBorder="1"/>
    <xf numFmtId="0" fontId="10" fillId="2" borderId="33" xfId="6" applyBorder="1" applyAlignment="1">
      <alignment horizontal="left" vertical="center" wrapText="1"/>
    </xf>
    <xf numFmtId="0" fontId="10" fillId="2" borderId="33" xfId="6" applyNumberFormat="1" applyBorder="1" applyAlignment="1">
      <alignment horizontal="center" vertical="center" wrapText="1"/>
    </xf>
    <xf numFmtId="14" fontId="10" fillId="2" borderId="33" xfId="6" applyNumberFormat="1" applyBorder="1" applyAlignment="1">
      <alignment horizontal="center" vertical="center"/>
    </xf>
    <xf numFmtId="14" fontId="10" fillId="2" borderId="38" xfId="6" applyNumberFormat="1" applyBorder="1" applyAlignment="1">
      <alignment horizontal="center" vertical="center" wrapText="1"/>
    </xf>
    <xf numFmtId="0" fontId="10" fillId="2" borderId="33" xfId="6" applyBorder="1" applyAlignment="1">
      <alignment horizontal="center" vertical="center"/>
    </xf>
    <xf numFmtId="0" fontId="64" fillId="37" borderId="33" xfId="0" applyFont="1" applyFill="1" applyBorder="1" applyAlignment="1">
      <alignment horizontal="left" wrapText="1"/>
    </xf>
    <xf numFmtId="0" fontId="63" fillId="37" borderId="33" xfId="0" applyFont="1" applyFill="1" applyBorder="1"/>
    <xf numFmtId="0" fontId="63" fillId="4" borderId="0" xfId="0" applyFont="1" applyFill="1" applyBorder="1"/>
    <xf numFmtId="0" fontId="87" fillId="49" borderId="123" xfId="0" applyFont="1" applyFill="1" applyBorder="1" applyAlignment="1">
      <alignment horizontal="center" vertical="center" wrapText="1"/>
    </xf>
    <xf numFmtId="0" fontId="36" fillId="4" borderId="0" xfId="0" applyFont="1" applyFill="1" applyAlignment="1">
      <alignment horizontal="center" vertical="center"/>
    </xf>
    <xf numFmtId="165" fontId="82" fillId="4" borderId="104" xfId="0" applyNumberFormat="1" applyFont="1" applyFill="1" applyBorder="1" applyAlignment="1">
      <alignment horizontal="left" vertical="top"/>
    </xf>
    <xf numFmtId="0" fontId="82" fillId="4" borderId="104" xfId="0" applyFont="1" applyFill="1" applyBorder="1" applyAlignment="1">
      <alignment horizontal="left" vertical="top" wrapText="1"/>
    </xf>
    <xf numFmtId="0" fontId="82" fillId="49" borderId="104" xfId="0" applyFont="1" applyFill="1" applyBorder="1" applyAlignment="1">
      <alignment horizontal="left" vertical="top" wrapText="1"/>
    </xf>
    <xf numFmtId="0" fontId="82" fillId="4" borderId="33" xfId="0" applyFont="1" applyFill="1" applyBorder="1" applyAlignment="1">
      <alignment horizontal="left" vertical="top" wrapText="1"/>
    </xf>
    <xf numFmtId="0" fontId="82" fillId="49" borderId="33" xfId="0" applyFont="1" applyFill="1" applyBorder="1" applyAlignment="1">
      <alignment horizontal="left" vertical="top" wrapText="1"/>
    </xf>
    <xf numFmtId="0" fontId="92" fillId="4" borderId="33" xfId="0" applyFont="1" applyFill="1" applyBorder="1" applyAlignment="1">
      <alignment horizontal="center" vertical="top"/>
    </xf>
    <xf numFmtId="0" fontId="83" fillId="4" borderId="79" xfId="0" applyFont="1" applyFill="1" applyBorder="1" applyAlignment="1">
      <alignment horizontal="center"/>
    </xf>
    <xf numFmtId="0" fontId="83" fillId="4" borderId="0" xfId="0" applyFont="1" applyFill="1" applyBorder="1" applyAlignment="1">
      <alignment horizontal="center"/>
    </xf>
    <xf numFmtId="0" fontId="93" fillId="8" borderId="0" xfId="0" applyFont="1" applyFill="1" applyAlignment="1">
      <alignment horizontal="center" vertical="center"/>
    </xf>
    <xf numFmtId="0" fontId="93" fillId="50" borderId="0" xfId="0" applyFont="1" applyFill="1" applyAlignment="1">
      <alignment horizontal="center" vertical="center"/>
    </xf>
    <xf numFmtId="0" fontId="93" fillId="17" borderId="0" xfId="0" applyFont="1" applyFill="1" applyAlignment="1">
      <alignment horizontal="center" vertical="center"/>
    </xf>
    <xf numFmtId="0" fontId="11" fillId="24" borderId="79" xfId="0" applyFont="1" applyFill="1" applyBorder="1" applyAlignment="1">
      <alignment horizontal="center" wrapText="1"/>
    </xf>
    <xf numFmtId="0" fontId="11" fillId="52" borderId="79" xfId="0" applyFont="1" applyFill="1" applyBorder="1" applyAlignment="1">
      <alignment horizontal="center" wrapText="1"/>
    </xf>
    <xf numFmtId="0" fontId="11" fillId="50" borderId="79" xfId="0" applyFont="1" applyFill="1" applyBorder="1" applyAlignment="1">
      <alignment horizontal="center" wrapText="1"/>
    </xf>
    <xf numFmtId="0" fontId="11" fillId="8" borderId="79" xfId="0" applyFont="1" applyFill="1" applyBorder="1" applyAlignment="1">
      <alignment horizontal="center" wrapText="1"/>
    </xf>
    <xf numFmtId="0" fontId="11" fillId="18" borderId="132" xfId="0" applyFont="1" applyFill="1" applyBorder="1" applyAlignment="1">
      <alignment horizontal="left" vertical="top"/>
    </xf>
    <xf numFmtId="0" fontId="11" fillId="18" borderId="133" xfId="0" applyFont="1" applyFill="1" applyBorder="1" applyAlignment="1">
      <alignment horizontal="left" vertical="top"/>
    </xf>
    <xf numFmtId="0" fontId="11" fillId="18" borderId="134" xfId="0" applyFont="1" applyFill="1" applyBorder="1" applyAlignment="1">
      <alignment horizontal="left" vertical="top"/>
    </xf>
    <xf numFmtId="0" fontId="84" fillId="18" borderId="79" xfId="0" applyFont="1" applyFill="1" applyBorder="1" applyAlignment="1">
      <alignment horizontal="center" wrapText="1"/>
    </xf>
    <xf numFmtId="0" fontId="94" fillId="7" borderId="0" xfId="0" applyFont="1" applyFill="1" applyAlignment="1">
      <alignment horizontal="center"/>
    </xf>
    <xf numFmtId="0" fontId="95" fillId="51" borderId="0" xfId="0" applyFont="1" applyFill="1" applyAlignment="1">
      <alignment horizontal="center"/>
    </xf>
    <xf numFmtId="0" fontId="96" fillId="7" borderId="0" xfId="0" applyFont="1" applyFill="1" applyBorder="1" applyAlignment="1">
      <alignment horizontal="center"/>
    </xf>
    <xf numFmtId="0" fontId="96" fillId="7" borderId="0" xfId="0" applyFont="1" applyFill="1" applyAlignment="1">
      <alignment horizontal="center"/>
    </xf>
    <xf numFmtId="165" fontId="82" fillId="4" borderId="104" xfId="0" applyNumberFormat="1" applyFont="1" applyFill="1" applyBorder="1" applyAlignment="1">
      <alignment horizontal="center" vertical="center"/>
    </xf>
    <xf numFmtId="0" fontId="97" fillId="4" borderId="104" xfId="0" applyFont="1" applyFill="1" applyBorder="1" applyAlignment="1">
      <alignment horizontal="center" vertical="center"/>
    </xf>
    <xf numFmtId="165" fontId="97" fillId="4" borderId="104" xfId="0" applyNumberFormat="1" applyFont="1" applyFill="1" applyBorder="1" applyAlignment="1">
      <alignment horizontal="center" vertical="center"/>
    </xf>
    <xf numFmtId="0" fontId="6" fillId="4" borderId="53" xfId="5" applyFill="1" applyBorder="1" applyAlignment="1" applyProtection="1">
      <alignment horizontal="center" vertical="center"/>
    </xf>
    <xf numFmtId="0" fontId="0" fillId="4" borderId="59" xfId="0" applyFont="1" applyFill="1" applyBorder="1" applyAlignment="1">
      <alignment horizontal="left" vertical="top" wrapText="1" shrinkToFit="1"/>
    </xf>
    <xf numFmtId="0" fontId="0" fillId="4" borderId="17" xfId="0" applyFont="1" applyFill="1" applyBorder="1" applyAlignment="1">
      <alignment horizontal="left" vertical="top" wrapText="1"/>
    </xf>
    <xf numFmtId="0" fontId="0" fillId="4" borderId="17" xfId="0" applyFill="1" applyBorder="1" applyAlignment="1">
      <alignment horizontal="left" vertical="top" wrapText="1" shrinkToFit="1"/>
    </xf>
    <xf numFmtId="0" fontId="19" fillId="4" borderId="17" xfId="0" applyFont="1" applyFill="1" applyBorder="1" applyAlignment="1">
      <alignment horizontal="left" vertical="top" wrapText="1"/>
    </xf>
    <xf numFmtId="0" fontId="0" fillId="4" borderId="17" xfId="0" applyFill="1" applyBorder="1" applyAlignment="1">
      <alignment horizontal="left" vertical="top" wrapText="1"/>
    </xf>
    <xf numFmtId="0" fontId="0" fillId="4" borderId="17" xfId="0" applyFill="1" applyBorder="1" applyAlignment="1">
      <alignment horizontal="center" vertical="center" wrapText="1"/>
    </xf>
    <xf numFmtId="164" fontId="0" fillId="4" borderId="17" xfId="0" applyNumberFormat="1" applyFill="1" applyBorder="1" applyAlignment="1">
      <alignment horizontal="center" vertical="center" wrapText="1"/>
    </xf>
    <xf numFmtId="0" fontId="0" fillId="4" borderId="18" xfId="0" applyFill="1" applyBorder="1" applyAlignment="1">
      <alignment horizontal="center" vertical="center" wrapText="1"/>
    </xf>
    <xf numFmtId="22" fontId="0" fillId="4" borderId="135" xfId="0" applyNumberFormat="1" applyFill="1" applyBorder="1" applyAlignment="1">
      <alignment horizontal="center" vertical="center" wrapText="1"/>
    </xf>
    <xf numFmtId="22" fontId="0" fillId="4" borderId="136" xfId="0" applyNumberFormat="1" applyFill="1" applyBorder="1" applyAlignment="1">
      <alignment horizontal="center" vertical="center" wrapText="1"/>
    </xf>
    <xf numFmtId="0" fontId="42" fillId="7" borderId="137" xfId="0" applyFont="1" applyFill="1" applyBorder="1" applyAlignment="1">
      <alignment horizontal="center" vertical="center" wrapText="1"/>
    </xf>
    <xf numFmtId="0" fontId="0" fillId="7" borderId="137" xfId="0" applyFill="1" applyBorder="1" applyAlignment="1">
      <alignment horizontal="left" vertical="top" wrapText="1"/>
    </xf>
    <xf numFmtId="0" fontId="0" fillId="7" borderId="138" xfId="0" applyFill="1" applyBorder="1" applyAlignment="1">
      <alignment horizontal="left" vertical="top" wrapText="1"/>
    </xf>
    <xf numFmtId="0" fontId="0" fillId="7" borderId="137" xfId="0" applyFill="1" applyBorder="1" applyAlignment="1">
      <alignment wrapText="1"/>
    </xf>
    <xf numFmtId="0" fontId="0" fillId="7" borderId="138" xfId="0" applyFill="1" applyBorder="1"/>
    <xf numFmtId="0" fontId="29" fillId="7" borderId="139" xfId="0" applyFont="1" applyFill="1" applyBorder="1" applyAlignment="1">
      <alignment vertical="center"/>
    </xf>
    <xf numFmtId="0" fontId="14" fillId="16" borderId="140" xfId="0" applyFont="1" applyFill="1" applyBorder="1" applyAlignment="1">
      <alignment horizontal="center" vertical="center"/>
    </xf>
    <xf numFmtId="0" fontId="14" fillId="7" borderId="139" xfId="0" applyFont="1" applyFill="1" applyBorder="1" applyAlignment="1">
      <alignment horizontal="center" vertical="center"/>
    </xf>
    <xf numFmtId="22" fontId="0" fillId="7" borderId="31" xfId="0" applyNumberFormat="1" applyFill="1" applyBorder="1" applyAlignment="1">
      <alignment wrapText="1"/>
    </xf>
    <xf numFmtId="0" fontId="0" fillId="3" borderId="27" xfId="0" quotePrefix="1" applyFont="1" applyFill="1" applyBorder="1" applyAlignment="1">
      <alignment horizontal="center" vertical="center" wrapText="1"/>
    </xf>
    <xf numFmtId="0" fontId="0" fillId="7" borderId="31" xfId="0" applyFill="1" applyBorder="1" applyAlignment="1">
      <alignment wrapText="1"/>
    </xf>
    <xf numFmtId="0" fontId="0" fillId="3" borderId="29" xfId="0" applyFont="1" applyFill="1" applyBorder="1" applyAlignment="1">
      <alignment horizontal="center" vertical="center" wrapText="1"/>
    </xf>
    <xf numFmtId="0" fontId="0" fillId="3" borderId="23" xfId="0" applyFont="1" applyFill="1" applyBorder="1" applyAlignment="1">
      <alignment horizontal="center" vertical="center" wrapText="1"/>
    </xf>
    <xf numFmtId="49" fontId="41" fillId="6" borderId="17" xfId="0" applyNumberFormat="1" applyFont="1" applyFill="1" applyBorder="1" applyAlignment="1">
      <alignment horizontal="center" vertical="center" wrapText="1"/>
    </xf>
    <xf numFmtId="49" fontId="41" fillId="7" borderId="17" xfId="0" applyNumberFormat="1" applyFont="1" applyFill="1" applyBorder="1" applyAlignment="1">
      <alignment horizontal="center" vertical="center" wrapText="1"/>
    </xf>
    <xf numFmtId="49" fontId="40" fillId="6" borderId="17" xfId="0" applyNumberFormat="1" applyFont="1" applyFill="1" applyBorder="1" applyAlignment="1">
      <alignment horizontal="center" vertical="center" wrapText="1"/>
    </xf>
    <xf numFmtId="0" fontId="0" fillId="0" borderId="17" xfId="0" applyBorder="1" applyAlignment="1">
      <alignment horizontal="center" vertical="center" wrapText="1"/>
    </xf>
    <xf numFmtId="22" fontId="0" fillId="7" borderId="17" xfId="0" applyNumberFormat="1" applyFill="1" applyBorder="1" applyAlignment="1">
      <alignment wrapText="1"/>
    </xf>
    <xf numFmtId="0" fontId="0" fillId="3" borderId="17" xfId="0" quotePrefix="1" applyFont="1" applyFill="1" applyBorder="1" applyAlignment="1">
      <alignment horizontal="center" vertical="center" wrapText="1"/>
    </xf>
    <xf numFmtId="0" fontId="0" fillId="3" borderId="17" xfId="0" applyFont="1" applyFill="1" applyBorder="1" applyAlignment="1">
      <alignment wrapText="1"/>
    </xf>
    <xf numFmtId="0" fontId="0" fillId="5" borderId="29" xfId="0" applyFill="1" applyBorder="1" applyAlignment="1">
      <alignment horizontal="center" vertical="center" wrapText="1"/>
    </xf>
    <xf numFmtId="0" fontId="0" fillId="5" borderId="23" xfId="0" applyFill="1" applyBorder="1" applyAlignment="1">
      <alignment horizontal="center" vertical="center" wrapText="1"/>
    </xf>
    <xf numFmtId="0" fontId="0" fillId="22" borderId="17" xfId="0" applyFont="1" applyFill="1" applyBorder="1" applyAlignment="1">
      <alignment horizontal="center" vertical="center" wrapText="1"/>
    </xf>
    <xf numFmtId="22" fontId="0" fillId="22" borderId="17" xfId="0" applyNumberFormat="1" applyFont="1" applyFill="1" applyBorder="1" applyAlignment="1">
      <alignment horizontal="center" vertical="center" wrapText="1"/>
    </xf>
    <xf numFmtId="49" fontId="41" fillId="7" borderId="56" xfId="0" applyNumberFormat="1" applyFont="1" applyFill="1" applyBorder="1" applyAlignment="1">
      <alignment horizontal="center" vertical="center" wrapText="1"/>
    </xf>
    <xf numFmtId="49" fontId="40" fillId="6" borderId="57" xfId="0" applyNumberFormat="1" applyFont="1" applyFill="1" applyBorder="1" applyAlignment="1">
      <alignment horizontal="center" vertical="center" wrapText="1"/>
    </xf>
    <xf numFmtId="49" fontId="41" fillId="6" borderId="140" xfId="0" applyNumberFormat="1" applyFont="1" applyFill="1" applyBorder="1" applyAlignment="1">
      <alignment horizontal="center" vertical="center" wrapText="1"/>
    </xf>
    <xf numFmtId="0" fontId="0" fillId="7" borderId="17" xfId="0" applyFont="1" applyFill="1" applyBorder="1" applyAlignment="1">
      <alignment horizontal="center" vertical="center" wrapText="1"/>
    </xf>
    <xf numFmtId="22" fontId="0" fillId="5" borderId="17" xfId="0" applyNumberFormat="1" applyFill="1" applyBorder="1"/>
    <xf numFmtId="22" fontId="0" fillId="4" borderId="17" xfId="0" applyNumberFormat="1" applyFill="1" applyBorder="1"/>
    <xf numFmtId="0" fontId="12" fillId="24" borderId="0" xfId="6" applyFont="1" applyFill="1" applyBorder="1" applyAlignment="1"/>
    <xf numFmtId="0" fontId="12" fillId="52" borderId="0" xfId="6" applyFont="1" applyFill="1" applyBorder="1" applyAlignment="1"/>
    <xf numFmtId="0" fontId="12" fillId="50" borderId="0" xfId="6" applyFont="1" applyFill="1" applyBorder="1" applyAlignment="1"/>
    <xf numFmtId="0" fontId="12" fillId="8" borderId="0" xfId="6" applyFont="1" applyFill="1" applyBorder="1" applyAlignment="1"/>
    <xf numFmtId="0" fontId="11" fillId="25" borderId="84" xfId="7" applyFont="1" applyFill="1" applyBorder="1" applyAlignment="1">
      <alignment horizontal="center" vertical="center" wrapText="1"/>
    </xf>
    <xf numFmtId="0" fontId="11" fillId="25" borderId="82" xfId="7" applyFont="1" applyFill="1" applyBorder="1" applyAlignment="1">
      <alignment horizontal="center" vertical="center" wrapText="1"/>
    </xf>
    <xf numFmtId="0" fontId="11" fillId="25" borderId="83" xfId="7" applyFont="1" applyFill="1" applyBorder="1" applyAlignment="1">
      <alignment horizontal="center" vertical="center" wrapText="1"/>
    </xf>
    <xf numFmtId="0" fontId="64" fillId="30" borderId="33" xfId="0" applyFont="1" applyFill="1" applyBorder="1" applyAlignment="1">
      <alignment horizontal="center" vertical="center" wrapText="1"/>
    </xf>
    <xf numFmtId="0" fontId="45" fillId="7" borderId="0" xfId="0" applyFont="1" applyFill="1" applyAlignment="1">
      <alignment horizontal="center" vertical="center"/>
    </xf>
    <xf numFmtId="0" fontId="86" fillId="37" borderId="33" xfId="6" applyFont="1" applyFill="1" applyBorder="1" applyAlignment="1">
      <alignment horizontal="center"/>
    </xf>
    <xf numFmtId="0" fontId="14" fillId="7" borderId="0" xfId="0" applyFont="1" applyFill="1" applyAlignment="1">
      <alignment horizontal="center" vertical="center"/>
    </xf>
    <xf numFmtId="0" fontId="23" fillId="4" borderId="7" xfId="0" applyFont="1" applyFill="1" applyBorder="1" applyAlignment="1">
      <alignment horizontal="left" wrapText="1"/>
    </xf>
    <xf numFmtId="0" fontId="26" fillId="10" borderId="8" xfId="0" applyFont="1" applyFill="1" applyBorder="1" applyAlignment="1">
      <alignment horizontal="left" vertical="top" wrapText="1"/>
    </xf>
    <xf numFmtId="0" fontId="26" fillId="10" borderId="46" xfId="0" applyFont="1" applyFill="1" applyBorder="1" applyAlignment="1">
      <alignment horizontal="left" vertical="top" wrapText="1"/>
    </xf>
    <xf numFmtId="0" fontId="23" fillId="4" borderId="47" xfId="0" applyFont="1" applyFill="1" applyBorder="1" applyAlignment="1">
      <alignment horizontal="left" wrapText="1"/>
    </xf>
    <xf numFmtId="0" fontId="16" fillId="4" borderId="10" xfId="0" applyFont="1" applyFill="1" applyBorder="1" applyAlignment="1">
      <alignment horizontal="left"/>
    </xf>
    <xf numFmtId="0" fontId="16" fillId="4" borderId="11" xfId="0" applyFont="1" applyFill="1" applyBorder="1" applyAlignment="1">
      <alignment horizontal="left"/>
    </xf>
    <xf numFmtId="0" fontId="10" fillId="2" borderId="2" xfId="6" applyBorder="1" applyAlignment="1">
      <alignment horizontal="center"/>
    </xf>
    <xf numFmtId="0" fontId="10" fillId="2" borderId="45" xfId="6" applyBorder="1" applyAlignment="1">
      <alignment horizontal="center"/>
    </xf>
    <xf numFmtId="0" fontId="6" fillId="4" borderId="13" xfId="5" applyFont="1" applyFill="1" applyBorder="1" applyAlignment="1" applyProtection="1">
      <alignment horizontal="left"/>
    </xf>
    <xf numFmtId="0" fontId="6" fillId="4" borderId="14" xfId="5" applyFont="1" applyFill="1" applyBorder="1" applyAlignment="1" applyProtection="1">
      <alignment horizontal="left"/>
    </xf>
    <xf numFmtId="0" fontId="6" fillId="4" borderId="15" xfId="5" applyFont="1" applyFill="1" applyBorder="1" applyAlignment="1" applyProtection="1">
      <alignment horizontal="left"/>
    </xf>
    <xf numFmtId="0" fontId="85" fillId="43" borderId="33" xfId="6" applyFont="1" applyFill="1" applyBorder="1" applyAlignment="1">
      <alignment horizontal="center"/>
    </xf>
    <xf numFmtId="0" fontId="23" fillId="4" borderId="25" xfId="0" applyFont="1" applyFill="1" applyBorder="1" applyAlignment="1">
      <alignment horizontal="left" wrapText="1"/>
    </xf>
    <xf numFmtId="0" fontId="23" fillId="4" borderId="113" xfId="0" applyFont="1" applyFill="1" applyBorder="1" applyAlignment="1">
      <alignment horizontal="left" wrapText="1"/>
    </xf>
    <xf numFmtId="0" fontId="16" fillId="4" borderId="12" xfId="0" applyFont="1" applyFill="1" applyBorder="1" applyAlignment="1">
      <alignment horizontal="left"/>
    </xf>
    <xf numFmtId="0" fontId="23" fillId="4" borderId="106" xfId="0" applyFont="1" applyFill="1" applyBorder="1" applyAlignment="1">
      <alignment horizontal="left" wrapText="1"/>
    </xf>
    <xf numFmtId="0" fontId="23" fillId="4" borderId="107" xfId="0" applyFont="1" applyFill="1" applyBorder="1" applyAlignment="1">
      <alignment horizontal="left" wrapText="1"/>
    </xf>
    <xf numFmtId="0" fontId="23" fillId="4" borderId="33" xfId="0" applyFont="1" applyFill="1" applyBorder="1" applyAlignment="1">
      <alignment horizontal="left" wrapText="1"/>
    </xf>
    <xf numFmtId="0" fontId="16" fillId="10" borderId="8" xfId="0" applyFont="1" applyFill="1" applyBorder="1" applyAlignment="1">
      <alignment horizontal="left" vertical="top" wrapText="1"/>
    </xf>
    <xf numFmtId="0" fontId="16" fillId="10" borderId="46" xfId="0" applyFont="1" applyFill="1" applyBorder="1" applyAlignment="1">
      <alignment horizontal="left" vertical="top" wrapText="1"/>
    </xf>
    <xf numFmtId="0" fontId="16" fillId="10" borderId="33" xfId="0" applyFont="1" applyFill="1" applyBorder="1" applyAlignment="1">
      <alignment horizontal="left" vertical="top" wrapText="1"/>
    </xf>
    <xf numFmtId="0" fontId="23" fillId="4" borderId="118" xfId="0" applyFont="1" applyFill="1" applyBorder="1" applyAlignment="1">
      <alignment horizontal="left" wrapText="1"/>
    </xf>
    <xf numFmtId="0" fontId="23" fillId="4" borderId="119" xfId="0" applyFont="1" applyFill="1" applyBorder="1" applyAlignment="1">
      <alignment horizontal="left" wrapText="1"/>
    </xf>
    <xf numFmtId="0" fontId="6" fillId="5" borderId="21" xfId="5" applyFill="1" applyBorder="1" applyAlignment="1" applyProtection="1">
      <alignment horizontal="center" vertical="center"/>
    </xf>
    <xf numFmtId="0" fontId="6" fillId="5" borderId="22" xfId="5" applyFill="1" applyBorder="1" applyAlignment="1" applyProtection="1">
      <alignment horizontal="center" vertical="center"/>
    </xf>
    <xf numFmtId="0" fontId="6" fillId="5" borderId="23" xfId="5" applyFill="1" applyBorder="1" applyAlignment="1" applyProtection="1">
      <alignment horizontal="center" vertical="center"/>
    </xf>
    <xf numFmtId="0" fontId="6" fillId="5" borderId="53" xfId="5" applyFill="1" applyBorder="1" applyAlignment="1" applyProtection="1">
      <alignment horizontal="center" vertical="center"/>
    </xf>
    <xf numFmtId="0" fontId="45" fillId="7" borderId="28" xfId="0" applyFont="1" applyFill="1" applyBorder="1" applyAlignment="1">
      <alignment horizontal="center" vertical="center"/>
    </xf>
    <xf numFmtId="0" fontId="45" fillId="7" borderId="0" xfId="0" applyFont="1" applyFill="1" applyBorder="1" applyAlignment="1">
      <alignment horizontal="center" vertical="center"/>
    </xf>
    <xf numFmtId="0" fontId="45" fillId="7" borderId="48" xfId="0" applyFont="1" applyFill="1" applyBorder="1" applyAlignment="1">
      <alignment horizontal="center" vertical="center"/>
    </xf>
    <xf numFmtId="0" fontId="45" fillId="7" borderId="0" xfId="2" applyFont="1" applyFill="1" applyBorder="1" applyAlignment="1">
      <alignment horizontal="center" vertical="center"/>
    </xf>
    <xf numFmtId="0" fontId="25" fillId="2" borderId="124" xfId="6" applyFont="1" applyBorder="1" applyAlignment="1">
      <alignment horizontal="center" vertical="center"/>
    </xf>
    <xf numFmtId="0" fontId="25" fillId="2" borderId="125" xfId="6" applyFont="1" applyBorder="1" applyAlignment="1">
      <alignment horizontal="center" vertical="center"/>
    </xf>
    <xf numFmtId="0" fontId="89" fillId="2" borderId="123" xfId="6" applyFont="1" applyBorder="1" applyAlignment="1">
      <alignment horizontal="center" vertical="center"/>
    </xf>
    <xf numFmtId="0" fontId="89" fillId="2" borderId="126" xfId="6" applyFont="1" applyBorder="1" applyAlignment="1">
      <alignment horizontal="center" vertical="center" wrapText="1"/>
    </xf>
    <xf numFmtId="0" fontId="89" fillId="2" borderId="127" xfId="6" applyFont="1" applyBorder="1" applyAlignment="1">
      <alignment horizontal="center" vertical="center" wrapText="1"/>
    </xf>
    <xf numFmtId="0" fontId="89" fillId="2" borderId="128" xfId="6" applyFont="1" applyBorder="1" applyAlignment="1">
      <alignment horizontal="center" vertical="center" wrapText="1"/>
    </xf>
    <xf numFmtId="0" fontId="36" fillId="19" borderId="39" xfId="0" applyFont="1" applyFill="1" applyBorder="1" applyAlignment="1">
      <alignment horizontal="center"/>
    </xf>
    <xf numFmtId="0" fontId="36" fillId="19" borderId="0" xfId="0" applyFont="1" applyFill="1" applyBorder="1" applyAlignment="1">
      <alignment horizontal="center"/>
    </xf>
    <xf numFmtId="0" fontId="36" fillId="19" borderId="38" xfId="0" applyFont="1" applyFill="1" applyBorder="1" applyAlignment="1">
      <alignment horizontal="center"/>
    </xf>
    <xf numFmtId="0" fontId="36" fillId="19" borderId="37" xfId="0" applyFont="1" applyFill="1" applyBorder="1" applyAlignment="1">
      <alignment horizontal="center"/>
    </xf>
    <xf numFmtId="0" fontId="0" fillId="4" borderId="0" xfId="0" applyFill="1" applyAlignment="1">
      <alignment horizontal="center"/>
    </xf>
    <xf numFmtId="0" fontId="10" fillId="48" borderId="129" xfId="6" applyFill="1" applyBorder="1" applyAlignment="1">
      <alignment horizontal="center" vertical="center"/>
    </xf>
    <xf numFmtId="0" fontId="10" fillId="48" borderId="130" xfId="6" applyFill="1" applyBorder="1" applyAlignment="1">
      <alignment horizontal="center" vertical="center"/>
    </xf>
    <xf numFmtId="0" fontId="88" fillId="47" borderId="129" xfId="0" applyFont="1" applyFill="1" applyBorder="1" applyAlignment="1">
      <alignment horizontal="center"/>
    </xf>
    <xf numFmtId="0" fontId="88" fillId="47" borderId="130" xfId="0" applyFont="1" applyFill="1" applyBorder="1" applyAlignment="1">
      <alignment horizontal="center"/>
    </xf>
    <xf numFmtId="0" fontId="44" fillId="7" borderId="0" xfId="0" applyFont="1" applyFill="1" applyAlignment="1">
      <alignment horizontal="center" vertical="center"/>
    </xf>
    <xf numFmtId="0" fontId="50" fillId="2" borderId="33" xfId="6" applyFont="1" applyBorder="1" applyAlignment="1">
      <alignment horizontal="center"/>
    </xf>
    <xf numFmtId="0" fontId="50" fillId="2" borderId="104" xfId="6" applyFont="1" applyBorder="1" applyAlignment="1">
      <alignment horizontal="center"/>
    </xf>
    <xf numFmtId="0" fontId="25" fillId="2" borderId="104" xfId="6" applyFont="1" applyBorder="1" applyAlignment="1">
      <alignment horizontal="center"/>
    </xf>
    <xf numFmtId="0" fontId="10" fillId="2" borderId="32" xfId="6" applyBorder="1" applyAlignment="1">
      <alignment horizontal="center"/>
    </xf>
    <xf numFmtId="0" fontId="36" fillId="19" borderId="121" xfId="0" applyFont="1" applyFill="1" applyBorder="1" applyAlignment="1">
      <alignment horizontal="center"/>
    </xf>
    <xf numFmtId="0" fontId="36" fillId="19" borderId="122" xfId="0" applyFont="1" applyFill="1" applyBorder="1" applyAlignment="1">
      <alignment horizontal="center"/>
    </xf>
    <xf numFmtId="0" fontId="36" fillId="20" borderId="0" xfId="0" applyFont="1" applyFill="1" applyAlignment="1">
      <alignment horizontal="center"/>
    </xf>
    <xf numFmtId="0" fontId="64" fillId="30" borderId="38" xfId="0" applyFont="1" applyFill="1" applyBorder="1" applyAlignment="1">
      <alignment horizontal="center" vertical="center" wrapText="1"/>
    </xf>
    <xf numFmtId="14" fontId="66" fillId="31" borderId="38" xfId="0" applyNumberFormat="1" applyFont="1" applyFill="1" applyBorder="1" applyAlignment="1">
      <alignment horizontal="center" vertical="center"/>
    </xf>
    <xf numFmtId="0" fontId="63" fillId="29" borderId="38" xfId="0" applyFont="1" applyFill="1" applyBorder="1" applyAlignment="1">
      <alignment vertical="center" wrapText="1"/>
    </xf>
    <xf numFmtId="0" fontId="64" fillId="29" borderId="38" xfId="0" applyFont="1" applyFill="1" applyBorder="1" applyAlignment="1">
      <alignment vertical="center" wrapText="1"/>
    </xf>
    <xf numFmtId="0" fontId="65" fillId="29" borderId="38" xfId="0" applyFont="1" applyFill="1" applyBorder="1" applyAlignment="1">
      <alignment vertical="center" wrapText="1"/>
    </xf>
    <xf numFmtId="0" fontId="63" fillId="0" borderId="38" xfId="0" applyFont="1" applyBorder="1"/>
    <xf numFmtId="0" fontId="64" fillId="30" borderId="37" xfId="0" applyFont="1" applyFill="1" applyBorder="1" applyAlignment="1">
      <alignment horizontal="center" vertical="center" wrapText="1"/>
    </xf>
    <xf numFmtId="0" fontId="64" fillId="29" borderId="37" xfId="0" applyFont="1" applyFill="1" applyBorder="1" applyAlignment="1">
      <alignment horizontal="center" vertical="center" wrapText="1"/>
    </xf>
    <xf numFmtId="0" fontId="10" fillId="2" borderId="37" xfId="6" applyBorder="1" applyAlignment="1">
      <alignment horizontal="center" vertical="center" wrapText="1"/>
    </xf>
    <xf numFmtId="0" fontId="72" fillId="29" borderId="37" xfId="0" applyFont="1" applyFill="1" applyBorder="1" applyAlignment="1">
      <alignment horizontal="center" vertical="center" wrapText="1"/>
    </xf>
    <xf numFmtId="0" fontId="10" fillId="37" borderId="37" xfId="6" applyFill="1" applyBorder="1" applyAlignment="1">
      <alignment horizontal="center" vertical="center" wrapText="1"/>
    </xf>
    <xf numFmtId="0" fontId="63" fillId="37" borderId="37" xfId="0" applyFont="1" applyFill="1" applyBorder="1" applyAlignment="1">
      <alignment horizontal="center" vertical="center" wrapText="1"/>
    </xf>
    <xf numFmtId="0" fontId="65" fillId="29" borderId="37" xfId="0" applyFont="1" applyFill="1" applyBorder="1" applyAlignment="1">
      <alignment horizontal="center" vertical="center" wrapText="1"/>
    </xf>
    <xf numFmtId="0" fontId="73" fillId="2" borderId="37" xfId="6" applyFont="1" applyBorder="1" applyAlignment="1">
      <alignment horizontal="center" vertical="center" wrapText="1"/>
    </xf>
    <xf numFmtId="0" fontId="91" fillId="37" borderId="37" xfId="0" applyFont="1" applyFill="1" applyBorder="1" applyAlignment="1">
      <alignment horizontal="center" vertical="center" wrapText="1"/>
    </xf>
    <xf numFmtId="0" fontId="73" fillId="2" borderId="37" xfId="6" applyFont="1" applyBorder="1" applyAlignment="1">
      <alignment horizontal="center" wrapText="1"/>
    </xf>
    <xf numFmtId="0" fontId="91" fillId="37" borderId="37" xfId="0" applyFont="1" applyFill="1" applyBorder="1" applyAlignment="1">
      <alignment horizontal="center" wrapText="1"/>
    </xf>
    <xf numFmtId="0" fontId="63" fillId="0" borderId="37" xfId="0" applyFont="1" applyBorder="1" applyAlignment="1">
      <alignment horizontal="center" wrapText="1"/>
    </xf>
    <xf numFmtId="14" fontId="68" fillId="4" borderId="38" xfId="6" applyNumberFormat="1" applyFont="1" applyFill="1" applyBorder="1" applyAlignment="1">
      <alignment horizontal="center" vertical="center"/>
    </xf>
    <xf numFmtId="0" fontId="10" fillId="2" borderId="38" xfId="6" applyBorder="1" applyAlignment="1">
      <alignment horizontal="center" vertical="center"/>
    </xf>
    <xf numFmtId="0" fontId="64" fillId="30" borderId="37" xfId="0" applyFont="1" applyFill="1" applyBorder="1" applyAlignment="1">
      <alignment horizontal="center" vertical="center" wrapText="1"/>
    </xf>
  </cellXfs>
  <cellStyles count="8">
    <cellStyle name="Explanatory Text" xfId="4" builtinId="53"/>
    <cellStyle name="Heading 1" xfId="2" builtinId="16"/>
    <cellStyle name="Heading 4" xfId="3" builtinId="19"/>
    <cellStyle name="Hyperlink" xfId="5" builtinId="8"/>
    <cellStyle name="Input" xfId="7" builtinId="20"/>
    <cellStyle name="Neutral" xfId="6" builtinId="28"/>
    <cellStyle name="Normal" xfId="0" builtinId="0"/>
    <cellStyle name="Percent" xfId="1" builtinId="5"/>
  </cellStyles>
  <dxfs count="346">
    <dxf>
      <fill>
        <patternFill>
          <bgColor theme="8" tint="0.39994506668294322"/>
        </patternFill>
      </fill>
    </dxf>
    <dxf>
      <fill>
        <patternFill>
          <bgColor rgb="FFFF0000"/>
        </patternFill>
      </fill>
    </dxf>
    <dxf>
      <fill>
        <patternFill>
          <bgColor theme="9" tint="-0.24994659260841701"/>
        </patternFill>
      </fill>
    </dxf>
    <dxf>
      <fill>
        <patternFill>
          <bgColor theme="0" tint="-0.34998626667073579"/>
        </patternFill>
      </fill>
    </dxf>
    <dxf>
      <fill>
        <patternFill>
          <bgColor theme="1" tint="0.14996795556505021"/>
        </patternFill>
      </fill>
    </dxf>
    <dxf>
      <fill>
        <patternFill>
          <bgColor rgb="FF0070C0"/>
        </patternFill>
      </fill>
    </dxf>
    <dxf>
      <fill>
        <patternFill>
          <bgColor theme="6" tint="-0.499984740745262"/>
        </patternFill>
      </fill>
    </dxf>
    <dxf>
      <fill>
        <patternFill>
          <bgColor theme="5" tint="-0.24994659260841701"/>
        </patternFill>
      </fill>
    </dxf>
    <dxf>
      <fill>
        <patternFill>
          <bgColor theme="6" tint="-0.24994659260841701"/>
        </patternFill>
      </fill>
    </dxf>
    <dxf>
      <fill>
        <patternFill>
          <bgColor rgb="FF00B050"/>
        </patternFill>
      </fill>
    </dxf>
    <dxf>
      <fill>
        <patternFill>
          <bgColor rgb="FF92D050"/>
        </patternFill>
      </fill>
    </dxf>
    <dxf>
      <fill>
        <patternFill>
          <bgColor theme="9"/>
        </patternFill>
      </fill>
    </dxf>
    <dxf>
      <fill>
        <patternFill>
          <bgColor theme="5" tint="-0.24994659260841701"/>
        </patternFill>
      </fill>
    </dxf>
    <dxf>
      <fill>
        <patternFill>
          <bgColor rgb="FFFF0000"/>
        </patternFill>
      </fill>
    </dxf>
    <dxf>
      <fill>
        <patternFill>
          <bgColor rgb="FF92D050"/>
        </patternFill>
      </fill>
    </dxf>
    <dxf>
      <fill>
        <patternFill>
          <bgColor theme="9"/>
        </patternFill>
      </fill>
    </dxf>
    <dxf>
      <fill>
        <patternFill>
          <bgColor theme="5" tint="-0.24994659260841701"/>
        </patternFill>
      </fill>
    </dxf>
    <dxf>
      <fill>
        <patternFill>
          <bgColor rgb="FFFF0000"/>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0" tint="-0.499984740745262"/>
        </patternFill>
      </fill>
    </dxf>
    <dxf>
      <fill>
        <patternFill>
          <bgColor theme="2" tint="-0.749961851863155"/>
        </patternFill>
      </fill>
    </dxf>
    <dxf>
      <fill>
        <patternFill>
          <bgColor rgb="FF00B050"/>
        </patternFill>
      </fill>
    </dxf>
    <dxf>
      <fill>
        <patternFill>
          <bgColor rgb="FFFF0000"/>
        </patternFill>
      </fill>
    </dxf>
    <dxf>
      <fill>
        <patternFill>
          <bgColor theme="7"/>
        </patternFill>
      </fill>
    </dxf>
    <dxf>
      <fill>
        <patternFill>
          <bgColor rgb="FFFFFF00"/>
        </patternFill>
      </fill>
    </dxf>
    <dxf>
      <fill>
        <patternFill>
          <bgColor theme="9" tint="0.39994506668294322"/>
        </patternFill>
      </fill>
    </dxf>
    <dxf>
      <fill>
        <patternFill>
          <bgColor theme="8" tint="0.39994506668294322"/>
        </patternFill>
      </fill>
    </dxf>
    <dxf>
      <fill>
        <patternFill>
          <bgColor rgb="FF00B050"/>
        </patternFill>
      </fill>
    </dxf>
    <dxf>
      <fill>
        <patternFill>
          <bgColor theme="7"/>
        </patternFill>
      </fill>
    </dxf>
    <dxf>
      <fill>
        <patternFill>
          <bgColor theme="9" tint="0.39994506668294322"/>
        </patternFill>
      </fill>
    </dxf>
    <dxf>
      <fill>
        <patternFill>
          <bgColor rgb="FF00B050"/>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rgb="FFFF0000"/>
        </patternFill>
      </fill>
    </dxf>
    <dxf>
      <fill>
        <patternFill>
          <bgColor theme="7"/>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7"/>
        </patternFill>
      </fill>
    </dxf>
    <dxf>
      <fill>
        <patternFill>
          <bgColor theme="2" tint="-0.749961851863155"/>
        </patternFill>
      </fill>
    </dxf>
    <dxf>
      <fill>
        <patternFill>
          <bgColor rgb="FF00B050"/>
        </patternFill>
      </fill>
    </dxf>
    <dxf>
      <fill>
        <patternFill>
          <bgColor theme="9" tint="0.39994506668294322"/>
        </patternFill>
      </fill>
    </dxf>
    <dxf>
      <fill>
        <patternFill>
          <bgColor rgb="FFFF0000"/>
        </patternFill>
      </fill>
    </dxf>
    <dxf>
      <fill>
        <patternFill>
          <bgColor theme="5" tint="-0.499984740745262"/>
        </patternFill>
      </fill>
    </dxf>
    <dxf>
      <fill>
        <patternFill>
          <bgColor theme="0" tint="-0.499984740745262"/>
        </patternFill>
      </fill>
    </dxf>
    <dxf>
      <fill>
        <patternFill>
          <bgColor theme="2" tint="-0.749961851863155"/>
        </patternFill>
      </fill>
    </dxf>
    <dxf>
      <fill>
        <patternFill>
          <bgColor rgb="FF00B050"/>
        </patternFill>
      </fill>
    </dxf>
    <dxf>
      <fill>
        <patternFill>
          <bgColor rgb="FFFF0000"/>
        </patternFill>
      </fill>
    </dxf>
    <dxf>
      <fill>
        <patternFill>
          <bgColor theme="7"/>
        </patternFill>
      </fill>
    </dxf>
    <dxf>
      <fill>
        <patternFill>
          <bgColor rgb="FFFFFF00"/>
        </patternFill>
      </fill>
    </dxf>
    <dxf>
      <fill>
        <patternFill>
          <bgColor theme="9" tint="0.39994506668294322"/>
        </patternFill>
      </fill>
    </dxf>
    <dxf>
      <fill>
        <patternFill>
          <bgColor theme="8" tint="0.39994506668294322"/>
        </patternFill>
      </fill>
    </dxf>
    <dxf>
      <fill>
        <patternFill>
          <bgColor rgb="FF00B050"/>
        </patternFill>
      </fill>
    </dxf>
    <dxf>
      <fill>
        <patternFill>
          <bgColor theme="7"/>
        </patternFill>
      </fill>
    </dxf>
    <dxf>
      <fill>
        <patternFill>
          <bgColor theme="9" tint="0.39994506668294322"/>
        </patternFill>
      </fill>
    </dxf>
    <dxf>
      <fill>
        <patternFill>
          <bgColor rgb="FF00B050"/>
        </patternFill>
      </fill>
    </dxf>
    <dxf>
      <fill>
        <patternFill>
          <bgColor theme="0" tint="-0.499984740745262"/>
        </patternFill>
      </fill>
    </dxf>
    <dxf>
      <fill>
        <patternFill>
          <bgColor theme="7"/>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0000"/>
        </patternFill>
      </fill>
    </dxf>
    <dxf>
      <fill>
        <patternFill>
          <bgColor rgb="FF0070C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general" vertical="bottom" textRotation="0" wrapText="1" relative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fill>
        <patternFill>
          <fgColor indexed="64"/>
          <bgColor theme="1" tint="0.14999847407452621"/>
        </patternFill>
      </fill>
      <alignment horizontal="general" vertical="bottom" textRotation="0" wrapText="1" relative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font>
        <b val="0"/>
        <i val="0"/>
        <strike val="0"/>
        <condense val="0"/>
        <extend val="0"/>
        <outline val="0"/>
        <shadow val="0"/>
        <u val="none"/>
        <vertAlign val="baseline"/>
        <sz val="11"/>
        <color theme="1"/>
        <name val="Calibri"/>
        <scheme val="minor"/>
      </font>
      <numFmt numFmtId="27" formatCode="mm/dd/yy\ 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alignment horizontal="center" vertical="center" textRotation="0" wrapText="1" 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fill>
        <patternFill>
          <fgColor indexed="64"/>
          <bgColor theme="1" tint="0.14999847407452621"/>
        </patternFill>
      </fill>
      <alignment horizontal="general" vertical="bottom" textRotation="0" wrapText="1" indent="0" justifyLastLine="0" shrinkToFit="0" readingOrder="0"/>
      <border diagonalUp="0" diagonalDown="0">
        <left style="thin">
          <color theme="1" tint="0.14996795556505021"/>
        </left>
        <right style="thin">
          <color theme="1" tint="0.14996795556505021"/>
        </right>
        <top style="thin">
          <color theme="1" tint="0.14996795556505021"/>
        </top>
        <bottom style="thin">
          <color theme="1" tint="0.14996795556505021"/>
        </bottom>
        <vertical/>
        <horizontal style="thin">
          <color theme="1" tint="0.14996795556505021"/>
        </horizontal>
      </border>
    </dxf>
    <dxf>
      <fill>
        <patternFill patternType="solid">
          <fgColor indexed="64"/>
          <bgColor theme="4" tint="0.79998168889431442"/>
        </patternFill>
      </fill>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hair">
          <color theme="4" tint="0.59996337778862885"/>
        </left>
        <right/>
        <top style="hair">
          <color theme="4" tint="0.59996337778862885"/>
        </top>
        <bottom style="hair">
          <color theme="4" tint="0.59996337778862885"/>
        </bottom>
      </border>
    </dxf>
    <dxf>
      <alignment horizontal="center" vertical="center" textRotation="0" wrapText="1" indent="0" justifyLastLine="0" shrinkToFit="0" readingOrder="0"/>
      <border diagonalUp="0" diagonalDown="0" outline="0">
        <left style="hair">
          <color theme="4" tint="0.59996337778862885"/>
        </left>
        <right style="hair">
          <color theme="4" tint="0.59996337778862885"/>
        </right>
        <top style="hair">
          <color theme="4" tint="0.59996337778862885"/>
        </top>
        <bottom style="hair">
          <color theme="4" tint="0.59996337778862885"/>
        </bottom>
      </border>
    </dxf>
    <dxf>
      <alignment horizontal="center" vertical="center" textRotation="0" wrapText="1" indent="0" justifyLastLine="0" shrinkToFit="0" readingOrder="0"/>
      <border diagonalUp="0" diagonalDown="0" outline="0">
        <left style="hair">
          <color theme="4" tint="0.59996337778862885"/>
        </left>
        <right style="hair">
          <color theme="4" tint="0.59996337778862885"/>
        </right>
        <top style="hair">
          <color theme="4" tint="0.59996337778862885"/>
        </top>
        <bottom style="hair">
          <color theme="4" tint="0.59996337778862885"/>
        </bottom>
      </border>
    </dxf>
    <dxf>
      <numFmt numFmtId="0" formatCode="General"/>
      <alignment horizontal="general" vertical="bottom" textRotation="0" wrapText="1" relativeIndent="0" justifyLastLine="0" shrinkToFit="0" readingOrder="0"/>
      <border diagonalUp="0" diagonalDown="0" outline="0">
        <left style="hair">
          <color theme="4" tint="0.59996337778862885"/>
        </left>
        <right style="hair">
          <color theme="4" tint="0.59996337778862885"/>
        </right>
        <top style="hair">
          <color theme="4" tint="0.59996337778862885"/>
        </top>
        <bottom style="hair">
          <color theme="4" tint="0.59996337778862885"/>
        </bottom>
      </border>
    </dxf>
    <dxf>
      <alignment horizontal="general" vertical="bottom" textRotation="0" wrapText="1" relativeIndent="0" justifyLastLine="0" shrinkToFit="0" readingOrder="0"/>
      <border diagonalUp="0" diagonalDown="0">
        <left style="hair">
          <color theme="4" tint="0.59996337778862885"/>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numFmt numFmtId="0" formatCode="General"/>
      <alignment horizontal="general" vertical="bottom" textRotation="0" wrapText="1" relativeIndent="0" justifyLastLine="0" shrinkToFit="0" readingOrder="0"/>
      <border diagonalUp="0" diagonalDown="0">
        <left/>
        <right style="hair">
          <color theme="4" tint="0.59996337778862885"/>
        </right>
        <top style="hair">
          <color theme="4" tint="0.59996337778862885"/>
        </top>
        <bottom style="hair">
          <color theme="4" tint="0.59996337778862885"/>
        </bottom>
        <vertical style="hair">
          <color theme="4" tint="0.59996337778862885"/>
        </vertical>
        <horizontal style="hair">
          <color theme="4" tint="0.59996337778862885"/>
        </horizontal>
      </border>
    </dxf>
    <dxf>
      <alignment horizontal="general" vertical="bottom" textRotation="0" wrapText="1" relativeIndent="0" justifyLastLine="0" shrinkToFit="0" readingOrder="0"/>
    </dxf>
    <dxf>
      <border>
        <bottom style="hair">
          <color theme="4" tint="0.59996337778862885"/>
        </bottom>
      </border>
    </dxf>
    <dxf>
      <font>
        <strike val="0"/>
        <outline val="0"/>
        <shadow val="0"/>
        <u val="none"/>
        <vertAlign val="baseline"/>
        <sz val="12"/>
        <color theme="0"/>
        <name val="Calibri"/>
        <scheme val="minor"/>
      </font>
      <fill>
        <patternFill patternType="solid">
          <bgColor theme="4" tint="-0.249977111117893"/>
        </patternFill>
      </fill>
      <alignment horizontal="center" vertical="center" textRotation="0" wrapText="1" indent="0" justifyLastLine="0" shrinkToFit="0" readingOrder="0"/>
      <border diagonalUp="0" diagonalDown="0" outline="0">
        <left style="hair">
          <color theme="4" tint="0.59996337778862885"/>
        </left>
        <right style="hair">
          <color theme="4" tint="0.59996337778862885"/>
        </right>
        <top/>
        <bottom/>
      </border>
    </dxf>
  </dxfs>
  <tableStyles count="4" defaultTableStyle="TableStyleMedium9" defaultPivotStyle="PivotStyleLight16">
    <tableStyle name="PivotTable Style 1" table="0" count="0"/>
    <tableStyle name="PivotTable Style 2" table="0" count="0"/>
    <tableStyle name="PivotTable Style 3" table="0" count="0"/>
    <tableStyle name="PivotTable Style 4" table="0" count="0"/>
  </tableStyles>
  <colors>
    <mruColors>
      <color rgb="FFE57B07"/>
      <color rgb="FFFFFF99"/>
      <color rgb="FF00FFFF"/>
      <color rgb="FFE808BD"/>
      <color rgb="FF0CC41E"/>
      <color rgb="FFFFFFCC"/>
      <color rgb="FF2BF5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chemeClr val="bg1"/>
                </a:solidFill>
                <a:latin typeface="Calibri"/>
                <a:ea typeface="Calibri"/>
                <a:cs typeface="Calibri"/>
              </a:defRPr>
            </a:pPr>
            <a:r>
              <a:rPr lang="en-PH">
                <a:solidFill>
                  <a:schemeClr val="bg1"/>
                </a:solidFill>
              </a:rPr>
              <a:t>Test Case</a:t>
            </a:r>
            <a:r>
              <a:rPr lang="en-PH" baseline="0">
                <a:solidFill>
                  <a:schemeClr val="bg1"/>
                </a:solidFill>
              </a:rPr>
              <a:t> Design</a:t>
            </a:r>
            <a:r>
              <a:rPr lang="en-PH">
                <a:solidFill>
                  <a:schemeClr val="bg1"/>
                </a:solidFill>
              </a:rPr>
              <a:t> Progress (Per Ticket)</a:t>
            </a:r>
          </a:p>
        </c:rich>
      </c:tx>
      <c:layout>
        <c:manualLayout>
          <c:xMode val="edge"/>
          <c:yMode val="edge"/>
          <c:x val="0.3917861904009623"/>
          <c:y val="3.4374955000949073E-2"/>
        </c:manualLayout>
      </c:layout>
      <c:overlay val="0"/>
      <c:spPr>
        <a:noFill/>
        <a:ln w="25400">
          <a:noFill/>
        </a:ln>
      </c:spPr>
    </c:title>
    <c:autoTitleDeleted val="0"/>
    <c:plotArea>
      <c:layout>
        <c:manualLayout>
          <c:layoutTarget val="inner"/>
          <c:xMode val="edge"/>
          <c:yMode val="edge"/>
          <c:x val="5.0172751637301928E-2"/>
          <c:y val="0.25937500000000002"/>
          <c:w val="0.90568319226118499"/>
          <c:h val="0.54062500000000002"/>
        </c:manualLayout>
      </c:layout>
      <c:lineChart>
        <c:grouping val="standard"/>
        <c:varyColors val="0"/>
        <c:ser>
          <c:idx val="0"/>
          <c:order val="0"/>
          <c:tx>
            <c:strRef>
              <c:f>'Test Summary'!$B$35</c:f>
              <c:strCache>
                <c:ptCount val="1"/>
                <c:pt idx="0">
                  <c:v>Actual Test Scripting  Progess (Remaining)</c:v>
                </c:pt>
              </c:strCache>
            </c:strRef>
          </c:tx>
          <c:spPr>
            <a:ln w="57150">
              <a:solidFill>
                <a:srgbClr val="FFC000"/>
              </a:solidFill>
            </a:ln>
          </c:spPr>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'Test Summary'!$D$35:$J$35</c:f>
            </c:numRef>
          </c:val>
          <c:smooth val="0"/>
          <c:extLst>
            <c:ext xmlns:c15="http://schemas.microsoft.com/office/drawing/2012/chart" uri="{02D57815-91ED-43cb-92C2-25804820EDAC}">
              <c15:filteredCategoryTitle>
                <c15:cat>
                  <c:multiLvlStrRef>
                    <c:extLst>
                      <c:ext uri="{02D57815-91ED-43cb-92C2-25804820EDAC}">
                        <c15:formulaRef>
                          <c15:sqref>'Test Summary'!$D$29:$T$29</c15:sqref>
                        </c15:formulaRef>
                      </c:ext>
                    </c:extLst>
                  </c:multiLvlStrRef>
                </c15:cat>
              </c15:filteredCategoryTitle>
            </c:ext>
            <c:ext xmlns:c16="http://schemas.microsoft.com/office/drawing/2014/chart" uri="{C3380CC4-5D6E-409C-BE32-E72D297353CC}">
              <c16:uniqueId val="{00000015-18C3-48D9-BA46-800DE67BCB8B}"/>
            </c:ext>
          </c:extLst>
        </c:ser>
        <c:ser>
          <c:idx val="1"/>
          <c:order val="1"/>
          <c:tx>
            <c:strRef>
              <c:f>'Test Summary'!$B$36</c:f>
              <c:strCache>
                <c:ptCount val="1"/>
                <c:pt idx="0">
                  <c:v>Ideal Test Scripting Progess </c:v>
                </c:pt>
              </c:strCache>
            </c:strRef>
          </c:tx>
          <c:spPr>
            <a:ln w="57150">
              <a:solidFill>
                <a:srgbClr val="0070C0"/>
              </a:solidFill>
            </a:ln>
          </c:spPr>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'Test Summary'!$D$36:$K$36</c:f>
            </c:numRef>
          </c:val>
          <c:smooth val="0"/>
          <c:extLst>
            <c:ext xmlns:c15="http://schemas.microsoft.com/office/drawing/2012/chart" uri="{02D57815-91ED-43cb-92C2-25804820EDAC}">
              <c15:filteredCategoryTitle>
                <c15:cat>
                  <c:multiLvlStrRef>
                    <c:extLst>
                      <c:ext uri="{02D57815-91ED-43cb-92C2-25804820EDAC}">
                        <c15:formulaRef>
                          <c15:sqref>'Test Summary'!$D$29:$T$29</c15:sqref>
                        </c15:formulaRef>
                      </c:ext>
                    </c:extLst>
                  </c:multiLvlStrRef>
                </c15:cat>
              </c15:filteredCategoryTitle>
            </c:ext>
            <c:ext xmlns:c16="http://schemas.microsoft.com/office/drawing/2014/chart" uri="{C3380CC4-5D6E-409C-BE32-E72D297353CC}">
              <c16:uniqueId val="{00000016-18C3-48D9-BA46-800DE67BCB8B}"/>
            </c:ext>
          </c:extLst>
        </c:ser>
        <c:dLbls>
          <c:showLegendKey val="0"/>
          <c:showVal val="0"/>
          <c:showCatName val="0"/>
          <c:showSerName val="0"/>
          <c:showPercent val="0"/>
          <c:showBubbleSize val="0"/>
        </c:dLbls>
        <c:marker val="1"/>
        <c:smooth val="0"/>
        <c:axId val="600389232"/>
        <c:axId val="1"/>
      </c:lineChart>
      <c:dateAx>
        <c:axId val="6003892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dd\-mmm" sourceLinked="0"/>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1"/>
        <c:crossesAt val="0"/>
        <c:auto val="1"/>
        <c:lblOffset val="100"/>
        <c:baseTimeUnit val="days"/>
        <c:majorUnit val="1"/>
        <c:majorTimeUnit val="days"/>
        <c:minorUnit val="1"/>
        <c:minorTimeUnit val="days"/>
      </c:dateAx>
      <c:valAx>
        <c:axId val="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General" sourceLinked="1"/>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600389232"/>
        <c:crosses val="autoZero"/>
        <c:crossBetween val="midCat"/>
      </c:valAx>
      <c:spPr>
        <a:noFill/>
        <a:ln w="25400">
          <a:noFill/>
        </a:ln>
      </c:spPr>
    </c:plotArea>
    <c:legend>
      <c:legendPos val="t"/>
      <c:overlay val="0"/>
      <c:spPr>
        <a:noFill/>
        <a:ln w="25400">
          <a:noFill/>
        </a:ln>
      </c:spPr>
      <c:txPr>
        <a:bodyPr/>
        <a:lstStyle/>
        <a:p>
          <a:pPr rtl="0">
            <a:defRPr sz="1000" b="0" i="0" u="none" strike="noStrike" baseline="0">
              <a:solidFill>
                <a:srgbClr val="C0C0C0"/>
              </a:solidFill>
              <a:latin typeface="Calibri"/>
              <a:ea typeface="Calibri"/>
              <a:cs typeface="Calibri"/>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solidFill>
                  <a:schemeClr val="tx2"/>
                </a:solidFill>
              </a:defRPr>
            </a:pPr>
            <a:r>
              <a:rPr lang="en-US" sz="1600" b="1">
                <a:solidFill>
                  <a:schemeClr val="tx2"/>
                </a:solidFill>
              </a:rPr>
              <a:t>Test Case Design</a:t>
            </a:r>
          </a:p>
        </c:rich>
      </c:tx>
      <c:overlay val="0"/>
    </c:title>
    <c:autoTitleDeleted val="0"/>
    <c:plotArea>
      <c:layout>
        <c:manualLayout>
          <c:layoutTarget val="inner"/>
          <c:xMode val="edge"/>
          <c:yMode val="edge"/>
          <c:x val="0.32967077190125438"/>
          <c:y val="0.43670953556037312"/>
          <c:w val="0.33516528476627527"/>
          <c:h val="0.38607654593018492"/>
        </c:manualLayout>
      </c:layout>
      <c:pieChart>
        <c:varyColors val="1"/>
        <c:ser>
          <c:idx val="0"/>
          <c:order val="0"/>
          <c:spPr>
            <a:solidFill>
              <a:schemeClr val="accent1"/>
            </a:solidFill>
            <a:ln w="9525">
              <a:noFill/>
            </a:ln>
            <a:effectLst>
              <a:outerShdw blurRad="254000" sx="102000" sy="102000" rotWithShape="0">
                <a:schemeClr val="accent1">
                  <a:alpha val="20000"/>
                </a:schemeClr>
              </a:outerShdw>
            </a:effectLst>
          </c:spPr>
          <c:dPt>
            <c:idx val="0"/>
            <c:bubble3D val="0"/>
            <c:spPr>
              <a:solidFill>
                <a:srgbClr val="0070C0"/>
              </a:solidFill>
              <a:ln>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1-F203-487C-8837-F15E5FF03439}"/>
              </c:ext>
            </c:extLst>
          </c:dPt>
          <c:dPt>
            <c:idx val="1"/>
            <c:bubble3D val="0"/>
            <c:spPr>
              <a:solidFill>
                <a:schemeClr val="accent6">
                  <a:lumMod val="75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3-F203-487C-8837-F15E5FF03439}"/>
              </c:ext>
            </c:extLst>
          </c:dPt>
          <c:dPt>
            <c:idx val="2"/>
            <c:bubble3D val="0"/>
            <c:spPr>
              <a:solidFill>
                <a:schemeClr val="tx1">
                  <a:lumMod val="50000"/>
                  <a:lumOff val="50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5-F203-487C-8837-F15E5FF03439}"/>
              </c:ext>
            </c:extLst>
          </c:dPt>
          <c:dPt>
            <c:idx val="3"/>
            <c:bubble3D val="0"/>
            <c:spPr>
              <a:solidFill>
                <a:srgbClr val="7030A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7-F203-487C-8837-F15E5FF03439}"/>
              </c:ext>
            </c:extLst>
          </c:dPt>
          <c:dPt>
            <c:idx val="4"/>
            <c:bubble3D val="0"/>
            <c:spPr>
              <a:solidFill>
                <a:srgbClr val="FF0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C-3315-4BAC-9F15-D099C3B914EA}"/>
              </c:ext>
            </c:extLst>
          </c:dPt>
          <c:dLbls>
            <c:dLbl>
              <c:idx val="0"/>
              <c:layout>
                <c:manualLayout>
                  <c:x val="0.12142162219034913"/>
                  <c:y val="-8.2823921803768727E-2"/>
                </c:manualLayout>
              </c:layout>
              <c:spPr>
                <a:solidFill>
                  <a:srgbClr val="0070C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F203-487C-8837-F15E5FF03439}"/>
                </c:ext>
              </c:extLst>
            </c:dLbl>
            <c:dLbl>
              <c:idx val="1"/>
              <c:layout>
                <c:manualLayout>
                  <c:x val="0.10474317391880622"/>
                  <c:y val="-2.3630065929013868E-2"/>
                </c:manualLayout>
              </c:layout>
              <c:spPr>
                <a:solidFill>
                  <a:srgbClr val="F79646">
                    <a:lumMod val="75000"/>
                  </a:srgb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3-F203-487C-8837-F15E5FF03439}"/>
                </c:ext>
              </c:extLst>
            </c:dLbl>
            <c:dLbl>
              <c:idx val="2"/>
              <c:layout>
                <c:manualLayout>
                  <c:x val="9.2024734082649481E-2"/>
                  <c:y val="4.6747629989675236E-2"/>
                </c:manualLayout>
              </c:layout>
              <c:spPr>
                <a:solidFill>
                  <a:sysClr val="windowText" lastClr="000000">
                    <a:lumMod val="75000"/>
                    <a:lumOff val="2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F203-487C-8837-F15E5FF03439}"/>
                </c:ext>
              </c:extLst>
            </c:dLbl>
            <c:dLbl>
              <c:idx val="3"/>
              <c:layout>
                <c:manualLayout>
                  <c:x val="3.4743588400523101E-3"/>
                  <c:y val="0.13068797642988711"/>
                </c:manualLayout>
              </c:layout>
              <c:spPr>
                <a:solidFill>
                  <a:srgbClr val="7030A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F203-487C-8837-F15E5FF03439}"/>
                </c:ext>
              </c:extLst>
            </c:dLbl>
            <c:dLbl>
              <c:idx val="4"/>
              <c:layout>
                <c:manualLayout>
                  <c:x val="-7.6851287147923969E-2"/>
                  <c:y val="-0.11910957842508038"/>
                </c:manualLayout>
              </c:layout>
              <c:spPr>
                <a:solidFill>
                  <a:srgbClr val="FF0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C-3315-4BAC-9F15-D099C3B914EA}"/>
                </c:ext>
              </c:extLst>
            </c:dLbl>
            <c:spPr>
              <a:solidFill>
                <a:sysClr val="window" lastClr="FFFFFF"/>
              </a:solidFill>
              <a:ln>
                <a:solidFill>
                  <a:sysClr val="windowText" lastClr="000000">
                    <a:lumMod val="65000"/>
                    <a:lumOff val="35000"/>
                  </a:sysClr>
                </a:solidFill>
              </a:ln>
              <a:effectLst/>
            </c:sp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multiLvlStrRef>
              <c:f>'Test Summary'!$B$30:$B$34</c:f>
            </c:multiLvlStrRef>
          </c:cat>
          <c:val>
            <c:numRef>
              <c:f>'Test Summary'!$D$30:$D$34</c:f>
            </c:numRef>
          </c:val>
          <c:extLst>
            <c:ext xmlns:c16="http://schemas.microsoft.com/office/drawing/2014/chart" uri="{C3380CC4-5D6E-409C-BE32-E72D297353CC}">
              <c16:uniqueId val="{00000008-F203-487C-8837-F15E5FF03439}"/>
            </c:ext>
          </c:extLst>
        </c:ser>
        <c:dLbls>
          <c:dLblPos val="bestFit"/>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5.7493169022456291E-2"/>
          <c:y val="0.10071633585228425"/>
          <c:w val="0.82103180441199852"/>
          <c:h val="0.12061614052110528"/>
        </c:manualLayout>
      </c:layout>
      <c:overlay val="0"/>
      <c:txPr>
        <a:bodyPr/>
        <a:lstStyle/>
        <a:p>
          <a:pPr rtl="0">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gradFill>
    <a:ln w="9525" cap="flat" cmpd="sng" algn="ctr">
      <a:solidFill>
        <a:schemeClr val="tx1">
          <a:lumMod val="95000"/>
          <a:lumOff val="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chemeClr val="bg1"/>
                </a:solidFill>
                <a:latin typeface="Calibri"/>
                <a:ea typeface="Calibri"/>
                <a:cs typeface="Calibri"/>
              </a:defRPr>
            </a:pPr>
            <a:r>
              <a:rPr lang="en-PH">
                <a:solidFill>
                  <a:schemeClr val="bg1"/>
                </a:solidFill>
              </a:rPr>
              <a:t>Test Case</a:t>
            </a:r>
            <a:r>
              <a:rPr lang="en-PH" baseline="0">
                <a:solidFill>
                  <a:schemeClr val="bg1"/>
                </a:solidFill>
              </a:rPr>
              <a:t> Design</a:t>
            </a:r>
            <a:r>
              <a:rPr lang="en-PH">
                <a:solidFill>
                  <a:schemeClr val="bg1"/>
                </a:solidFill>
              </a:rPr>
              <a:t> Progress (Per Ticket)</a:t>
            </a:r>
          </a:p>
        </c:rich>
      </c:tx>
      <c:layout>
        <c:manualLayout>
          <c:xMode val="edge"/>
          <c:yMode val="edge"/>
          <c:x val="0.3917861904009623"/>
          <c:y val="3.4374955000949073E-2"/>
        </c:manualLayout>
      </c:layout>
      <c:overlay val="0"/>
      <c:spPr>
        <a:noFill/>
        <a:ln w="25400">
          <a:noFill/>
        </a:ln>
      </c:spPr>
    </c:title>
    <c:autoTitleDeleted val="0"/>
    <c:plotArea>
      <c:layout>
        <c:manualLayout>
          <c:layoutTarget val="inner"/>
          <c:xMode val="edge"/>
          <c:yMode val="edge"/>
          <c:x val="5.0172751637301928E-2"/>
          <c:y val="0.25937500000000002"/>
          <c:w val="0.90568319226118499"/>
          <c:h val="0.54062500000000002"/>
        </c:manualLayout>
      </c:layout>
      <c:lineChart>
        <c:grouping val="standard"/>
        <c:varyColors val="0"/>
        <c:ser>
          <c:idx val="0"/>
          <c:order val="0"/>
          <c:tx>
            <c:strRef>
              <c:f>'Test Summary'!$B$81</c:f>
              <c:strCache>
                <c:ptCount val="1"/>
                <c:pt idx="0">
                  <c:v>Actual Test Scripting  Progess (Remaining)</c:v>
                </c:pt>
              </c:strCache>
            </c:strRef>
          </c:tx>
          <c:spPr>
            <a:ln w="57150">
              <a:solidFill>
                <a:srgbClr val="FFC000"/>
              </a:solidFill>
            </a:ln>
          </c:spPr>
          <c:marker>
            <c:symbol val="none"/>
          </c:marker>
          <c:val>
            <c:numRef>
              <c:f>'Test Summary'!$D$81:$I$81</c:f>
            </c:numRef>
          </c:val>
          <c:smooth val="0"/>
          <c:extLst>
            <c:ext xmlns:c16="http://schemas.microsoft.com/office/drawing/2014/chart" uri="{C3380CC4-5D6E-409C-BE32-E72D297353CC}">
              <c16:uniqueId val="{00000002-27D3-413C-9630-CC9CA3D7CFE0}"/>
            </c:ext>
          </c:extLst>
        </c:ser>
        <c:ser>
          <c:idx val="1"/>
          <c:order val="1"/>
          <c:tx>
            <c:strRef>
              <c:f>'Test Summary'!$B$82</c:f>
              <c:strCache>
                <c:ptCount val="1"/>
                <c:pt idx="0">
                  <c:v>Ideal Test Execution Progess </c:v>
                </c:pt>
              </c:strCache>
            </c:strRef>
          </c:tx>
          <c:spPr>
            <a:ln w="76200">
              <a:solidFill>
                <a:schemeClr val="tx2"/>
              </a:solidFill>
            </a:ln>
          </c:spPr>
          <c:marker>
            <c:symbol val="none"/>
          </c:marker>
          <c:dPt>
            <c:idx val="1"/>
            <c:bubble3D val="0"/>
            <c:extLst>
              <c:ext xmlns:c16="http://schemas.microsoft.com/office/drawing/2014/chart" uri="{C3380CC4-5D6E-409C-BE32-E72D297353CC}">
                <c16:uniqueId val="{00000004-27D3-413C-9630-CC9CA3D7CFE0}"/>
              </c:ext>
            </c:extLst>
          </c:dPt>
          <c:dPt>
            <c:idx val="2"/>
            <c:bubble3D val="0"/>
            <c:extLst>
              <c:ext xmlns:c16="http://schemas.microsoft.com/office/drawing/2014/chart" uri="{C3380CC4-5D6E-409C-BE32-E72D297353CC}">
                <c16:uniqueId val="{00000005-27D3-413C-9630-CC9CA3D7CFE0}"/>
              </c:ext>
            </c:extLst>
          </c:dPt>
          <c:dPt>
            <c:idx val="3"/>
            <c:bubble3D val="0"/>
            <c:extLst>
              <c:ext xmlns:c16="http://schemas.microsoft.com/office/drawing/2014/chart" uri="{C3380CC4-5D6E-409C-BE32-E72D297353CC}">
                <c16:uniqueId val="{00000004-E94E-4CDE-A8B4-86D63F179C57}"/>
              </c:ext>
            </c:extLst>
          </c:dPt>
          <c:dPt>
            <c:idx val="4"/>
            <c:bubble3D val="0"/>
            <c:extLst>
              <c:ext xmlns:c16="http://schemas.microsoft.com/office/drawing/2014/chart" uri="{C3380CC4-5D6E-409C-BE32-E72D297353CC}">
                <c16:uniqueId val="{00000005-E94E-4CDE-A8B4-86D63F179C57}"/>
              </c:ext>
            </c:extLst>
          </c:dPt>
          <c:val>
            <c:numRef>
              <c:f>'Test Summary'!$D$82:$I$82</c:f>
            </c:numRef>
          </c:val>
          <c:smooth val="0"/>
          <c:extLst>
            <c:ext xmlns:c16="http://schemas.microsoft.com/office/drawing/2014/chart" uri="{C3380CC4-5D6E-409C-BE32-E72D297353CC}">
              <c16:uniqueId val="{00000003-27D3-413C-9630-CC9CA3D7CFE0}"/>
            </c:ext>
          </c:extLst>
        </c:ser>
        <c:dLbls>
          <c:showLegendKey val="0"/>
          <c:showVal val="0"/>
          <c:showCatName val="0"/>
          <c:showSerName val="0"/>
          <c:showPercent val="0"/>
          <c:showBubbleSize val="0"/>
        </c:dLbls>
        <c:marker val="1"/>
        <c:smooth val="0"/>
        <c:axId val="600389232"/>
        <c:axId val="1"/>
      </c:lineChart>
      <c:dateAx>
        <c:axId val="6003892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dd\-mmm" sourceLinked="0"/>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1"/>
        <c:crossesAt val="0"/>
        <c:auto val="1"/>
        <c:lblOffset val="100"/>
        <c:baseTimeUnit val="days"/>
        <c:majorUnit val="1"/>
        <c:majorTimeUnit val="days"/>
        <c:minorUnit val="1"/>
        <c:minorTimeUnit val="days"/>
      </c:dateAx>
      <c:valAx>
        <c:axId val="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General" sourceLinked="1"/>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600389232"/>
        <c:crosses val="autoZero"/>
        <c:crossBetween val="midCat"/>
      </c:valAx>
      <c:spPr>
        <a:noFill/>
        <a:ln w="25400">
          <a:noFill/>
        </a:ln>
      </c:spPr>
    </c:plotArea>
    <c:legend>
      <c:legendPos val="t"/>
      <c:overlay val="0"/>
      <c:spPr>
        <a:noFill/>
        <a:ln w="25400">
          <a:noFill/>
        </a:ln>
      </c:spPr>
      <c:txPr>
        <a:bodyPr/>
        <a:lstStyle/>
        <a:p>
          <a:pPr rtl="0">
            <a:defRPr sz="1000" b="0" i="0" u="none" strike="noStrike" baseline="0">
              <a:solidFill>
                <a:srgbClr val="C0C0C0"/>
              </a:solidFill>
              <a:latin typeface="Calibri"/>
              <a:ea typeface="Calibri"/>
              <a:cs typeface="Calibri"/>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solidFill>
                  <a:schemeClr val="tx2"/>
                </a:solidFill>
              </a:defRPr>
            </a:pPr>
            <a:r>
              <a:rPr lang="en-US" sz="1600" b="1">
                <a:solidFill>
                  <a:schemeClr val="tx2"/>
                </a:solidFill>
              </a:rPr>
              <a:t>Test Execution</a:t>
            </a:r>
          </a:p>
        </c:rich>
      </c:tx>
      <c:overlay val="0"/>
    </c:title>
    <c:autoTitleDeleted val="0"/>
    <c:plotArea>
      <c:layout>
        <c:manualLayout>
          <c:layoutTarget val="inner"/>
          <c:xMode val="edge"/>
          <c:yMode val="edge"/>
          <c:x val="0.32967077190125438"/>
          <c:y val="0.43670953556037312"/>
          <c:w val="0.33516528476627527"/>
          <c:h val="0.38607654593018492"/>
        </c:manualLayout>
      </c:layout>
      <c:pieChart>
        <c:varyColors val="1"/>
        <c:ser>
          <c:idx val="0"/>
          <c:order val="0"/>
          <c:spPr>
            <a:solidFill>
              <a:schemeClr val="accent1"/>
            </a:solidFill>
            <a:ln w="9525">
              <a:noFill/>
            </a:ln>
            <a:effectLst>
              <a:outerShdw blurRad="254000" sx="102000" sy="102000" rotWithShape="0">
                <a:schemeClr val="accent1">
                  <a:alpha val="20000"/>
                </a:schemeClr>
              </a:outerShdw>
            </a:effectLst>
          </c:spPr>
          <c:dPt>
            <c:idx val="0"/>
            <c:bubble3D val="0"/>
            <c:spPr>
              <a:solidFill>
                <a:srgbClr val="0070C0"/>
              </a:solidFill>
              <a:ln>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1-F4EA-4B66-9A21-895B78199A0B}"/>
              </c:ext>
            </c:extLst>
          </c:dPt>
          <c:dPt>
            <c:idx val="1"/>
            <c:bubble3D val="0"/>
            <c:spPr>
              <a:solidFill>
                <a:srgbClr val="FF0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3-F4EA-4B66-9A21-895B78199A0B}"/>
              </c:ext>
            </c:extLst>
          </c:dPt>
          <c:dPt>
            <c:idx val="2"/>
            <c:bubble3D val="0"/>
            <c:spPr>
              <a:solidFill>
                <a:srgbClr val="FFC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5-F4EA-4B66-9A21-895B78199A0B}"/>
              </c:ext>
            </c:extLst>
          </c:dPt>
          <c:dPt>
            <c:idx val="3"/>
            <c:bubble3D val="0"/>
            <c:spPr>
              <a:solidFill>
                <a:schemeClr val="tx1"/>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7-F4EA-4B66-9A21-895B78199A0B}"/>
              </c:ext>
            </c:extLst>
          </c:dPt>
          <c:dPt>
            <c:idx val="4"/>
            <c:bubble3D val="0"/>
            <c:spPr>
              <a:solidFill>
                <a:schemeClr val="bg1">
                  <a:lumMod val="65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9-F4EA-4B66-9A21-895B78199A0B}"/>
              </c:ext>
            </c:extLst>
          </c:dPt>
          <c:dPt>
            <c:idx val="5"/>
            <c:bubble3D val="0"/>
            <c:spPr>
              <a:solidFill>
                <a:srgbClr val="7030A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16-F4EA-4B66-9A21-895B78199A0B}"/>
              </c:ext>
            </c:extLst>
          </c:dPt>
          <c:dPt>
            <c:idx val="6"/>
            <c:bubble3D val="0"/>
            <c:spPr>
              <a:solidFill>
                <a:schemeClr val="bg2">
                  <a:lumMod val="50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6C-F4EA-4B66-9A21-895B78199A0B}"/>
              </c:ext>
            </c:extLst>
          </c:dPt>
          <c:dLbls>
            <c:dLbl>
              <c:idx val="0"/>
              <c:layout>
                <c:manualLayout>
                  <c:x val="0.15034424756309803"/>
                  <c:y val="-7.0639410195725699E-2"/>
                </c:manualLayout>
              </c:layout>
              <c:spPr>
                <a:solidFill>
                  <a:srgbClr val="0070C0"/>
                </a:solidFill>
                <a:ln>
                  <a:solidFill>
                    <a:sysClr val="windowText" lastClr="000000">
                      <a:lumMod val="65000"/>
                      <a:lumOff val="35000"/>
                    </a:sysClr>
                  </a:solidFill>
                </a:ln>
                <a:effectLst/>
              </c:spPr>
              <c:txPr>
                <a:bodyPr wrap="square" lIns="38100" tIns="19050" rIns="38100" bIns="19050" anchor="b" anchorCtr="0">
                  <a:no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4899433526469669"/>
                      <c:h val="0.11214575142938436"/>
                    </c:manualLayout>
                  </c15:layout>
                </c:ext>
                <c:ext xmlns:c16="http://schemas.microsoft.com/office/drawing/2014/chart" uri="{C3380CC4-5D6E-409C-BE32-E72D297353CC}">
                  <c16:uniqueId val="{00000001-F4EA-4B66-9A21-895B78199A0B}"/>
                </c:ext>
              </c:extLst>
            </c:dLbl>
            <c:dLbl>
              <c:idx val="1"/>
              <c:layout>
                <c:manualLayout>
                  <c:x val="-0.14915910313443828"/>
                  <c:y val="0.13998921074517676"/>
                </c:manualLayout>
              </c:layout>
              <c:spPr>
                <a:solidFill>
                  <a:srgbClr val="FF0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3-F4EA-4B66-9A21-895B78199A0B}"/>
                </c:ext>
              </c:extLst>
            </c:dLbl>
            <c:dLbl>
              <c:idx val="2"/>
              <c:layout>
                <c:manualLayout>
                  <c:x val="-0.13515451741802487"/>
                  <c:y val="-0.1080526327042708"/>
                </c:manualLayout>
              </c:layout>
              <c:spPr>
                <a:solidFill>
                  <a:srgbClr val="FFC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F4EA-4B66-9A21-895B78199A0B}"/>
                </c:ext>
              </c:extLst>
            </c:dLbl>
            <c:dLbl>
              <c:idx val="3"/>
              <c:layout>
                <c:manualLayout>
                  <c:x val="-0.13824650548641707"/>
                  <c:y val="2.4105596542175405E-2"/>
                </c:manualLayout>
              </c:layout>
              <c:spPr>
                <a:solidFill>
                  <a:sysClr val="windowText" lastClr="000000">
                    <a:lumMod val="85000"/>
                    <a:lumOff val="1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F4EA-4B66-9A21-895B78199A0B}"/>
                </c:ext>
              </c:extLst>
            </c:dLbl>
            <c:dLbl>
              <c:idx val="4"/>
              <c:layout>
                <c:manualLayout>
                  <c:x val="7.0243264330477392E-3"/>
                  <c:y val="-0.19901432920494486"/>
                </c:manualLayout>
              </c:layout>
              <c:spPr>
                <a:solidFill>
                  <a:sysClr val="window" lastClr="FFFFFF">
                    <a:lumMod val="8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9-F4EA-4B66-9A21-895B78199A0B}"/>
                </c:ext>
              </c:extLst>
            </c:dLbl>
            <c:dLbl>
              <c:idx val="5"/>
              <c:layout>
                <c:manualLayout>
                  <c:x val="0.14874746813159384"/>
                  <c:y val="-0.1032295397516607"/>
                </c:manualLayout>
              </c:layout>
              <c:spPr>
                <a:solidFill>
                  <a:srgbClr val="7030A0"/>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F4EA-4B66-9A21-895B78199A0B}"/>
                </c:ext>
              </c:extLst>
            </c:dLbl>
            <c:dLbl>
              <c:idx val="6"/>
              <c:layout>
                <c:manualLayout>
                  <c:x val="0.30141770966512155"/>
                  <c:y val="2.2583149354974706E-2"/>
                </c:manualLayout>
              </c:layout>
              <c:spPr>
                <a:solidFill>
                  <a:srgbClr val="EEECE1">
                    <a:lumMod val="50000"/>
                  </a:srgbClr>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6C-F4EA-4B66-9A21-895B78199A0B}"/>
                </c:ext>
              </c:extLst>
            </c:dLbl>
            <c:spPr>
              <a:solidFill>
                <a:sysClr val="window" lastClr="FFFFFF"/>
              </a:solidFill>
              <a:ln>
                <a:solidFill>
                  <a:sysClr val="windowText" lastClr="000000">
                    <a:lumMod val="65000"/>
                    <a:lumOff val="35000"/>
                  </a:sysClr>
                </a:solidFill>
              </a:ln>
              <a:effectLst/>
            </c:sp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multiLvlStrRef>
              <c:f>'Test Summary'!$B$74:$B$80</c:f>
            </c:multiLvlStrRef>
          </c:cat>
          <c:val>
            <c:numRef>
              <c:f>'Test Summary'!$F$74:$F$80</c:f>
            </c:numRef>
          </c:val>
          <c:extLst>
            <c:ext xmlns:c16="http://schemas.microsoft.com/office/drawing/2014/chart" uri="{C3380CC4-5D6E-409C-BE32-E72D297353CC}">
              <c16:uniqueId val="{0000000A-F4EA-4B66-9A21-895B78199A0B}"/>
            </c:ext>
          </c:extLst>
        </c:ser>
        <c:dLbls>
          <c:dLblPos val="bestFit"/>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4.3031856336081815E-2"/>
          <c:y val="3.4049740033081921E-2"/>
          <c:w val="0.91936873067934466"/>
          <c:h val="0.15709604574907202"/>
        </c:manualLayout>
      </c:layout>
      <c:overlay val="0"/>
      <c:txPr>
        <a:bodyPr/>
        <a:lstStyle/>
        <a:p>
          <a:pPr rtl="0">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gradFill>
    <a:ln w="9525" cap="flat" cmpd="sng" algn="ctr">
      <a:solidFill>
        <a:schemeClr val="tx1">
          <a:lumMod val="95000"/>
          <a:lumOff val="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Defect Severity Metrics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'Test Summary'!$B$216</c:f>
              <c:strCache>
                <c:ptCount val="1"/>
                <c:pt idx="0">
                  <c:v>New</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Summary'!$C$216:$F$216</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0-853E-41F8-B5CA-77482B028BDB}"/>
            </c:ext>
          </c:extLst>
        </c:ser>
        <c:ser>
          <c:idx val="1"/>
          <c:order val="1"/>
          <c:tx>
            <c:strRef>
              <c:f>'Test Summary'!$B$217</c:f>
              <c:strCache>
                <c:ptCount val="1"/>
                <c:pt idx="0">
                  <c:v>Open</c:v>
                </c:pt>
              </c:strCache>
            </c:strRef>
          </c:tx>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Summary'!$C$217:$F$217</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1-853E-41F8-B5CA-77482B028BDB}"/>
            </c:ext>
          </c:extLst>
        </c:ser>
        <c:ser>
          <c:idx val="2"/>
          <c:order val="2"/>
          <c:tx>
            <c:strRef>
              <c:f>'Test Summary'!$B$218</c:f>
              <c:strCache>
                <c:ptCount val="1"/>
                <c:pt idx="0">
                  <c:v>Assigned</c:v>
                </c:pt>
              </c:strCache>
            </c:strRef>
          </c:tx>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Summary'!$C$218:$F$218</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2-853E-41F8-B5CA-77482B028BDB}"/>
            </c:ext>
          </c:extLst>
        </c:ser>
        <c:ser>
          <c:idx val="3"/>
          <c:order val="3"/>
          <c:tx>
            <c:strRef>
              <c:f>'Test Summary'!$B$219</c:f>
              <c:strCache>
                <c:ptCount val="1"/>
                <c:pt idx="0">
                  <c:v>Deferred</c:v>
                </c:pt>
              </c:strCache>
            </c:strRef>
          </c:tx>
          <c:spPr>
            <a:solidFill>
              <a:schemeClr val="tx1">
                <a:lumMod val="65000"/>
                <a:lumOff val="3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Summary'!$C$219:$F$219</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3-853E-41F8-B5CA-77482B028BDB}"/>
            </c:ext>
          </c:extLst>
        </c:ser>
        <c:ser>
          <c:idx val="4"/>
          <c:order val="4"/>
          <c:tx>
            <c:strRef>
              <c:f>'Test Summary'!$B$220</c:f>
              <c:strCache>
                <c:ptCount val="1"/>
                <c:pt idx="0">
                  <c:v>Dropped</c:v>
                </c:pt>
              </c:strCache>
            </c:strRef>
          </c:tx>
          <c:spPr>
            <a:solidFill>
              <a:schemeClr val="tx1">
                <a:lumMod val="85000"/>
                <a:lumOff val="1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Summary'!$C$220:$F$220</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2-B75C-49F5-93E4-6DD414C5E122}"/>
            </c:ext>
          </c:extLst>
        </c:ser>
        <c:ser>
          <c:idx val="5"/>
          <c:order val="5"/>
          <c:tx>
            <c:strRef>
              <c:f>'Test Summary'!$B$221</c:f>
              <c:strCache>
                <c:ptCount val="1"/>
                <c:pt idx="0">
                  <c:v>Fixed</c:v>
                </c:pt>
              </c:strCache>
            </c:strRef>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Summary'!$C$221:$F$221</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3-B75C-49F5-93E4-6DD414C5E122}"/>
            </c:ext>
          </c:extLst>
        </c:ser>
        <c:ser>
          <c:idx val="6"/>
          <c:order val="6"/>
          <c:tx>
            <c:strRef>
              <c:f>'Test Summary'!$B$222</c:f>
              <c:strCache>
                <c:ptCount val="1"/>
                <c:pt idx="0">
                  <c:v>Retest</c:v>
                </c:pt>
              </c:strCache>
            </c:strRef>
          </c:tx>
          <c:spPr>
            <a:solidFill>
              <a:schemeClr val="accent3">
                <a:lumMod val="5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Summary'!$C$222:$F$222</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4-B75C-49F5-93E4-6DD414C5E122}"/>
            </c:ext>
          </c:extLst>
        </c:ser>
        <c:ser>
          <c:idx val="7"/>
          <c:order val="7"/>
          <c:tx>
            <c:strRef>
              <c:f>'Test Summary'!$B$223</c:f>
              <c:strCache>
                <c:ptCount val="1"/>
                <c:pt idx="0">
                  <c:v>Reopened</c:v>
                </c:pt>
              </c:strCache>
            </c:strRef>
          </c:tx>
          <c:spPr>
            <a:solidFill>
              <a:schemeClr val="accent2">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Summary'!$C$223:$F$223</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5-B75C-49F5-93E4-6DD414C5E122}"/>
            </c:ext>
          </c:extLst>
        </c:ser>
        <c:ser>
          <c:idx val="8"/>
          <c:order val="8"/>
          <c:tx>
            <c:strRef>
              <c:f>'Test Summary'!$B$224</c:f>
              <c:strCache>
                <c:ptCount val="1"/>
                <c:pt idx="0">
                  <c:v>Verified</c:v>
                </c:pt>
              </c:strCache>
            </c:strRef>
          </c:tx>
          <c:spPr>
            <a:solidFill>
              <a:srgbClr val="92D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Summary'!$C$224:$F$224</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6-B75C-49F5-93E4-6DD414C5E122}"/>
            </c:ext>
          </c:extLst>
        </c:ser>
        <c:ser>
          <c:idx val="9"/>
          <c:order val="9"/>
          <c:tx>
            <c:strRef>
              <c:f>'Test Summary'!$B$225</c:f>
              <c:strCache>
                <c:ptCount val="1"/>
                <c:pt idx="0">
                  <c:v>Closed</c:v>
                </c:pt>
              </c:strCache>
            </c:strRef>
          </c:tx>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Summary'!$C$225:$F$225</c:f>
            </c:numRef>
          </c:val>
          <c:extLst>
            <c:ext xmlns:c15="http://schemas.microsoft.com/office/drawing/2012/chart" uri="{02D57815-91ED-43cb-92C2-25804820EDAC}">
              <c15:filteredCategoryTitle>
                <c15:cat>
                  <c:multiLvlStrRef>
                    <c:extLst>
                      <c:ext uri="{02D57815-91ED-43cb-92C2-25804820EDAC}">
                        <c15:formulaRef>
                          <c15:sqref>'Test Summary'!$C$215:$F$215</c15:sqref>
                        </c15:formulaRef>
                      </c:ext>
                    </c:extLst>
                  </c:multiLvlStrRef>
                </c15:cat>
              </c15:filteredCategoryTitle>
            </c:ext>
            <c:ext xmlns:c16="http://schemas.microsoft.com/office/drawing/2014/chart" uri="{C3380CC4-5D6E-409C-BE32-E72D297353CC}">
              <c16:uniqueId val="{00000007-B75C-49F5-93E4-6DD414C5E122}"/>
            </c:ext>
          </c:extLst>
        </c:ser>
        <c:dLbls>
          <c:dLblPos val="ctr"/>
          <c:showLegendKey val="0"/>
          <c:showVal val="1"/>
          <c:showCatName val="0"/>
          <c:showSerName val="0"/>
          <c:showPercent val="0"/>
          <c:showBubbleSize val="0"/>
        </c:dLbls>
        <c:gapWidth val="150"/>
        <c:overlap val="100"/>
        <c:axId val="794296528"/>
        <c:axId val="1"/>
      </c:barChart>
      <c:catAx>
        <c:axId val="79429652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4296528"/>
        <c:crosses val="autoZero"/>
        <c:crossBetween val="between"/>
      </c:valAx>
      <c:spPr>
        <a:noFill/>
        <a:ln>
          <a:noFill/>
        </a:ln>
        <a:effectLst/>
      </c:spPr>
    </c:plotArea>
    <c:legend>
      <c:legendPos val="b"/>
      <c:layout>
        <c:manualLayout>
          <c:xMode val="edge"/>
          <c:yMode val="edge"/>
          <c:x val="1.1492085523008143E-2"/>
          <c:y val="0.91432540033619392"/>
          <c:w val="0.97701563944695025"/>
          <c:h val="6.3202689551446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Defect Rate per Environment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'Test Summary'!$Q$216</c:f>
              <c:strCache>
                <c:ptCount val="1"/>
                <c:pt idx="0">
                  <c:v>Show stopper</c:v>
                </c:pt>
              </c:strCache>
            </c:strRef>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Summary'!$R$216:$U$216</c:f>
            </c:numRef>
          </c:val>
          <c:extLst>
            <c:ext xmlns:c15="http://schemas.microsoft.com/office/drawing/2012/chart" uri="{02D57815-91ED-43cb-92C2-25804820EDAC}">
              <c15:filteredCategoryTitle>
                <c15:cat>
                  <c:multiLvlStrRef>
                    <c:extLst>
                      <c:ext uri="{02D57815-91ED-43cb-92C2-25804820EDAC}">
                        <c15:formulaRef>
                          <c15:sqref>'Test Summary'!$R$215:$U$215</c15:sqref>
                        </c15:formulaRef>
                      </c:ext>
                    </c:extLst>
                  </c:multiLvlStrRef>
                </c15:cat>
              </c15:filteredCategoryTitle>
            </c:ext>
            <c:ext xmlns:c16="http://schemas.microsoft.com/office/drawing/2014/chart" uri="{C3380CC4-5D6E-409C-BE32-E72D297353CC}">
              <c16:uniqueId val="{00000000-505A-4CAB-9661-E8AB040E4EF4}"/>
            </c:ext>
          </c:extLst>
        </c:ser>
        <c:ser>
          <c:idx val="1"/>
          <c:order val="1"/>
          <c:tx>
            <c:strRef>
              <c:f>'Test Summary'!$Q$217</c:f>
              <c:strCache>
                <c:ptCount val="1"/>
                <c:pt idx="0">
                  <c:v>Major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Summary'!$R$217:$U$217</c:f>
            </c:numRef>
          </c:val>
          <c:extLst>
            <c:ext xmlns:c15="http://schemas.microsoft.com/office/drawing/2012/chart" uri="{02D57815-91ED-43cb-92C2-25804820EDAC}">
              <c15:filteredCategoryTitle>
                <c15:cat>
                  <c:multiLvlStrRef>
                    <c:extLst>
                      <c:ext uri="{02D57815-91ED-43cb-92C2-25804820EDAC}">
                        <c15:formulaRef>
                          <c15:sqref>'Test Summary'!$R$215:$U$215</c15:sqref>
                        </c15:formulaRef>
                      </c:ext>
                    </c:extLst>
                  </c:multiLvlStrRef>
                </c15:cat>
              </c15:filteredCategoryTitle>
            </c:ext>
            <c:ext xmlns:c16="http://schemas.microsoft.com/office/drawing/2014/chart" uri="{C3380CC4-5D6E-409C-BE32-E72D297353CC}">
              <c16:uniqueId val="{00000001-505A-4CAB-9661-E8AB040E4EF4}"/>
            </c:ext>
          </c:extLst>
        </c:ser>
        <c:ser>
          <c:idx val="2"/>
          <c:order val="2"/>
          <c:tx>
            <c:strRef>
              <c:f>'Test Summary'!$Q$218</c:f>
              <c:strCache>
                <c:ptCount val="1"/>
                <c:pt idx="0">
                  <c:v>Minor</c:v>
                </c:pt>
              </c:strCache>
            </c:strRef>
          </c:tx>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Summary'!$R$218:$U$218</c:f>
            </c:numRef>
          </c:val>
          <c:extLst>
            <c:ext xmlns:c15="http://schemas.microsoft.com/office/drawing/2012/chart" uri="{02D57815-91ED-43cb-92C2-25804820EDAC}">
              <c15:filteredCategoryTitle>
                <c15:cat>
                  <c:multiLvlStrRef>
                    <c:extLst>
                      <c:ext uri="{02D57815-91ED-43cb-92C2-25804820EDAC}">
                        <c15:formulaRef>
                          <c15:sqref>'Test Summary'!$R$215:$U$215</c15:sqref>
                        </c15:formulaRef>
                      </c:ext>
                    </c:extLst>
                  </c:multiLvlStrRef>
                </c15:cat>
              </c15:filteredCategoryTitle>
            </c:ext>
            <c:ext xmlns:c16="http://schemas.microsoft.com/office/drawing/2014/chart" uri="{C3380CC4-5D6E-409C-BE32-E72D297353CC}">
              <c16:uniqueId val="{00000002-505A-4CAB-9661-E8AB040E4EF4}"/>
            </c:ext>
          </c:extLst>
        </c:ser>
        <c:ser>
          <c:idx val="3"/>
          <c:order val="3"/>
          <c:tx>
            <c:strRef>
              <c:f>'Test Summary'!$Q$219</c:f>
              <c:strCache>
                <c:ptCount val="1"/>
                <c:pt idx="0">
                  <c:v>Low</c:v>
                </c:pt>
              </c:strCache>
            </c:strRef>
          </c:tx>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'Test Summary'!$R$219:$U$219</c:f>
            </c:numRef>
          </c:val>
          <c:extLst>
            <c:ext xmlns:c15="http://schemas.microsoft.com/office/drawing/2012/chart" uri="{02D57815-91ED-43cb-92C2-25804820EDAC}">
              <c15:filteredCategoryTitle>
                <c15:cat>
                  <c:multiLvlStrRef>
                    <c:extLst>
                      <c:ext uri="{02D57815-91ED-43cb-92C2-25804820EDAC}">
                        <c15:formulaRef>
                          <c15:sqref>'Test Summary'!$R$215:$U$215</c15:sqref>
                        </c15:formulaRef>
                      </c:ext>
                    </c:extLst>
                  </c:multiLvlStrRef>
                </c15:cat>
              </c15:filteredCategoryTitle>
            </c:ext>
            <c:ext xmlns:c16="http://schemas.microsoft.com/office/drawing/2014/chart" uri="{C3380CC4-5D6E-409C-BE32-E72D297353CC}">
              <c16:uniqueId val="{00000003-505A-4CAB-9661-E8AB040E4EF4}"/>
            </c:ext>
          </c:extLst>
        </c:ser>
        <c:dLbls>
          <c:showLegendKey val="0"/>
          <c:showVal val="1"/>
          <c:showCatName val="0"/>
          <c:showSerName val="0"/>
          <c:showPercent val="0"/>
          <c:showBubbleSize val="0"/>
        </c:dLbls>
        <c:gapWidth val="150"/>
        <c:overlap val="100"/>
        <c:axId val="794296528"/>
        <c:axId val="1"/>
      </c:barChart>
      <c:catAx>
        <c:axId val="79429652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429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chemeClr val="bg1"/>
                </a:solidFill>
                <a:latin typeface="Calibri"/>
                <a:ea typeface="Calibri"/>
                <a:cs typeface="Calibri"/>
              </a:defRPr>
            </a:pPr>
            <a:r>
              <a:rPr lang="en-PH">
                <a:solidFill>
                  <a:schemeClr val="bg1"/>
                </a:solidFill>
              </a:rPr>
              <a:t>Test Case</a:t>
            </a:r>
            <a:r>
              <a:rPr lang="en-PH" baseline="0">
                <a:solidFill>
                  <a:schemeClr val="bg1"/>
                </a:solidFill>
              </a:rPr>
              <a:t> Design</a:t>
            </a:r>
            <a:r>
              <a:rPr lang="en-PH">
                <a:solidFill>
                  <a:schemeClr val="bg1"/>
                </a:solidFill>
              </a:rPr>
              <a:t> Progress (Per Ticket)</a:t>
            </a:r>
          </a:p>
        </c:rich>
      </c:tx>
      <c:layout>
        <c:manualLayout>
          <c:xMode val="edge"/>
          <c:yMode val="edge"/>
          <c:x val="0.3917861904009623"/>
          <c:y val="3.4374955000949073E-2"/>
        </c:manualLayout>
      </c:layout>
      <c:overlay val="0"/>
      <c:spPr>
        <a:noFill/>
        <a:ln w="25400">
          <a:noFill/>
        </a:ln>
      </c:spPr>
    </c:title>
    <c:autoTitleDeleted val="0"/>
    <c:plotArea>
      <c:layout>
        <c:manualLayout>
          <c:layoutTarget val="inner"/>
          <c:xMode val="edge"/>
          <c:yMode val="edge"/>
          <c:x val="5.0172751637301928E-2"/>
          <c:y val="0.25937500000000002"/>
          <c:w val="0.90568319226118499"/>
          <c:h val="0.54062500000000002"/>
        </c:manualLayout>
      </c:layout>
      <c:lineChart>
        <c:grouping val="standard"/>
        <c:varyColors val="0"/>
        <c:ser>
          <c:idx val="0"/>
          <c:order val="0"/>
          <c:tx>
            <c:strRef>
              <c:f>'Test Summary'!$B$128</c:f>
              <c:strCache>
                <c:ptCount val="1"/>
                <c:pt idx="0">
                  <c:v>Actual Test Scripting  Progess (Remaining)</c:v>
                </c:pt>
              </c:strCache>
            </c:strRef>
          </c:tx>
          <c:spPr>
            <a:ln w="57150">
              <a:solidFill>
                <a:srgbClr val="FFC000"/>
              </a:solidFill>
            </a:ln>
          </c:spPr>
          <c:marker>
            <c:symbol val="none"/>
          </c:marker>
          <c:val>
            <c:numRef>
              <c:f>'Test Summary'!$D$128:$F$128</c:f>
            </c:numRef>
          </c:val>
          <c:smooth val="0"/>
          <c:extLst>
            <c:ext xmlns:c16="http://schemas.microsoft.com/office/drawing/2014/chart" uri="{C3380CC4-5D6E-409C-BE32-E72D297353CC}">
              <c16:uniqueId val="{00000000-860B-4E2D-A8A4-AB97074A8D40}"/>
            </c:ext>
          </c:extLst>
        </c:ser>
        <c:ser>
          <c:idx val="1"/>
          <c:order val="1"/>
          <c:tx>
            <c:strRef>
              <c:f>'Test Summary'!$B$129</c:f>
              <c:strCache>
                <c:ptCount val="1"/>
                <c:pt idx="0">
                  <c:v>Ideal Test Execution Progess </c:v>
                </c:pt>
              </c:strCache>
            </c:strRef>
          </c:tx>
          <c:marker>
            <c:symbol val="none"/>
          </c:marker>
          <c:dPt>
            <c:idx val="1"/>
            <c:bubble3D val="0"/>
            <c:spPr>
              <a:ln w="57150">
                <a:solidFill>
                  <a:srgbClr val="0070C0"/>
                </a:solidFill>
              </a:ln>
            </c:spPr>
            <c:extLst>
              <c:ext xmlns:c16="http://schemas.microsoft.com/office/drawing/2014/chart" uri="{C3380CC4-5D6E-409C-BE32-E72D297353CC}">
                <c16:uniqueId val="{00000002-860B-4E2D-A8A4-AB97074A8D40}"/>
              </c:ext>
            </c:extLst>
          </c:dPt>
          <c:dPt>
            <c:idx val="2"/>
            <c:bubble3D val="0"/>
            <c:spPr>
              <a:ln w="57150">
                <a:solidFill>
                  <a:srgbClr val="0070C0"/>
                </a:solidFill>
              </a:ln>
            </c:spPr>
            <c:extLst>
              <c:ext xmlns:c16="http://schemas.microsoft.com/office/drawing/2014/chart" uri="{C3380CC4-5D6E-409C-BE32-E72D297353CC}">
                <c16:uniqueId val="{00000004-860B-4E2D-A8A4-AB97074A8D40}"/>
              </c:ext>
            </c:extLst>
          </c:dPt>
          <c:val>
            <c:numRef>
              <c:f>'Test Summary'!$D$129:$F$129</c:f>
            </c:numRef>
          </c:val>
          <c:smooth val="0"/>
          <c:extLst>
            <c:ext xmlns:c16="http://schemas.microsoft.com/office/drawing/2014/chart" uri="{C3380CC4-5D6E-409C-BE32-E72D297353CC}">
              <c16:uniqueId val="{00000005-860B-4E2D-A8A4-AB97074A8D40}"/>
            </c:ext>
          </c:extLst>
        </c:ser>
        <c:dLbls>
          <c:showLegendKey val="0"/>
          <c:showVal val="0"/>
          <c:showCatName val="0"/>
          <c:showSerName val="0"/>
          <c:showPercent val="0"/>
          <c:showBubbleSize val="0"/>
        </c:dLbls>
        <c:marker val="1"/>
        <c:smooth val="0"/>
        <c:axId val="600389232"/>
        <c:axId val="1"/>
      </c:lineChart>
      <c:dateAx>
        <c:axId val="6003892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dd\-mmm" sourceLinked="0"/>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1"/>
        <c:crossesAt val="0"/>
        <c:auto val="1"/>
        <c:lblOffset val="100"/>
        <c:baseTimeUnit val="days"/>
        <c:majorUnit val="1"/>
        <c:majorTimeUnit val="days"/>
        <c:minorUnit val="1"/>
        <c:minorTimeUnit val="days"/>
      </c:dateAx>
      <c:valAx>
        <c:axId val="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General" sourceLinked="1"/>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600389232"/>
        <c:crosses val="autoZero"/>
        <c:crossBetween val="midCat"/>
      </c:valAx>
      <c:spPr>
        <a:noFill/>
        <a:ln w="25400">
          <a:noFill/>
        </a:ln>
      </c:spPr>
    </c:plotArea>
    <c:legend>
      <c:legendPos val="t"/>
      <c:overlay val="0"/>
      <c:spPr>
        <a:noFill/>
        <a:ln w="25400">
          <a:noFill/>
        </a:ln>
      </c:spPr>
      <c:txPr>
        <a:bodyPr/>
        <a:lstStyle/>
        <a:p>
          <a:pPr rtl="0">
            <a:defRPr sz="1000" b="0" i="0" u="none" strike="noStrike" baseline="0">
              <a:solidFill>
                <a:srgbClr val="C0C0C0"/>
              </a:solidFill>
              <a:latin typeface="Calibri"/>
              <a:ea typeface="Calibri"/>
              <a:cs typeface="Calibri"/>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solidFill>
                  <a:schemeClr val="tx2"/>
                </a:solidFill>
              </a:defRPr>
            </a:pPr>
            <a:r>
              <a:rPr lang="en-US" sz="1600" b="1">
                <a:solidFill>
                  <a:schemeClr val="tx2"/>
                </a:solidFill>
              </a:rPr>
              <a:t>Test Execution</a:t>
            </a:r>
          </a:p>
        </c:rich>
      </c:tx>
      <c:overlay val="0"/>
    </c:title>
    <c:autoTitleDeleted val="0"/>
    <c:plotArea>
      <c:layout>
        <c:manualLayout>
          <c:layoutTarget val="inner"/>
          <c:xMode val="edge"/>
          <c:yMode val="edge"/>
          <c:x val="0.32967077190125438"/>
          <c:y val="0.43670953556037312"/>
          <c:w val="0.33516528476627527"/>
          <c:h val="0.38607654593018492"/>
        </c:manualLayout>
      </c:layout>
      <c:pieChart>
        <c:varyColors val="1"/>
        <c:ser>
          <c:idx val="0"/>
          <c:order val="0"/>
          <c:spPr>
            <a:solidFill>
              <a:schemeClr val="accent1"/>
            </a:solidFill>
            <a:ln w="9525">
              <a:noFill/>
            </a:ln>
            <a:effectLst>
              <a:outerShdw blurRad="254000" sx="102000" sy="102000" rotWithShape="0">
                <a:schemeClr val="accent1">
                  <a:alpha val="20000"/>
                </a:schemeClr>
              </a:outerShdw>
            </a:effectLst>
          </c:spPr>
          <c:dPt>
            <c:idx val="0"/>
            <c:bubble3D val="0"/>
            <c:spPr>
              <a:solidFill>
                <a:srgbClr val="0070C0"/>
              </a:solidFill>
              <a:ln>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1-1355-48CA-99B4-4864E450A2D2}"/>
              </c:ext>
            </c:extLst>
          </c:dPt>
          <c:dPt>
            <c:idx val="1"/>
            <c:bubble3D val="0"/>
            <c:spPr>
              <a:solidFill>
                <a:srgbClr val="FF0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3-1355-48CA-99B4-4864E450A2D2}"/>
              </c:ext>
            </c:extLst>
          </c:dPt>
          <c:dPt>
            <c:idx val="2"/>
            <c:bubble3D val="0"/>
            <c:spPr>
              <a:solidFill>
                <a:srgbClr val="FFC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5-1355-48CA-99B4-4864E450A2D2}"/>
              </c:ext>
            </c:extLst>
          </c:dPt>
          <c:dPt>
            <c:idx val="3"/>
            <c:bubble3D val="0"/>
            <c:spPr>
              <a:solidFill>
                <a:schemeClr val="tx1"/>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7-1355-48CA-99B4-4864E450A2D2}"/>
              </c:ext>
            </c:extLst>
          </c:dPt>
          <c:dPt>
            <c:idx val="4"/>
            <c:bubble3D val="0"/>
            <c:spPr>
              <a:solidFill>
                <a:schemeClr val="bg1">
                  <a:lumMod val="65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9-1355-48CA-99B4-4864E450A2D2}"/>
              </c:ext>
            </c:extLst>
          </c:dPt>
          <c:dPt>
            <c:idx val="5"/>
            <c:bubble3D val="0"/>
            <c:spPr>
              <a:solidFill>
                <a:srgbClr val="7030A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B-1355-48CA-99B4-4864E450A2D2}"/>
              </c:ext>
            </c:extLst>
          </c:dPt>
          <c:dPt>
            <c:idx val="6"/>
            <c:bubble3D val="0"/>
            <c:spPr>
              <a:solidFill>
                <a:schemeClr val="bg2">
                  <a:lumMod val="50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D-1355-48CA-99B4-4864E450A2D2}"/>
              </c:ext>
            </c:extLst>
          </c:dPt>
          <c:dLbls>
            <c:dLbl>
              <c:idx val="0"/>
              <c:layout>
                <c:manualLayout>
                  <c:x val="0.1665237987217795"/>
                  <c:y val="-0.1663749145439484"/>
                </c:manualLayout>
              </c:layout>
              <c:spPr>
                <a:solidFill>
                  <a:srgbClr val="0070C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2266326565491596"/>
                      <c:h val="8.7776728213298308E-2"/>
                    </c:manualLayout>
                  </c15:layout>
                </c:ext>
                <c:ext xmlns:c16="http://schemas.microsoft.com/office/drawing/2014/chart" uri="{C3380CC4-5D6E-409C-BE32-E72D297353CC}">
                  <c16:uniqueId val="{00000001-1355-48CA-99B4-4864E450A2D2}"/>
                </c:ext>
              </c:extLst>
            </c:dLbl>
            <c:dLbl>
              <c:idx val="1"/>
              <c:layout>
                <c:manualLayout>
                  <c:x val="-0.15164773869859807"/>
                  <c:y val="6.4271174323766458E-2"/>
                </c:manualLayout>
              </c:layout>
              <c:spPr>
                <a:solidFill>
                  <a:srgbClr val="FF0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3-1355-48CA-99B4-4864E450A2D2}"/>
                </c:ext>
              </c:extLst>
            </c:dLbl>
            <c:dLbl>
              <c:idx val="2"/>
              <c:layout>
                <c:manualLayout>
                  <c:x val="-0.1478645496463519"/>
                  <c:y val="-5.6703619498946568E-2"/>
                </c:manualLayout>
              </c:layout>
              <c:spPr>
                <a:solidFill>
                  <a:srgbClr val="FFC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1355-48CA-99B4-4864E450A2D2}"/>
                </c:ext>
              </c:extLst>
            </c:dLbl>
            <c:dLbl>
              <c:idx val="3"/>
              <c:layout>
                <c:manualLayout>
                  <c:x val="-0.11932166506929798"/>
                  <c:y val="-0.17432787821738266"/>
                </c:manualLayout>
              </c:layout>
              <c:spPr>
                <a:solidFill>
                  <a:sysClr val="windowText" lastClr="000000">
                    <a:lumMod val="85000"/>
                    <a:lumOff val="1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1355-48CA-99B4-4864E450A2D2}"/>
                </c:ext>
              </c:extLst>
            </c:dLbl>
            <c:dLbl>
              <c:idx val="4"/>
              <c:layout>
                <c:manualLayout>
                  <c:x val="2.7270164193971977E-2"/>
                  <c:y val="-9.8056943134021704E-2"/>
                </c:manualLayout>
              </c:layout>
              <c:spPr>
                <a:solidFill>
                  <a:sysClr val="window" lastClr="FFFFFF">
                    <a:lumMod val="8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9-1355-48CA-99B4-4864E450A2D2}"/>
                </c:ext>
              </c:extLst>
            </c:dLbl>
            <c:dLbl>
              <c:idx val="5"/>
              <c:spPr>
                <a:solidFill>
                  <a:srgbClr val="7030A0"/>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B-1355-48CA-99B4-4864E450A2D2}"/>
                </c:ext>
              </c:extLst>
            </c:dLbl>
            <c:dLbl>
              <c:idx val="6"/>
              <c:spPr>
                <a:solidFill>
                  <a:srgbClr val="EEECE1">
                    <a:lumMod val="50000"/>
                  </a:srgbClr>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1355-48CA-99B4-4864E450A2D2}"/>
                </c:ext>
              </c:extLst>
            </c:dLbl>
            <c:spPr>
              <a:solidFill>
                <a:sysClr val="window" lastClr="FFFFFF"/>
              </a:solidFill>
              <a:ln>
                <a:solidFill>
                  <a:sysClr val="windowText" lastClr="000000">
                    <a:lumMod val="65000"/>
                    <a:lumOff val="35000"/>
                  </a:sysClr>
                </a:solidFill>
              </a:ln>
              <a:effectLst/>
            </c:sp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multiLvlStrRef>
              <c:f>'Test Summary'!$B$121:$B$127</c:f>
            </c:multiLvlStrRef>
          </c:cat>
          <c:val>
            <c:numRef>
              <c:f>'Test Summary'!$F$121:$F$127</c:f>
            </c:numRef>
          </c:val>
          <c:extLst>
            <c:ext xmlns:c16="http://schemas.microsoft.com/office/drawing/2014/chart" uri="{C3380CC4-5D6E-409C-BE32-E72D297353CC}">
              <c16:uniqueId val="{0000000E-1355-48CA-99B4-4864E450A2D2}"/>
            </c:ext>
          </c:extLst>
        </c:ser>
        <c:dLbls>
          <c:dLblPos val="bestFit"/>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4.3031856336081815E-2"/>
          <c:y val="3.4049740033081921E-2"/>
          <c:w val="0.9106919430675201"/>
          <c:h val="0.20778865061239607"/>
        </c:manualLayout>
      </c:layout>
      <c:overlay val="0"/>
      <c:txPr>
        <a:bodyPr/>
        <a:lstStyle/>
        <a:p>
          <a:pPr rtl="0">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gradFill>
    <a:ln w="9525" cap="flat" cmpd="sng" algn="ctr">
      <a:solidFill>
        <a:schemeClr val="tx1">
          <a:lumMod val="95000"/>
          <a:lumOff val="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chemeClr val="bg1"/>
                </a:solidFill>
                <a:latin typeface="Calibri"/>
                <a:ea typeface="Calibri"/>
                <a:cs typeface="Calibri"/>
              </a:defRPr>
            </a:pPr>
            <a:r>
              <a:rPr lang="en-PH">
                <a:solidFill>
                  <a:schemeClr val="bg1"/>
                </a:solidFill>
              </a:rPr>
              <a:t>Test Case</a:t>
            </a:r>
            <a:r>
              <a:rPr lang="en-PH" baseline="0">
                <a:solidFill>
                  <a:schemeClr val="bg1"/>
                </a:solidFill>
              </a:rPr>
              <a:t> Design</a:t>
            </a:r>
            <a:r>
              <a:rPr lang="en-PH">
                <a:solidFill>
                  <a:schemeClr val="bg1"/>
                </a:solidFill>
              </a:rPr>
              <a:t> Progress (Per Ticket)</a:t>
            </a:r>
          </a:p>
        </c:rich>
      </c:tx>
      <c:layout>
        <c:manualLayout>
          <c:xMode val="edge"/>
          <c:yMode val="edge"/>
          <c:x val="0.3917861904009623"/>
          <c:y val="3.4374955000949073E-2"/>
        </c:manualLayout>
      </c:layout>
      <c:overlay val="0"/>
      <c:spPr>
        <a:noFill/>
        <a:ln w="25400">
          <a:noFill/>
        </a:ln>
      </c:spPr>
    </c:title>
    <c:autoTitleDeleted val="0"/>
    <c:plotArea>
      <c:layout>
        <c:manualLayout>
          <c:layoutTarget val="inner"/>
          <c:xMode val="edge"/>
          <c:yMode val="edge"/>
          <c:x val="5.0172751637301928E-2"/>
          <c:y val="0.25937500000000002"/>
          <c:w val="0.90568319226118499"/>
          <c:h val="0.54062500000000002"/>
        </c:manualLayout>
      </c:layout>
      <c:lineChart>
        <c:grouping val="standard"/>
        <c:varyColors val="0"/>
        <c:ser>
          <c:idx val="0"/>
          <c:order val="0"/>
          <c:tx>
            <c:strRef>
              <c:f>'Test Summary'!$B$175</c:f>
              <c:strCache>
                <c:ptCount val="1"/>
                <c:pt idx="0">
                  <c:v>Actual Test Scripting  Progess (Remaining)</c:v>
                </c:pt>
              </c:strCache>
            </c:strRef>
          </c:tx>
          <c:spPr>
            <a:ln w="57150">
              <a:solidFill>
                <a:srgbClr val="FFC000"/>
              </a:solidFill>
            </a:ln>
          </c:spPr>
          <c:marker>
            <c:symbol val="none"/>
          </c:marker>
          <c:val>
            <c:numRef>
              <c:f>'Test Summary'!$D$175:$E$175</c:f>
            </c:numRef>
          </c:val>
          <c:smooth val="0"/>
          <c:extLst>
            <c:ext xmlns:c16="http://schemas.microsoft.com/office/drawing/2014/chart" uri="{C3380CC4-5D6E-409C-BE32-E72D297353CC}">
              <c16:uniqueId val="{00000000-F14B-4245-AB06-0610013513DC}"/>
            </c:ext>
          </c:extLst>
        </c:ser>
        <c:ser>
          <c:idx val="1"/>
          <c:order val="1"/>
          <c:tx>
            <c:strRef>
              <c:f>'Test Summary'!$B$176</c:f>
              <c:strCache>
                <c:ptCount val="1"/>
                <c:pt idx="0">
                  <c:v>Ideal Test Execution Progess </c:v>
                </c:pt>
              </c:strCache>
            </c:strRef>
          </c:tx>
          <c:marker>
            <c:symbol val="none"/>
          </c:marker>
          <c:dPt>
            <c:idx val="1"/>
            <c:bubble3D val="0"/>
            <c:spPr>
              <a:ln w="57150">
                <a:solidFill>
                  <a:srgbClr val="0070C0"/>
                </a:solidFill>
              </a:ln>
            </c:spPr>
            <c:extLst>
              <c:ext xmlns:c16="http://schemas.microsoft.com/office/drawing/2014/chart" uri="{C3380CC4-5D6E-409C-BE32-E72D297353CC}">
                <c16:uniqueId val="{00000002-F14B-4245-AB06-0610013513DC}"/>
              </c:ext>
            </c:extLst>
          </c:dPt>
          <c:dPt>
            <c:idx val="2"/>
            <c:bubble3D val="0"/>
            <c:spPr>
              <a:ln w="57150">
                <a:solidFill>
                  <a:srgbClr val="0070C0"/>
                </a:solidFill>
              </a:ln>
            </c:spPr>
            <c:extLst>
              <c:ext xmlns:c16="http://schemas.microsoft.com/office/drawing/2014/chart" uri="{C3380CC4-5D6E-409C-BE32-E72D297353CC}">
                <c16:uniqueId val="{00000004-F14B-4245-AB06-0610013513DC}"/>
              </c:ext>
            </c:extLst>
          </c:dPt>
          <c:val>
            <c:numRef>
              <c:f>'Test Summary'!$D$176:$E$176</c:f>
            </c:numRef>
          </c:val>
          <c:smooth val="0"/>
          <c:extLst>
            <c:ext xmlns:c16="http://schemas.microsoft.com/office/drawing/2014/chart" uri="{C3380CC4-5D6E-409C-BE32-E72D297353CC}">
              <c16:uniqueId val="{00000005-F14B-4245-AB06-0610013513DC}"/>
            </c:ext>
          </c:extLst>
        </c:ser>
        <c:dLbls>
          <c:showLegendKey val="0"/>
          <c:showVal val="0"/>
          <c:showCatName val="0"/>
          <c:showSerName val="0"/>
          <c:showPercent val="0"/>
          <c:showBubbleSize val="0"/>
        </c:dLbls>
        <c:marker val="1"/>
        <c:smooth val="0"/>
        <c:axId val="600389232"/>
        <c:axId val="1"/>
      </c:lineChart>
      <c:dateAx>
        <c:axId val="60038923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dd\-mmm" sourceLinked="0"/>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1"/>
        <c:crossesAt val="0"/>
        <c:auto val="1"/>
        <c:lblOffset val="100"/>
        <c:baseTimeUnit val="days"/>
        <c:majorUnit val="1"/>
        <c:majorTimeUnit val="days"/>
        <c:minorUnit val="1"/>
        <c:minorTimeUnit val="days"/>
      </c:dateAx>
      <c:valAx>
        <c:axId val="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prstDash val="solid"/>
              <a:round/>
            </a:ln>
            <a:effectLst/>
          </c:spPr>
        </c:majorGridlines>
        <c:numFmt formatCode="General" sourceLinked="1"/>
        <c:majorTickMark val="none"/>
        <c:minorTickMark val="none"/>
        <c:tickLblPos val="nextTo"/>
        <c:spPr>
          <a:ln w="6350">
            <a:noFill/>
          </a:ln>
        </c:spPr>
        <c:txPr>
          <a:bodyPr rot="0" vert="horz"/>
          <a:lstStyle/>
          <a:p>
            <a:pPr>
              <a:defRPr sz="900" b="0" i="0" u="none" strike="noStrike" baseline="0">
                <a:solidFill>
                  <a:srgbClr val="C0C0C0"/>
                </a:solidFill>
                <a:latin typeface="Calibri"/>
                <a:ea typeface="Calibri"/>
                <a:cs typeface="Calibri"/>
              </a:defRPr>
            </a:pPr>
            <a:endParaRPr lang="en-US"/>
          </a:p>
        </c:txPr>
        <c:crossAx val="600389232"/>
        <c:crosses val="autoZero"/>
        <c:crossBetween val="midCat"/>
      </c:valAx>
      <c:spPr>
        <a:noFill/>
        <a:ln w="25400">
          <a:noFill/>
        </a:ln>
      </c:spPr>
    </c:plotArea>
    <c:legend>
      <c:legendPos val="t"/>
      <c:overlay val="0"/>
      <c:spPr>
        <a:noFill/>
        <a:ln w="25400">
          <a:noFill/>
        </a:ln>
      </c:spPr>
      <c:txPr>
        <a:bodyPr/>
        <a:lstStyle/>
        <a:p>
          <a:pPr rtl="0">
            <a:defRPr sz="1000" b="0" i="0" u="none" strike="noStrike" baseline="0">
              <a:solidFill>
                <a:srgbClr val="C0C0C0"/>
              </a:solidFill>
              <a:latin typeface="Calibri"/>
              <a:ea typeface="Calibri"/>
              <a:cs typeface="Calibri"/>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solidFill>
                  <a:schemeClr val="tx2"/>
                </a:solidFill>
              </a:defRPr>
            </a:pPr>
            <a:r>
              <a:rPr lang="en-US" sz="1600" b="1">
                <a:solidFill>
                  <a:schemeClr val="tx2"/>
                </a:solidFill>
              </a:rPr>
              <a:t>Test Execution</a:t>
            </a:r>
          </a:p>
        </c:rich>
      </c:tx>
      <c:overlay val="0"/>
    </c:title>
    <c:autoTitleDeleted val="0"/>
    <c:plotArea>
      <c:layout>
        <c:manualLayout>
          <c:layoutTarget val="inner"/>
          <c:xMode val="edge"/>
          <c:yMode val="edge"/>
          <c:x val="0.32967077190125438"/>
          <c:y val="0.43670953556037312"/>
          <c:w val="0.33516528476627527"/>
          <c:h val="0.38607654593018492"/>
        </c:manualLayout>
      </c:layout>
      <c:pieChart>
        <c:varyColors val="1"/>
        <c:ser>
          <c:idx val="0"/>
          <c:order val="0"/>
          <c:tx>
            <c:v>series1</c:v>
          </c:tx>
          <c:spPr>
            <a:solidFill>
              <a:schemeClr val="accent1"/>
            </a:solidFill>
            <a:ln w="9525">
              <a:noFill/>
            </a:ln>
            <a:effectLst>
              <a:outerShdw blurRad="254000" sx="102000" sy="102000" rotWithShape="0">
                <a:schemeClr val="accent1">
                  <a:alpha val="20000"/>
                </a:schemeClr>
              </a:outerShdw>
            </a:effectLst>
          </c:spPr>
          <c:dPt>
            <c:idx val="0"/>
            <c:bubble3D val="0"/>
            <c:spPr>
              <a:solidFill>
                <a:srgbClr val="0070C0"/>
              </a:solidFill>
              <a:ln>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1-9CB9-4888-9E56-B423D87AA2CB}"/>
              </c:ext>
            </c:extLst>
          </c:dPt>
          <c:dPt>
            <c:idx val="1"/>
            <c:bubble3D val="0"/>
            <c:spPr>
              <a:solidFill>
                <a:srgbClr val="FF0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3-9CB9-4888-9E56-B423D87AA2CB}"/>
              </c:ext>
            </c:extLst>
          </c:dPt>
          <c:dPt>
            <c:idx val="2"/>
            <c:bubble3D val="0"/>
            <c:spPr>
              <a:solidFill>
                <a:srgbClr val="FFC00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5-9CB9-4888-9E56-B423D87AA2CB}"/>
              </c:ext>
            </c:extLst>
          </c:dPt>
          <c:dPt>
            <c:idx val="3"/>
            <c:bubble3D val="0"/>
            <c:spPr>
              <a:solidFill>
                <a:schemeClr val="tx1"/>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7-9CB9-4888-9E56-B423D87AA2CB}"/>
              </c:ext>
            </c:extLst>
          </c:dPt>
          <c:dPt>
            <c:idx val="4"/>
            <c:bubble3D val="0"/>
            <c:spPr>
              <a:solidFill>
                <a:schemeClr val="bg1">
                  <a:lumMod val="65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9-9CB9-4888-9E56-B423D87AA2CB}"/>
              </c:ext>
            </c:extLst>
          </c:dPt>
          <c:dPt>
            <c:idx val="5"/>
            <c:bubble3D val="0"/>
            <c:spPr>
              <a:solidFill>
                <a:srgbClr val="7030A0"/>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B-9CB9-4888-9E56-B423D87AA2CB}"/>
              </c:ext>
            </c:extLst>
          </c:dPt>
          <c:dPt>
            <c:idx val="6"/>
            <c:bubble3D val="0"/>
            <c:spPr>
              <a:solidFill>
                <a:schemeClr val="bg2">
                  <a:lumMod val="50000"/>
                </a:schemeClr>
              </a:solidFill>
              <a:ln w="9525">
                <a:noFill/>
              </a:ln>
              <a:effectLst>
                <a:outerShdw blurRad="254000" sx="102000" sy="102000" rotWithShape="0">
                  <a:schemeClr val="accent1">
                    <a:alpha val="20000"/>
                  </a:schemeClr>
                </a:outerShdw>
              </a:effectLst>
            </c:spPr>
            <c:extLst>
              <c:ext xmlns:c16="http://schemas.microsoft.com/office/drawing/2014/chart" uri="{C3380CC4-5D6E-409C-BE32-E72D297353CC}">
                <c16:uniqueId val="{0000000D-9CB9-4888-9E56-B423D87AA2CB}"/>
              </c:ext>
            </c:extLst>
          </c:dPt>
          <c:dLbls>
            <c:dLbl>
              <c:idx val="0"/>
              <c:layout>
                <c:manualLayout>
                  <c:x val="0.12142162219034913"/>
                  <c:y val="-8.2823921803768727E-2"/>
                </c:manualLayout>
              </c:layout>
              <c:spPr>
                <a:solidFill>
                  <a:srgbClr val="0070C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9CB9-4888-9E56-B423D87AA2CB}"/>
                </c:ext>
              </c:extLst>
            </c:dLbl>
            <c:dLbl>
              <c:idx val="1"/>
              <c:spPr>
                <a:solidFill>
                  <a:srgbClr val="FF0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3-9CB9-4888-9E56-B423D87AA2CB}"/>
                </c:ext>
              </c:extLst>
            </c:dLbl>
            <c:dLbl>
              <c:idx val="2"/>
              <c:spPr>
                <a:solidFill>
                  <a:srgbClr val="FFC000"/>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5-9CB9-4888-9E56-B423D87AA2CB}"/>
                </c:ext>
              </c:extLst>
            </c:dLbl>
            <c:dLbl>
              <c:idx val="3"/>
              <c:layout>
                <c:manualLayout>
                  <c:x val="-0.17006150726504465"/>
                  <c:y val="-0.14299629872935532"/>
                </c:manualLayout>
              </c:layout>
              <c:spPr>
                <a:solidFill>
                  <a:sysClr val="windowText" lastClr="000000">
                    <a:lumMod val="85000"/>
                    <a:lumOff val="1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9CB9-4888-9E56-B423D87AA2CB}"/>
                </c:ext>
              </c:extLst>
            </c:dLbl>
            <c:dLbl>
              <c:idx val="4"/>
              <c:layout>
                <c:manualLayout>
                  <c:x val="2.7270164193971977E-2"/>
                  <c:y val="-9.8056943134021704E-2"/>
                </c:manualLayout>
              </c:layout>
              <c:spPr>
                <a:solidFill>
                  <a:sysClr val="window" lastClr="FFFFFF">
                    <a:lumMod val="85000"/>
                  </a:sysClr>
                </a:solidFill>
                <a:ln>
                  <a:solidFill>
                    <a:sysClr val="windowText" lastClr="000000">
                      <a:lumMod val="65000"/>
                      <a:lumOff val="35000"/>
                    </a:sysClr>
                  </a:solidFill>
                </a:ln>
                <a:effectLst/>
              </c:spPr>
              <c:txPr>
                <a:bodyPr wrap="square" lIns="38100" tIns="19050" rIns="38100" bIns="19050" anchor="b" anchorCtr="0">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9-9CB9-4888-9E56-B423D87AA2CB}"/>
                </c:ext>
              </c:extLst>
            </c:dLbl>
            <c:dLbl>
              <c:idx val="5"/>
              <c:spPr>
                <a:solidFill>
                  <a:srgbClr val="7030A0"/>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B-9CB9-4888-9E56-B423D87AA2CB}"/>
                </c:ext>
              </c:extLst>
            </c:dLbl>
            <c:dLbl>
              <c:idx val="6"/>
              <c:spPr>
                <a:solidFill>
                  <a:srgbClr val="EEECE1">
                    <a:lumMod val="50000"/>
                  </a:srgbClr>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9CB9-4888-9E56-B423D87AA2CB}"/>
                </c:ext>
              </c:extLst>
            </c:dLbl>
            <c:spPr>
              <a:solidFill>
                <a:sysClr val="window" lastClr="FFFFFF"/>
              </a:solidFill>
              <a:ln>
                <a:solidFill>
                  <a:sysClr val="windowText" lastClr="000000">
                    <a:lumMod val="65000"/>
                    <a:lumOff val="35000"/>
                  </a:sysClr>
                </a:solidFill>
              </a:ln>
              <a:effectLst/>
            </c:sp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multiLvlStrRef>
              <c:f>'Test Summary'!$B$74:$B$80</c:f>
            </c:multiLvlStrRef>
          </c:cat>
          <c:val>
            <c:numRef>
              <c:f>'Test Summary'!$D$121:$D$127</c:f>
            </c:numRef>
          </c:val>
          <c:extLst>
            <c:ext xmlns:c16="http://schemas.microsoft.com/office/drawing/2014/chart" uri="{C3380CC4-5D6E-409C-BE32-E72D297353CC}">
              <c16:uniqueId val="{0000000E-9CB9-4888-9E56-B423D87AA2CB}"/>
            </c:ext>
          </c:extLst>
        </c:ser>
        <c:dLbls>
          <c:dLblPos val="bestFit"/>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4.3031856336081815E-2"/>
          <c:y val="3.4049740033081921E-2"/>
          <c:w val="0.9106919430675201"/>
          <c:h val="0.20778865061239607"/>
        </c:manualLayout>
      </c:layout>
      <c:overlay val="0"/>
      <c:txPr>
        <a:bodyPr/>
        <a:lstStyle/>
        <a:p>
          <a:pPr rtl="0">
            <a:defRPr/>
          </a:pPr>
          <a:endParaRPr lang="en-US"/>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gradFill>
    <a:ln w="9525" cap="flat" cmpd="sng" algn="ctr">
      <a:solidFill>
        <a:schemeClr val="tx1">
          <a:lumMod val="95000"/>
          <a:lumOff val="5000"/>
        </a:schemeClr>
      </a:solidFill>
      <a:prstDash val="solid"/>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Defect Status Metrics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'Test Summary'!$C$215</c:f>
              <c:strCache>
                <c:ptCount val="1"/>
                <c:pt idx="0">
                  <c:v>Show Stopper</c:v>
                </c:pt>
              </c:strCache>
            </c:strRef>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'Test Summary'!$B$216:$B$222</c:f>
            </c:multiLvlStrRef>
          </c:cat>
          <c:val>
            <c:numRef>
              <c:f>'Test Summary'!$C$216:$C$222</c:f>
            </c:numRef>
          </c:val>
          <c:extLst>
            <c:ext xmlns:c16="http://schemas.microsoft.com/office/drawing/2014/chart" uri="{C3380CC4-5D6E-409C-BE32-E72D297353CC}">
              <c16:uniqueId val="{00000000-8A50-484A-A517-E80F8A6101C9}"/>
            </c:ext>
          </c:extLst>
        </c:ser>
        <c:ser>
          <c:idx val="1"/>
          <c:order val="1"/>
          <c:tx>
            <c:strRef>
              <c:f>'Test Summary'!$D$215</c:f>
              <c:strCache>
                <c:ptCount val="1"/>
                <c:pt idx="0">
                  <c:v>Major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'Test Summary'!$B$216:$B$222</c:f>
            </c:multiLvlStrRef>
          </c:cat>
          <c:val>
            <c:numRef>
              <c:f>'Test Summary'!$D$216:$D$222</c:f>
            </c:numRef>
          </c:val>
          <c:extLst>
            <c:ext xmlns:c16="http://schemas.microsoft.com/office/drawing/2014/chart" uri="{C3380CC4-5D6E-409C-BE32-E72D297353CC}">
              <c16:uniqueId val="{00000001-8A50-484A-A517-E80F8A6101C9}"/>
            </c:ext>
          </c:extLst>
        </c:ser>
        <c:ser>
          <c:idx val="2"/>
          <c:order val="2"/>
          <c:tx>
            <c:strRef>
              <c:f>'Test Summary'!$E$215</c:f>
              <c:strCache>
                <c:ptCount val="1"/>
                <c:pt idx="0">
                  <c:v>Minor</c:v>
                </c:pt>
              </c:strCache>
            </c:strRef>
          </c:tx>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'Test Summary'!$B$216:$B$222</c:f>
            </c:multiLvlStrRef>
          </c:cat>
          <c:val>
            <c:numRef>
              <c:f>'Test Summary'!$E$216:$E$222</c:f>
            </c:numRef>
          </c:val>
          <c:extLst>
            <c:ext xmlns:c16="http://schemas.microsoft.com/office/drawing/2014/chart" uri="{C3380CC4-5D6E-409C-BE32-E72D297353CC}">
              <c16:uniqueId val="{00000002-8A50-484A-A517-E80F8A6101C9}"/>
            </c:ext>
          </c:extLst>
        </c:ser>
        <c:ser>
          <c:idx val="3"/>
          <c:order val="3"/>
          <c:tx>
            <c:strRef>
              <c:f>'Test Summary'!$F$215</c:f>
              <c:strCache>
                <c:ptCount val="1"/>
                <c:pt idx="0">
                  <c:v>Low</c:v>
                </c:pt>
              </c:strCache>
            </c:strRef>
          </c:tx>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'Test Summary'!$B$216:$B$222</c:f>
            </c:multiLvlStrRef>
          </c:cat>
          <c:val>
            <c:numRef>
              <c:f>'Test Summary'!$F$216:$F$222</c:f>
            </c:numRef>
          </c:val>
          <c:extLst>
            <c:ext xmlns:c16="http://schemas.microsoft.com/office/drawing/2014/chart" uri="{C3380CC4-5D6E-409C-BE32-E72D297353CC}">
              <c16:uniqueId val="{00000003-8A50-484A-A517-E80F8A6101C9}"/>
            </c:ext>
          </c:extLst>
        </c:ser>
        <c:dLbls>
          <c:dLblPos val="ctr"/>
          <c:showLegendKey val="0"/>
          <c:showVal val="1"/>
          <c:showCatName val="0"/>
          <c:showSerName val="0"/>
          <c:showPercent val="0"/>
          <c:showBubbleSize val="0"/>
        </c:dLbls>
        <c:gapWidth val="150"/>
        <c:overlap val="100"/>
        <c:axId val="794296528"/>
        <c:axId val="1"/>
      </c:barChart>
      <c:catAx>
        <c:axId val="79429652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
        <c:crosses val="autoZero"/>
        <c:auto val="1"/>
        <c:lblAlgn val="ctr"/>
        <c:lblOffset val="100"/>
        <c:tickMarkSkip val="1"/>
        <c:noMultiLvlLbl val="0"/>
      </c:catAx>
      <c:valAx>
        <c:axId val="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4296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alignWithMargins="0"/>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iagrams/_rels/data3.xml.rels><?xml version="1.0" encoding="UTF-8" standalone="yes"?>
<Relationships xmlns="http://schemas.openxmlformats.org/package/2006/relationships"><Relationship Id="rId1" Type="http://schemas.openxmlformats.org/officeDocument/2006/relationships/image" Target="../media/image1.png"/></Relationships>
</file>

<file path=xl/diagrams/_rels/drawing3.xml.rels><?xml version="1.0" encoding="UTF-8" standalone="yes"?>
<Relationships xmlns="http://schemas.openxmlformats.org/package/2006/relationships"><Relationship Id="rId1" Type="http://schemas.openxmlformats.org/officeDocument/2006/relationships/image" Target="../media/image1.png"/></Relationships>
</file>

<file path=xl/diagrams/colors1.xml><?xml version="1.0" encoding="utf-8"?>
<dgm:colorsDef xmlns:dgm="http://schemas.openxmlformats.org/drawingml/2006/diagram" xmlns:a="http://schemas.openxmlformats.org/drawingml/2006/main" uniqueId="urn:microsoft.com/office/officeart/2005/8/colors/colorful5">
  <dgm:title val=""/>
  <dgm:desc val=""/>
  <dgm:catLst>
    <dgm:cat type="colorful" pri="10500"/>
  </dgm:catLst>
  <dgm:styleLbl name="node0">
    <dgm:fillClrLst meth="repeat">
      <a:schemeClr val="accent4"/>
    </dgm:fillClrLst>
    <dgm:linClrLst meth="repeat">
      <a:schemeClr val="lt1"/>
    </dgm:linClrLst>
    <dgm:effectClrLst/>
    <dgm:txLinClrLst/>
    <dgm:txFillClrLst/>
    <dgm:txEffectClrLst/>
  </dgm:styleLbl>
  <dgm:styleLbl name="node1">
    <dgm:fillClrLst>
      <a:schemeClr val="accent5"/>
      <a:schemeClr val="accent6"/>
    </dgm:fillClrLst>
    <dgm:linClrLst meth="repeat">
      <a:schemeClr val="lt1"/>
    </dgm:linClrLst>
    <dgm:effectClrLst/>
    <dgm:txLinClrLst/>
    <dgm:txFillClrLst/>
    <dgm:txEffectClrLst/>
  </dgm:styleLbl>
  <dgm:styleLbl name="alignNode1">
    <dgm:fillClrLst>
      <a:schemeClr val="accent5"/>
      <a:schemeClr val="accent6"/>
    </dgm:fillClrLst>
    <dgm:linClrLst>
      <a:schemeClr val="accent5"/>
      <a:schemeClr val="accent6"/>
    </dgm:linClrLst>
    <dgm:effectClrLst/>
    <dgm:txLinClrLst/>
    <dgm:txFillClrLst/>
    <dgm:txEffectClrLst/>
  </dgm:styleLbl>
  <dgm:styleLbl name="lnNode1">
    <dgm:fillClrLst>
      <a:schemeClr val="accent5"/>
      <a:schemeClr val="accent6"/>
    </dgm:fillClrLst>
    <dgm:linClrLst meth="repeat">
      <a:schemeClr val="lt1"/>
    </dgm:linClrLst>
    <dgm:effectClrLst/>
    <dgm:txLinClrLst/>
    <dgm:txFillClrLst/>
    <dgm:txEffectClrLst/>
  </dgm:styleLbl>
  <dgm:styleLbl name="vennNode1">
    <dgm:fillClrLst>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6"/>
    </dgm:fillClrLst>
    <dgm:linClrLst meth="repeat">
      <a:schemeClr val="lt1"/>
    </dgm:linClrLst>
    <dgm:effectClrLst/>
    <dgm:txLinClrLst/>
    <dgm:txFillClrLst/>
    <dgm:txEffectClrLst/>
  </dgm:styleLbl>
  <dgm:styleLbl name="node3">
    <dgm:fillClrLst>
      <a:schemeClr val="accent1"/>
    </dgm:fillClrLst>
    <dgm:linClrLst meth="repeat">
      <a:schemeClr val="lt1"/>
    </dgm:linClrLst>
    <dgm:effectClrLst/>
    <dgm:txLinClrLst/>
    <dgm:txFillClrLst/>
    <dgm:txEffectClrLst/>
  </dgm:styleLbl>
  <dgm:styleLbl name="node4">
    <dgm:fillClrLst>
      <a:schemeClr val="accent2"/>
    </dgm:fillClrLst>
    <dgm:linClrLst meth="repeat">
      <a:schemeClr val="lt1"/>
    </dgm:linClrLst>
    <dgm:effectClrLst/>
    <dgm:txLinClrLst/>
    <dgm:txFillClrLst/>
    <dgm:txEffectClrLst/>
  </dgm:styleLbl>
  <dgm:styleLbl name="fgImgPlace1">
    <dgm:fillClrLst>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chemeClr val="accent6"/>
    </dgm:fillClrLst>
    <dgm:linClrLst meth="repeat">
      <a:schemeClr val="lt1"/>
    </dgm:linClrLst>
    <dgm:effectClrLst/>
    <dgm:txLinClrLst/>
    <dgm:txFillClrLst/>
    <dgm:txEffectClrLst/>
  </dgm:styleLbl>
  <dgm:styleLbl name="fgSibTrans2D1">
    <dgm:fillClrLst>
      <a:schemeClr val="accent5"/>
      <a:schemeClr val="accent6"/>
    </dgm:fillClrLst>
    <dgm:linClrLst meth="repeat">
      <a:schemeClr val="lt1"/>
    </dgm:linClrLst>
    <dgm:effectClrLst/>
    <dgm:txLinClrLst/>
    <dgm:txFillClrLst meth="repeat">
      <a:schemeClr val="lt1"/>
    </dgm:txFillClrLst>
    <dgm:txEffectClrLst/>
  </dgm:styleLbl>
  <dgm:styleLbl name="bgSibTrans2D1">
    <dgm:fillClrLst>
      <a:schemeClr val="accent5"/>
      <a:schemeClr val="accent6"/>
    </dgm:fillClrLst>
    <dgm:linClrLst meth="repeat">
      <a:schemeClr val="lt1"/>
    </dgm:linClrLst>
    <dgm:effectClrLst/>
    <dgm:txLinClrLst/>
    <dgm:txFillClrLst meth="repeat">
      <a:schemeClr val="lt1"/>
    </dgm:txFillClrLst>
    <dgm:txEffectClrLst/>
  </dgm:styleLbl>
  <dgm:styleLbl name="sibTrans1D1">
    <dgm:fillClrLst/>
    <dgm:linClrLst>
      <a:schemeClr val="accent5"/>
      <a:schemeClr val="accent6"/>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a:shade val="80000"/>
      </a:schemeClr>
    </dgm:linClrLst>
    <dgm:effectClrLst/>
    <dgm:txLinClrLst/>
    <dgm:txFillClrLst/>
    <dgm:txEffectClrLst/>
  </dgm:styleLbl>
  <dgm:styleLbl name="asst1">
    <dgm:fillClrLst meth="repeat">
      <a:schemeClr val="accent6"/>
    </dgm:fillClrLst>
    <dgm:linClrLst meth="repeat">
      <a:schemeClr val="lt1">
        <a:shade val="80000"/>
      </a:schemeClr>
    </dgm:linClrLst>
    <dgm:effectClrLst/>
    <dgm:txLinClrLst/>
    <dgm:txFillClrLst/>
    <dgm:txEffectClrLst/>
  </dgm:styleLbl>
  <dgm:styleLbl name="asst2">
    <dgm:fillClrLst>
      <a:schemeClr val="accent1"/>
    </dgm:fillClrLst>
    <dgm:linClrLst meth="repeat">
      <a:schemeClr val="lt1"/>
    </dgm:linClrLst>
    <dgm:effectClrLst/>
    <dgm:txLinClrLst/>
    <dgm:txFillClrLst/>
    <dgm:txEffectClrLst/>
  </dgm:styleLbl>
  <dgm:styleLbl name="asst3">
    <dgm:fillClrLst>
      <a:schemeClr val="accent2"/>
    </dgm:fillClrLst>
    <dgm:linClrLst meth="repeat">
      <a:schemeClr val="lt1"/>
    </dgm:linClrLst>
    <dgm:effectClrLst/>
    <dgm:txLinClrLst/>
    <dgm:txFillClrLst/>
    <dgm:txEffectClrLst/>
  </dgm:styleLbl>
  <dgm:styleLbl name="asst4">
    <dgm:fillClrLst>
      <a:schemeClr val="accent3"/>
    </dgm:fillClrLst>
    <dgm:linClrLst meth="repeat">
      <a:schemeClr val="lt1"/>
    </dgm:linClrLst>
    <dgm:effectClrLst/>
    <dgm:txLinClrLst/>
    <dgm:txFillClrLst/>
    <dgm:txEffectClrLst/>
  </dgm:styleLbl>
  <dgm:styleLbl name="parChTrans2D1">
    <dgm:fillClrLst meth="repeat">
      <a:schemeClr val="accent5"/>
    </dgm:fillClrLst>
    <dgm:linClrLst meth="repeat">
      <a:schemeClr val="lt1"/>
    </dgm:linClrLst>
    <dgm:effectClrLst/>
    <dgm:txLinClrLst/>
    <dgm:txFillClrLst meth="repeat">
      <a:schemeClr val="lt1"/>
    </dgm:txFillClrLst>
    <dgm:txEffectClrLst/>
  </dgm:styleLbl>
  <dgm:styleLbl name="parChTrans2D2">
    <dgm:fillClrLst meth="repeat">
      <a:schemeClr val="accent6"/>
    </dgm:fillClrLst>
    <dgm:linClrLst meth="repeat">
      <a:schemeClr val="lt1"/>
    </dgm:linClrLst>
    <dgm:effectClrLst/>
    <dgm:txLinClrLst/>
    <dgm:txFillClrLst/>
    <dgm:txEffectClrLst/>
  </dgm:styleLbl>
  <dgm:styleLbl name="parChTrans2D3">
    <dgm:fillClrLst meth="repeat">
      <a:schemeClr val="accent6"/>
    </dgm:fillClrLst>
    <dgm:linClrLst meth="repeat">
      <a:schemeClr val="lt1"/>
    </dgm:linClrLst>
    <dgm:effectClrLst/>
    <dgm:txLinClrLst/>
    <dgm:txFillClrLst/>
    <dgm:txEffectClrLst/>
  </dgm:styleLbl>
  <dgm:styleLbl name="parChTrans2D4">
    <dgm:fillClrLst meth="repeat">
      <a:schemeClr val="accent1"/>
    </dgm:fillClrLst>
    <dgm:linClrLst meth="repeat">
      <a:schemeClr val="lt1"/>
    </dgm:linClrLst>
    <dgm:effectClrLst/>
    <dgm:txLinClrLst/>
    <dgm:txFillClrLst meth="repeat">
      <a:schemeClr val="lt1"/>
    </dgm:txFillClrLst>
    <dgm:txEffectClrLst/>
  </dgm:styleLbl>
  <dgm:styleLbl name="parChTrans1D1">
    <dgm:fillClrLst meth="repeat">
      <a:schemeClr val="accent5"/>
    </dgm:fillClrLst>
    <dgm:linClrLst meth="repeat">
      <a:schemeClr val="accent5"/>
    </dgm:linClrLst>
    <dgm:effectClrLst/>
    <dgm:txLinClrLst/>
    <dgm:txFillClrLst meth="repeat">
      <a:schemeClr val="tx1"/>
    </dgm:txFillClrLst>
    <dgm:txEffectClrLst/>
  </dgm:styleLbl>
  <dgm:styleLbl name="parChTrans1D2">
    <dgm:fillClrLst meth="repeat">
      <a:schemeClr val="accent6">
        <a:tint val="90000"/>
      </a:schemeClr>
    </dgm:fillClrLst>
    <dgm:linClrLst meth="repeat">
      <a:schemeClr val="accent6"/>
    </dgm:linClrLst>
    <dgm:effectClrLst/>
    <dgm:txLinClrLst/>
    <dgm:txFillClrLst meth="repeat">
      <a:schemeClr val="tx1"/>
    </dgm:txFillClrLst>
    <dgm:txEffectClrLst/>
  </dgm:styleLbl>
  <dgm:styleLbl name="parChTrans1D3">
    <dgm:fillClrLst meth="repeat">
      <a:schemeClr val="accent6">
        <a:tint val="70000"/>
      </a:schemeClr>
    </dgm:fillClrLst>
    <dgm:linClrLst meth="repeat">
      <a:schemeClr val="accent1"/>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2"/>
    </dgm:linClrLst>
    <dgm:effectClrLst/>
    <dgm:txLinClrLst/>
    <dgm:txFillClrLst meth="repeat">
      <a:schemeClr val="tx1"/>
    </dgm:txFillClrLst>
    <dgm:txEffectClrLst/>
  </dgm:styleLbl>
  <dgm:styleLbl name="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solidFgAcc1">
    <dgm:fillClrLst meth="repeat">
      <a:schemeClr val="lt1"/>
    </dgm:fillClrLst>
    <dgm:linClrLst>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a:schemeClr val="accent5"/>
      <a:schemeClr val="accent6"/>
    </dgm:linClrLst>
    <dgm:effectClrLst/>
    <dgm:txLinClrLst/>
    <dgm:txFillClrLst meth="repeat">
      <a:schemeClr val="dk1"/>
    </dgm:txFillClrLst>
    <dgm:txEffectClrLst/>
  </dgm:styleLbl>
  <dgm:styleLbl name="solidBgAcc1">
    <dgm:fillClrLst meth="repeat">
      <a:schemeClr val="lt1"/>
    </dgm:fillClrLst>
    <dgm:linClrLst>
      <a:schemeClr val="accent5"/>
      <a:schemeClr val="accent6"/>
    </dgm:linClrLst>
    <dgm:effectClrLst/>
    <dgm:txLinClrLst/>
    <dgm:txFillClrLst meth="repeat">
      <a:schemeClr val="dk1"/>
    </dgm:txFillClrLst>
    <dgm:txEffectClrLst/>
  </dgm:styleLbl>
  <dgm:styleLbl name="fgAccFollowNode1">
    <dgm:fillClrLst>
      <a:schemeClr val="accent5">
        <a:tint val="40000"/>
        <a:alpha val="90000"/>
      </a:schemeClr>
      <a:schemeClr val="accent6">
        <a:tint val="40000"/>
        <a:alpha val="90000"/>
      </a:schemeClr>
    </dgm:fillClrLst>
    <dgm:linClrLst>
      <a:schemeClr val="accent5">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4"/>
    </dgm:linClrLst>
    <dgm:effectClrLst/>
    <dgm:txLinClrLst/>
    <dgm:txFillClrLst meth="repeat">
      <a:schemeClr val="dk1"/>
    </dgm:txFillClrLst>
    <dgm:txEffectClrLst/>
  </dgm:styleLbl>
  <dgm:styleLbl name="fgAcc2">
    <dgm:fillClrLst meth="repeat">
      <a:schemeClr val="lt1">
        <a:alpha val="90000"/>
      </a:schemeClr>
    </dgm:fillClrLst>
    <dgm:linClrLst>
      <a:schemeClr val="accent6"/>
    </dgm:linClrLst>
    <dgm:effectClrLst/>
    <dgm:txLinClrLst/>
    <dgm:txFillClrLst meth="repeat">
      <a:schemeClr val="dk1"/>
    </dgm:txFillClrLst>
    <dgm:txEffectClrLst/>
  </dgm:styleLbl>
  <dgm:styleLbl name="fgAcc3">
    <dgm:fillClrLst meth="repeat">
      <a:schemeClr val="lt1">
        <a:alpha val="90000"/>
      </a:schemeClr>
    </dgm:fillClrLst>
    <dgm:linClrLst>
      <a:schemeClr val="accent1"/>
    </dgm:linClrLst>
    <dgm:effectClrLst/>
    <dgm:txLinClrLst/>
    <dgm:txFillClrLst meth="repeat">
      <a:schemeClr val="dk1"/>
    </dgm:txFillClrLst>
    <dgm:txEffectClrLst/>
  </dgm:styleLbl>
  <dgm:styleLbl name="fgAcc4">
    <dgm:fillClrLst meth="repeat">
      <a:schemeClr val="lt1">
        <a:alpha val="90000"/>
      </a:schemeClr>
    </dgm:fillClrLst>
    <dgm:linClrLst>
      <a:schemeClr val="accent2"/>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5">
  <dgm:title val=""/>
  <dgm:desc val=""/>
  <dgm:catLst>
    <dgm:cat type="colorful" pri="10500"/>
  </dgm:catLst>
  <dgm:styleLbl name="node0">
    <dgm:fillClrLst meth="repeat">
      <a:schemeClr val="accent4"/>
    </dgm:fillClrLst>
    <dgm:linClrLst meth="repeat">
      <a:schemeClr val="lt1"/>
    </dgm:linClrLst>
    <dgm:effectClrLst/>
    <dgm:txLinClrLst/>
    <dgm:txFillClrLst/>
    <dgm:txEffectClrLst/>
  </dgm:styleLbl>
  <dgm:styleLbl name="node1">
    <dgm:fillClrLst>
      <a:schemeClr val="accent5"/>
      <a:schemeClr val="accent6"/>
    </dgm:fillClrLst>
    <dgm:linClrLst meth="repeat">
      <a:schemeClr val="lt1"/>
    </dgm:linClrLst>
    <dgm:effectClrLst/>
    <dgm:txLinClrLst/>
    <dgm:txFillClrLst/>
    <dgm:txEffectClrLst/>
  </dgm:styleLbl>
  <dgm:styleLbl name="alignNode1">
    <dgm:fillClrLst>
      <a:schemeClr val="accent5"/>
      <a:schemeClr val="accent6"/>
    </dgm:fillClrLst>
    <dgm:linClrLst>
      <a:schemeClr val="accent5"/>
      <a:schemeClr val="accent6"/>
    </dgm:linClrLst>
    <dgm:effectClrLst/>
    <dgm:txLinClrLst/>
    <dgm:txFillClrLst/>
    <dgm:txEffectClrLst/>
  </dgm:styleLbl>
  <dgm:styleLbl name="lnNode1">
    <dgm:fillClrLst>
      <a:schemeClr val="accent5"/>
      <a:schemeClr val="accent6"/>
    </dgm:fillClrLst>
    <dgm:linClrLst meth="repeat">
      <a:schemeClr val="lt1"/>
    </dgm:linClrLst>
    <dgm:effectClrLst/>
    <dgm:txLinClrLst/>
    <dgm:txFillClrLst/>
    <dgm:txEffectClrLst/>
  </dgm:styleLbl>
  <dgm:styleLbl name="vennNode1">
    <dgm:fillClrLst>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6"/>
    </dgm:fillClrLst>
    <dgm:linClrLst meth="repeat">
      <a:schemeClr val="lt1"/>
    </dgm:linClrLst>
    <dgm:effectClrLst/>
    <dgm:txLinClrLst/>
    <dgm:txFillClrLst/>
    <dgm:txEffectClrLst/>
  </dgm:styleLbl>
  <dgm:styleLbl name="node3">
    <dgm:fillClrLst>
      <a:schemeClr val="accent1"/>
    </dgm:fillClrLst>
    <dgm:linClrLst meth="repeat">
      <a:schemeClr val="lt1"/>
    </dgm:linClrLst>
    <dgm:effectClrLst/>
    <dgm:txLinClrLst/>
    <dgm:txFillClrLst/>
    <dgm:txEffectClrLst/>
  </dgm:styleLbl>
  <dgm:styleLbl name="node4">
    <dgm:fillClrLst>
      <a:schemeClr val="accent2"/>
    </dgm:fillClrLst>
    <dgm:linClrLst meth="repeat">
      <a:schemeClr val="lt1"/>
    </dgm:linClrLst>
    <dgm:effectClrLst/>
    <dgm:txLinClrLst/>
    <dgm:txFillClrLst/>
    <dgm:txEffectClrLst/>
  </dgm:styleLbl>
  <dgm:styleLbl name="fgImgPlace1">
    <dgm:fillClrLst>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chemeClr val="accent6"/>
    </dgm:fillClrLst>
    <dgm:linClrLst meth="repeat">
      <a:schemeClr val="lt1"/>
    </dgm:linClrLst>
    <dgm:effectClrLst/>
    <dgm:txLinClrLst/>
    <dgm:txFillClrLst/>
    <dgm:txEffectClrLst/>
  </dgm:styleLbl>
  <dgm:styleLbl name="fgSibTrans2D1">
    <dgm:fillClrLst>
      <a:schemeClr val="accent5"/>
      <a:schemeClr val="accent6"/>
    </dgm:fillClrLst>
    <dgm:linClrLst meth="repeat">
      <a:schemeClr val="lt1"/>
    </dgm:linClrLst>
    <dgm:effectClrLst/>
    <dgm:txLinClrLst/>
    <dgm:txFillClrLst meth="repeat">
      <a:schemeClr val="lt1"/>
    </dgm:txFillClrLst>
    <dgm:txEffectClrLst/>
  </dgm:styleLbl>
  <dgm:styleLbl name="bgSibTrans2D1">
    <dgm:fillClrLst>
      <a:schemeClr val="accent5"/>
      <a:schemeClr val="accent6"/>
    </dgm:fillClrLst>
    <dgm:linClrLst meth="repeat">
      <a:schemeClr val="lt1"/>
    </dgm:linClrLst>
    <dgm:effectClrLst/>
    <dgm:txLinClrLst/>
    <dgm:txFillClrLst meth="repeat">
      <a:schemeClr val="lt1"/>
    </dgm:txFillClrLst>
    <dgm:txEffectClrLst/>
  </dgm:styleLbl>
  <dgm:styleLbl name="sibTrans1D1">
    <dgm:fillClrLst/>
    <dgm:linClrLst>
      <a:schemeClr val="accent5"/>
      <a:schemeClr val="accent6"/>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a:shade val="80000"/>
      </a:schemeClr>
    </dgm:linClrLst>
    <dgm:effectClrLst/>
    <dgm:txLinClrLst/>
    <dgm:txFillClrLst/>
    <dgm:txEffectClrLst/>
  </dgm:styleLbl>
  <dgm:styleLbl name="asst1">
    <dgm:fillClrLst meth="repeat">
      <a:schemeClr val="accent6"/>
    </dgm:fillClrLst>
    <dgm:linClrLst meth="repeat">
      <a:schemeClr val="lt1">
        <a:shade val="80000"/>
      </a:schemeClr>
    </dgm:linClrLst>
    <dgm:effectClrLst/>
    <dgm:txLinClrLst/>
    <dgm:txFillClrLst/>
    <dgm:txEffectClrLst/>
  </dgm:styleLbl>
  <dgm:styleLbl name="asst2">
    <dgm:fillClrLst>
      <a:schemeClr val="accent1"/>
    </dgm:fillClrLst>
    <dgm:linClrLst meth="repeat">
      <a:schemeClr val="lt1"/>
    </dgm:linClrLst>
    <dgm:effectClrLst/>
    <dgm:txLinClrLst/>
    <dgm:txFillClrLst/>
    <dgm:txEffectClrLst/>
  </dgm:styleLbl>
  <dgm:styleLbl name="asst3">
    <dgm:fillClrLst>
      <a:schemeClr val="accent2"/>
    </dgm:fillClrLst>
    <dgm:linClrLst meth="repeat">
      <a:schemeClr val="lt1"/>
    </dgm:linClrLst>
    <dgm:effectClrLst/>
    <dgm:txLinClrLst/>
    <dgm:txFillClrLst/>
    <dgm:txEffectClrLst/>
  </dgm:styleLbl>
  <dgm:styleLbl name="asst4">
    <dgm:fillClrLst>
      <a:schemeClr val="accent3"/>
    </dgm:fillClrLst>
    <dgm:linClrLst meth="repeat">
      <a:schemeClr val="lt1"/>
    </dgm:linClrLst>
    <dgm:effectClrLst/>
    <dgm:txLinClrLst/>
    <dgm:txFillClrLst/>
    <dgm:txEffectClrLst/>
  </dgm:styleLbl>
  <dgm:styleLbl name="parChTrans2D1">
    <dgm:fillClrLst meth="repeat">
      <a:schemeClr val="accent5"/>
    </dgm:fillClrLst>
    <dgm:linClrLst meth="repeat">
      <a:schemeClr val="lt1"/>
    </dgm:linClrLst>
    <dgm:effectClrLst/>
    <dgm:txLinClrLst/>
    <dgm:txFillClrLst meth="repeat">
      <a:schemeClr val="lt1"/>
    </dgm:txFillClrLst>
    <dgm:txEffectClrLst/>
  </dgm:styleLbl>
  <dgm:styleLbl name="parChTrans2D2">
    <dgm:fillClrLst meth="repeat">
      <a:schemeClr val="accent6"/>
    </dgm:fillClrLst>
    <dgm:linClrLst meth="repeat">
      <a:schemeClr val="lt1"/>
    </dgm:linClrLst>
    <dgm:effectClrLst/>
    <dgm:txLinClrLst/>
    <dgm:txFillClrLst/>
    <dgm:txEffectClrLst/>
  </dgm:styleLbl>
  <dgm:styleLbl name="parChTrans2D3">
    <dgm:fillClrLst meth="repeat">
      <a:schemeClr val="accent6"/>
    </dgm:fillClrLst>
    <dgm:linClrLst meth="repeat">
      <a:schemeClr val="lt1"/>
    </dgm:linClrLst>
    <dgm:effectClrLst/>
    <dgm:txLinClrLst/>
    <dgm:txFillClrLst/>
    <dgm:txEffectClrLst/>
  </dgm:styleLbl>
  <dgm:styleLbl name="parChTrans2D4">
    <dgm:fillClrLst meth="repeat">
      <a:schemeClr val="accent1"/>
    </dgm:fillClrLst>
    <dgm:linClrLst meth="repeat">
      <a:schemeClr val="lt1"/>
    </dgm:linClrLst>
    <dgm:effectClrLst/>
    <dgm:txLinClrLst/>
    <dgm:txFillClrLst meth="repeat">
      <a:schemeClr val="lt1"/>
    </dgm:txFillClrLst>
    <dgm:txEffectClrLst/>
  </dgm:styleLbl>
  <dgm:styleLbl name="parChTrans1D1">
    <dgm:fillClrLst meth="repeat">
      <a:schemeClr val="accent5"/>
    </dgm:fillClrLst>
    <dgm:linClrLst meth="repeat">
      <a:schemeClr val="accent5"/>
    </dgm:linClrLst>
    <dgm:effectClrLst/>
    <dgm:txLinClrLst/>
    <dgm:txFillClrLst meth="repeat">
      <a:schemeClr val="tx1"/>
    </dgm:txFillClrLst>
    <dgm:txEffectClrLst/>
  </dgm:styleLbl>
  <dgm:styleLbl name="parChTrans1D2">
    <dgm:fillClrLst meth="repeat">
      <a:schemeClr val="accent6">
        <a:tint val="90000"/>
      </a:schemeClr>
    </dgm:fillClrLst>
    <dgm:linClrLst meth="repeat">
      <a:schemeClr val="accent6"/>
    </dgm:linClrLst>
    <dgm:effectClrLst/>
    <dgm:txLinClrLst/>
    <dgm:txFillClrLst meth="repeat">
      <a:schemeClr val="tx1"/>
    </dgm:txFillClrLst>
    <dgm:txEffectClrLst/>
  </dgm:styleLbl>
  <dgm:styleLbl name="parChTrans1D3">
    <dgm:fillClrLst meth="repeat">
      <a:schemeClr val="accent6">
        <a:tint val="70000"/>
      </a:schemeClr>
    </dgm:fillClrLst>
    <dgm:linClrLst meth="repeat">
      <a:schemeClr val="accent1"/>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2"/>
    </dgm:linClrLst>
    <dgm:effectClrLst/>
    <dgm:txLinClrLst/>
    <dgm:txFillClrLst meth="repeat">
      <a:schemeClr val="tx1"/>
    </dgm:txFillClrLst>
    <dgm:txEffectClrLst/>
  </dgm:styleLbl>
  <dgm:styleLbl name="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solidFgAcc1">
    <dgm:fillClrLst meth="repeat">
      <a:schemeClr val="lt1"/>
    </dgm:fillClrLst>
    <dgm:linClrLst>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a:schemeClr val="accent5"/>
      <a:schemeClr val="accent6"/>
    </dgm:linClrLst>
    <dgm:effectClrLst/>
    <dgm:txLinClrLst/>
    <dgm:txFillClrLst meth="repeat">
      <a:schemeClr val="dk1"/>
    </dgm:txFillClrLst>
    <dgm:txEffectClrLst/>
  </dgm:styleLbl>
  <dgm:styleLbl name="solidBgAcc1">
    <dgm:fillClrLst meth="repeat">
      <a:schemeClr val="lt1"/>
    </dgm:fillClrLst>
    <dgm:linClrLst>
      <a:schemeClr val="accent5"/>
      <a:schemeClr val="accent6"/>
    </dgm:linClrLst>
    <dgm:effectClrLst/>
    <dgm:txLinClrLst/>
    <dgm:txFillClrLst meth="repeat">
      <a:schemeClr val="dk1"/>
    </dgm:txFillClrLst>
    <dgm:txEffectClrLst/>
  </dgm:styleLbl>
  <dgm:styleLbl name="fgAccFollowNode1">
    <dgm:fillClrLst>
      <a:schemeClr val="accent5">
        <a:tint val="40000"/>
        <a:alpha val="90000"/>
      </a:schemeClr>
      <a:schemeClr val="accent6">
        <a:tint val="40000"/>
        <a:alpha val="90000"/>
      </a:schemeClr>
    </dgm:fillClrLst>
    <dgm:linClrLst>
      <a:schemeClr val="accent5">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4"/>
    </dgm:linClrLst>
    <dgm:effectClrLst/>
    <dgm:txLinClrLst/>
    <dgm:txFillClrLst meth="repeat">
      <a:schemeClr val="dk1"/>
    </dgm:txFillClrLst>
    <dgm:txEffectClrLst/>
  </dgm:styleLbl>
  <dgm:styleLbl name="fgAcc2">
    <dgm:fillClrLst meth="repeat">
      <a:schemeClr val="lt1">
        <a:alpha val="90000"/>
      </a:schemeClr>
    </dgm:fillClrLst>
    <dgm:linClrLst>
      <a:schemeClr val="accent6"/>
    </dgm:linClrLst>
    <dgm:effectClrLst/>
    <dgm:txLinClrLst/>
    <dgm:txFillClrLst meth="repeat">
      <a:schemeClr val="dk1"/>
    </dgm:txFillClrLst>
    <dgm:txEffectClrLst/>
  </dgm:styleLbl>
  <dgm:styleLbl name="fgAcc3">
    <dgm:fillClrLst meth="repeat">
      <a:schemeClr val="lt1">
        <a:alpha val="90000"/>
      </a:schemeClr>
    </dgm:fillClrLst>
    <dgm:linClrLst>
      <a:schemeClr val="accent1"/>
    </dgm:linClrLst>
    <dgm:effectClrLst/>
    <dgm:txLinClrLst/>
    <dgm:txFillClrLst meth="repeat">
      <a:schemeClr val="dk1"/>
    </dgm:txFillClrLst>
    <dgm:txEffectClrLst/>
  </dgm:styleLbl>
  <dgm:styleLbl name="fgAcc4">
    <dgm:fillClrLst meth="repeat">
      <a:schemeClr val="lt1">
        <a:alpha val="90000"/>
      </a:schemeClr>
    </dgm:fillClrLst>
    <dgm:linClrLst>
      <a:schemeClr val="accent2"/>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5">
  <dgm:title val=""/>
  <dgm:desc val=""/>
  <dgm:catLst>
    <dgm:cat type="colorful" pri="10500"/>
  </dgm:catLst>
  <dgm:styleLbl name="node0">
    <dgm:fillClrLst meth="repeat">
      <a:schemeClr val="accent4"/>
    </dgm:fillClrLst>
    <dgm:linClrLst meth="repeat">
      <a:schemeClr val="lt1"/>
    </dgm:linClrLst>
    <dgm:effectClrLst/>
    <dgm:txLinClrLst/>
    <dgm:txFillClrLst/>
    <dgm:txEffectClrLst/>
  </dgm:styleLbl>
  <dgm:styleLbl name="node1">
    <dgm:fillClrLst>
      <a:schemeClr val="accent5"/>
      <a:schemeClr val="accent6"/>
    </dgm:fillClrLst>
    <dgm:linClrLst meth="repeat">
      <a:schemeClr val="lt1"/>
    </dgm:linClrLst>
    <dgm:effectClrLst/>
    <dgm:txLinClrLst/>
    <dgm:txFillClrLst/>
    <dgm:txEffectClrLst/>
  </dgm:styleLbl>
  <dgm:styleLbl name="alignNode1">
    <dgm:fillClrLst>
      <a:schemeClr val="accent5"/>
      <a:schemeClr val="accent6"/>
    </dgm:fillClrLst>
    <dgm:linClrLst>
      <a:schemeClr val="accent5"/>
      <a:schemeClr val="accent6"/>
    </dgm:linClrLst>
    <dgm:effectClrLst/>
    <dgm:txLinClrLst/>
    <dgm:txFillClrLst/>
    <dgm:txEffectClrLst/>
  </dgm:styleLbl>
  <dgm:styleLbl name="lnNode1">
    <dgm:fillClrLst>
      <a:schemeClr val="accent5"/>
      <a:schemeClr val="accent6"/>
    </dgm:fillClrLst>
    <dgm:linClrLst meth="repeat">
      <a:schemeClr val="lt1"/>
    </dgm:linClrLst>
    <dgm:effectClrLst/>
    <dgm:txLinClrLst/>
    <dgm:txFillClrLst/>
    <dgm:txEffectClrLst/>
  </dgm:styleLbl>
  <dgm:styleLbl name="vennNode1">
    <dgm:fillClrLst>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6"/>
    </dgm:fillClrLst>
    <dgm:linClrLst meth="repeat">
      <a:schemeClr val="lt1"/>
    </dgm:linClrLst>
    <dgm:effectClrLst/>
    <dgm:txLinClrLst/>
    <dgm:txFillClrLst/>
    <dgm:txEffectClrLst/>
  </dgm:styleLbl>
  <dgm:styleLbl name="node3">
    <dgm:fillClrLst>
      <a:schemeClr val="accent1"/>
    </dgm:fillClrLst>
    <dgm:linClrLst meth="repeat">
      <a:schemeClr val="lt1"/>
    </dgm:linClrLst>
    <dgm:effectClrLst/>
    <dgm:txLinClrLst/>
    <dgm:txFillClrLst/>
    <dgm:txEffectClrLst/>
  </dgm:styleLbl>
  <dgm:styleLbl name="node4">
    <dgm:fillClrLst>
      <a:schemeClr val="accent2"/>
    </dgm:fillClrLst>
    <dgm:linClrLst meth="repeat">
      <a:schemeClr val="lt1"/>
    </dgm:linClrLst>
    <dgm:effectClrLst/>
    <dgm:txLinClrLst/>
    <dgm:txFillClrLst/>
    <dgm:txEffectClrLst/>
  </dgm:styleLbl>
  <dgm:styleLbl name="fgImgPlace1">
    <dgm:fillClrLst>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chemeClr val="accent6"/>
    </dgm:fillClrLst>
    <dgm:linClrLst meth="repeat">
      <a:schemeClr val="lt1"/>
    </dgm:linClrLst>
    <dgm:effectClrLst/>
    <dgm:txLinClrLst/>
    <dgm:txFillClrLst/>
    <dgm:txEffectClrLst/>
  </dgm:styleLbl>
  <dgm:styleLbl name="fgSibTrans2D1">
    <dgm:fillClrLst>
      <a:schemeClr val="accent5"/>
      <a:schemeClr val="accent6"/>
    </dgm:fillClrLst>
    <dgm:linClrLst meth="repeat">
      <a:schemeClr val="lt1"/>
    </dgm:linClrLst>
    <dgm:effectClrLst/>
    <dgm:txLinClrLst/>
    <dgm:txFillClrLst meth="repeat">
      <a:schemeClr val="lt1"/>
    </dgm:txFillClrLst>
    <dgm:txEffectClrLst/>
  </dgm:styleLbl>
  <dgm:styleLbl name="bgSibTrans2D1">
    <dgm:fillClrLst>
      <a:schemeClr val="accent5"/>
      <a:schemeClr val="accent6"/>
    </dgm:fillClrLst>
    <dgm:linClrLst meth="repeat">
      <a:schemeClr val="lt1"/>
    </dgm:linClrLst>
    <dgm:effectClrLst/>
    <dgm:txLinClrLst/>
    <dgm:txFillClrLst meth="repeat">
      <a:schemeClr val="lt1"/>
    </dgm:txFillClrLst>
    <dgm:txEffectClrLst/>
  </dgm:styleLbl>
  <dgm:styleLbl name="sibTrans1D1">
    <dgm:fillClrLst/>
    <dgm:linClrLst>
      <a:schemeClr val="accent5"/>
      <a:schemeClr val="accent6"/>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a:shade val="80000"/>
      </a:schemeClr>
    </dgm:linClrLst>
    <dgm:effectClrLst/>
    <dgm:txLinClrLst/>
    <dgm:txFillClrLst/>
    <dgm:txEffectClrLst/>
  </dgm:styleLbl>
  <dgm:styleLbl name="asst1">
    <dgm:fillClrLst meth="repeat">
      <a:schemeClr val="accent6"/>
    </dgm:fillClrLst>
    <dgm:linClrLst meth="repeat">
      <a:schemeClr val="lt1">
        <a:shade val="80000"/>
      </a:schemeClr>
    </dgm:linClrLst>
    <dgm:effectClrLst/>
    <dgm:txLinClrLst/>
    <dgm:txFillClrLst/>
    <dgm:txEffectClrLst/>
  </dgm:styleLbl>
  <dgm:styleLbl name="asst2">
    <dgm:fillClrLst>
      <a:schemeClr val="accent1"/>
    </dgm:fillClrLst>
    <dgm:linClrLst meth="repeat">
      <a:schemeClr val="lt1"/>
    </dgm:linClrLst>
    <dgm:effectClrLst/>
    <dgm:txLinClrLst/>
    <dgm:txFillClrLst/>
    <dgm:txEffectClrLst/>
  </dgm:styleLbl>
  <dgm:styleLbl name="asst3">
    <dgm:fillClrLst>
      <a:schemeClr val="accent2"/>
    </dgm:fillClrLst>
    <dgm:linClrLst meth="repeat">
      <a:schemeClr val="lt1"/>
    </dgm:linClrLst>
    <dgm:effectClrLst/>
    <dgm:txLinClrLst/>
    <dgm:txFillClrLst/>
    <dgm:txEffectClrLst/>
  </dgm:styleLbl>
  <dgm:styleLbl name="asst4">
    <dgm:fillClrLst>
      <a:schemeClr val="accent3"/>
    </dgm:fillClrLst>
    <dgm:linClrLst meth="repeat">
      <a:schemeClr val="lt1"/>
    </dgm:linClrLst>
    <dgm:effectClrLst/>
    <dgm:txLinClrLst/>
    <dgm:txFillClrLst/>
    <dgm:txEffectClrLst/>
  </dgm:styleLbl>
  <dgm:styleLbl name="parChTrans2D1">
    <dgm:fillClrLst meth="repeat">
      <a:schemeClr val="accent5"/>
    </dgm:fillClrLst>
    <dgm:linClrLst meth="repeat">
      <a:schemeClr val="lt1"/>
    </dgm:linClrLst>
    <dgm:effectClrLst/>
    <dgm:txLinClrLst/>
    <dgm:txFillClrLst meth="repeat">
      <a:schemeClr val="lt1"/>
    </dgm:txFillClrLst>
    <dgm:txEffectClrLst/>
  </dgm:styleLbl>
  <dgm:styleLbl name="parChTrans2D2">
    <dgm:fillClrLst meth="repeat">
      <a:schemeClr val="accent6"/>
    </dgm:fillClrLst>
    <dgm:linClrLst meth="repeat">
      <a:schemeClr val="lt1"/>
    </dgm:linClrLst>
    <dgm:effectClrLst/>
    <dgm:txLinClrLst/>
    <dgm:txFillClrLst/>
    <dgm:txEffectClrLst/>
  </dgm:styleLbl>
  <dgm:styleLbl name="parChTrans2D3">
    <dgm:fillClrLst meth="repeat">
      <a:schemeClr val="accent6"/>
    </dgm:fillClrLst>
    <dgm:linClrLst meth="repeat">
      <a:schemeClr val="lt1"/>
    </dgm:linClrLst>
    <dgm:effectClrLst/>
    <dgm:txLinClrLst/>
    <dgm:txFillClrLst/>
    <dgm:txEffectClrLst/>
  </dgm:styleLbl>
  <dgm:styleLbl name="parChTrans2D4">
    <dgm:fillClrLst meth="repeat">
      <a:schemeClr val="accent1"/>
    </dgm:fillClrLst>
    <dgm:linClrLst meth="repeat">
      <a:schemeClr val="lt1"/>
    </dgm:linClrLst>
    <dgm:effectClrLst/>
    <dgm:txLinClrLst/>
    <dgm:txFillClrLst meth="repeat">
      <a:schemeClr val="lt1"/>
    </dgm:txFillClrLst>
    <dgm:txEffectClrLst/>
  </dgm:styleLbl>
  <dgm:styleLbl name="parChTrans1D1">
    <dgm:fillClrLst meth="repeat">
      <a:schemeClr val="accent5"/>
    </dgm:fillClrLst>
    <dgm:linClrLst meth="repeat">
      <a:schemeClr val="accent5"/>
    </dgm:linClrLst>
    <dgm:effectClrLst/>
    <dgm:txLinClrLst/>
    <dgm:txFillClrLst meth="repeat">
      <a:schemeClr val="tx1"/>
    </dgm:txFillClrLst>
    <dgm:txEffectClrLst/>
  </dgm:styleLbl>
  <dgm:styleLbl name="parChTrans1D2">
    <dgm:fillClrLst meth="repeat">
      <a:schemeClr val="accent6">
        <a:tint val="90000"/>
      </a:schemeClr>
    </dgm:fillClrLst>
    <dgm:linClrLst meth="repeat">
      <a:schemeClr val="accent6"/>
    </dgm:linClrLst>
    <dgm:effectClrLst/>
    <dgm:txLinClrLst/>
    <dgm:txFillClrLst meth="repeat">
      <a:schemeClr val="tx1"/>
    </dgm:txFillClrLst>
    <dgm:txEffectClrLst/>
  </dgm:styleLbl>
  <dgm:styleLbl name="parChTrans1D3">
    <dgm:fillClrLst meth="repeat">
      <a:schemeClr val="accent6">
        <a:tint val="70000"/>
      </a:schemeClr>
    </dgm:fillClrLst>
    <dgm:linClrLst meth="repeat">
      <a:schemeClr val="accent1"/>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2"/>
    </dgm:linClrLst>
    <dgm:effectClrLst/>
    <dgm:txLinClrLst/>
    <dgm:txFillClrLst meth="repeat">
      <a:schemeClr val="tx1"/>
    </dgm:txFillClrLst>
    <dgm:txEffectClrLst/>
  </dgm:styleLbl>
  <dgm:styleLbl name="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solidFgAcc1">
    <dgm:fillClrLst meth="repeat">
      <a:schemeClr val="lt1"/>
    </dgm:fillClrLst>
    <dgm:linClrLst>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a:schemeClr val="accent5"/>
      <a:schemeClr val="accent6"/>
    </dgm:linClrLst>
    <dgm:effectClrLst/>
    <dgm:txLinClrLst/>
    <dgm:txFillClrLst meth="repeat">
      <a:schemeClr val="dk1"/>
    </dgm:txFillClrLst>
    <dgm:txEffectClrLst/>
  </dgm:styleLbl>
  <dgm:styleLbl name="solidBgAcc1">
    <dgm:fillClrLst meth="repeat">
      <a:schemeClr val="lt1"/>
    </dgm:fillClrLst>
    <dgm:linClrLst>
      <a:schemeClr val="accent5"/>
      <a:schemeClr val="accent6"/>
    </dgm:linClrLst>
    <dgm:effectClrLst/>
    <dgm:txLinClrLst/>
    <dgm:txFillClrLst meth="repeat">
      <a:schemeClr val="dk1"/>
    </dgm:txFillClrLst>
    <dgm:txEffectClrLst/>
  </dgm:styleLbl>
  <dgm:styleLbl name="fgAccFollowNode1">
    <dgm:fillClrLst>
      <a:schemeClr val="accent5">
        <a:tint val="40000"/>
        <a:alpha val="90000"/>
      </a:schemeClr>
      <a:schemeClr val="accent6">
        <a:tint val="40000"/>
        <a:alpha val="90000"/>
      </a:schemeClr>
    </dgm:fillClrLst>
    <dgm:linClrLst>
      <a:schemeClr val="accent5">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4"/>
    </dgm:linClrLst>
    <dgm:effectClrLst/>
    <dgm:txLinClrLst/>
    <dgm:txFillClrLst meth="repeat">
      <a:schemeClr val="dk1"/>
    </dgm:txFillClrLst>
    <dgm:txEffectClrLst/>
  </dgm:styleLbl>
  <dgm:styleLbl name="fgAcc2">
    <dgm:fillClrLst meth="repeat">
      <a:schemeClr val="lt1">
        <a:alpha val="90000"/>
      </a:schemeClr>
    </dgm:fillClrLst>
    <dgm:linClrLst>
      <a:schemeClr val="accent6"/>
    </dgm:linClrLst>
    <dgm:effectClrLst/>
    <dgm:txLinClrLst/>
    <dgm:txFillClrLst meth="repeat">
      <a:schemeClr val="dk1"/>
    </dgm:txFillClrLst>
    <dgm:txEffectClrLst/>
  </dgm:styleLbl>
  <dgm:styleLbl name="fgAcc3">
    <dgm:fillClrLst meth="repeat">
      <a:schemeClr val="lt1">
        <a:alpha val="90000"/>
      </a:schemeClr>
    </dgm:fillClrLst>
    <dgm:linClrLst>
      <a:schemeClr val="accent1"/>
    </dgm:linClrLst>
    <dgm:effectClrLst/>
    <dgm:txLinClrLst/>
    <dgm:txFillClrLst meth="repeat">
      <a:schemeClr val="dk1"/>
    </dgm:txFillClrLst>
    <dgm:txEffectClrLst/>
  </dgm:styleLbl>
  <dgm:styleLbl name="fgAcc4">
    <dgm:fillClrLst meth="repeat">
      <a:schemeClr val="lt1">
        <a:alpha val="90000"/>
      </a:schemeClr>
    </dgm:fillClrLst>
    <dgm:linClrLst>
      <a:schemeClr val="accent2"/>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AF7CB8E-3279-4ED4-B8AF-132E8A9339A4}" type="doc">
      <dgm:prSet loTypeId="urn:microsoft.com/office/officeart/2005/8/layout/cycle1" loCatId="cycle" qsTypeId="urn:microsoft.com/office/officeart/2005/8/quickstyle/simple5" qsCatId="simple" csTypeId="urn:microsoft.com/office/officeart/2005/8/colors/colorful5" csCatId="colorful" phldr="1"/>
      <dgm:spPr/>
      <dgm:t>
        <a:bodyPr/>
        <a:lstStyle/>
        <a:p>
          <a:endParaRPr lang="en-US"/>
        </a:p>
      </dgm:t>
    </dgm:pt>
    <dgm:pt modelId="{498592BE-C1EA-4E2D-A663-081386AB887E}">
      <dgm:prSet phldrT="[Text]" custT="1"/>
      <dgm:spPr/>
      <dgm:t>
        <a:bodyPr/>
        <a:lstStyle/>
        <a:p>
          <a:r>
            <a:rPr lang="en-US" sz="1400" b="1">
              <a:solidFill>
                <a:schemeClr val="tx2">
                  <a:lumMod val="75000"/>
                </a:schemeClr>
              </a:solidFill>
            </a:rPr>
            <a:t>Requirements/ Design </a:t>
          </a:r>
        </a:p>
        <a:p>
          <a:r>
            <a:rPr lang="en-US" sz="1400" b="1">
              <a:solidFill>
                <a:schemeClr val="tx2">
                  <a:lumMod val="75000"/>
                </a:schemeClr>
              </a:solidFill>
            </a:rPr>
            <a:t>Analysis</a:t>
          </a:r>
        </a:p>
      </dgm:t>
    </dgm:pt>
    <dgm:pt modelId="{D3495302-D1E8-49D2-BAED-9112272ADCC5}" type="parTrans" cxnId="{8964E482-39DE-4F07-8CBA-0561238FA0D4}">
      <dgm:prSet/>
      <dgm:spPr/>
      <dgm:t>
        <a:bodyPr/>
        <a:lstStyle/>
        <a:p>
          <a:endParaRPr lang="en-US"/>
        </a:p>
      </dgm:t>
    </dgm:pt>
    <dgm:pt modelId="{3B86140C-7D64-40E7-BC73-577F0AAF7BC2}" type="sibTrans" cxnId="{8964E482-39DE-4F07-8CBA-0561238FA0D4}">
      <dgm:prSet/>
      <dgm:spPr/>
      <dgm:t>
        <a:bodyPr/>
        <a:lstStyle/>
        <a:p>
          <a:endParaRPr lang="en-US"/>
        </a:p>
      </dgm:t>
    </dgm:pt>
    <dgm:pt modelId="{876C21DD-EF78-4FB3-BCB2-B549442930A7}">
      <dgm:prSet phldrT="[Text]" custT="1"/>
      <dgm:spPr/>
      <dgm:t>
        <a:bodyPr/>
        <a:lstStyle/>
        <a:p>
          <a:r>
            <a:rPr lang="en-US" sz="1400" b="1">
              <a:solidFill>
                <a:schemeClr val="tx2">
                  <a:lumMod val="50000"/>
                </a:schemeClr>
              </a:solidFill>
            </a:rPr>
            <a:t>Test Planning</a:t>
          </a:r>
        </a:p>
      </dgm:t>
    </dgm:pt>
    <dgm:pt modelId="{3BF0A293-AFA0-417F-AF00-44176B6A355E}" type="parTrans" cxnId="{1C7A1351-B25C-4EC0-95ED-1FB5FBBAD76C}">
      <dgm:prSet/>
      <dgm:spPr/>
      <dgm:t>
        <a:bodyPr/>
        <a:lstStyle/>
        <a:p>
          <a:endParaRPr lang="en-US"/>
        </a:p>
      </dgm:t>
    </dgm:pt>
    <dgm:pt modelId="{984515AA-AF0C-4008-B4A9-5D8D897087BE}" type="sibTrans" cxnId="{1C7A1351-B25C-4EC0-95ED-1FB5FBBAD76C}">
      <dgm:prSet/>
      <dgm:spPr/>
      <dgm:t>
        <a:bodyPr/>
        <a:lstStyle/>
        <a:p>
          <a:endParaRPr lang="en-US"/>
        </a:p>
      </dgm:t>
    </dgm:pt>
    <dgm:pt modelId="{B3E83A48-F46C-443F-B3CE-DC6CFF1AA8AB}">
      <dgm:prSet phldrT="[Text]" custT="1"/>
      <dgm:spPr/>
      <dgm:t>
        <a:bodyPr/>
        <a:lstStyle/>
        <a:p>
          <a:r>
            <a:rPr lang="en-US" sz="1400" b="1">
              <a:solidFill>
                <a:schemeClr val="tx2">
                  <a:lumMod val="50000"/>
                </a:schemeClr>
              </a:solidFill>
            </a:rPr>
            <a:t>Test Design</a:t>
          </a:r>
        </a:p>
      </dgm:t>
    </dgm:pt>
    <dgm:pt modelId="{C93CE5F9-92D0-432E-A1E7-E4CB5C62F590}" type="parTrans" cxnId="{73D95D04-074B-42CF-B36D-BFA679F3A122}">
      <dgm:prSet/>
      <dgm:spPr/>
      <dgm:t>
        <a:bodyPr/>
        <a:lstStyle/>
        <a:p>
          <a:endParaRPr lang="en-US"/>
        </a:p>
      </dgm:t>
    </dgm:pt>
    <dgm:pt modelId="{B1FCDDF4-3D7C-4BFF-837A-D07D2F2F7F21}" type="sibTrans" cxnId="{73D95D04-074B-42CF-B36D-BFA679F3A122}">
      <dgm:prSet/>
      <dgm:spPr/>
      <dgm:t>
        <a:bodyPr/>
        <a:lstStyle/>
        <a:p>
          <a:endParaRPr lang="en-US"/>
        </a:p>
      </dgm:t>
    </dgm:pt>
    <dgm:pt modelId="{A945EADE-FCCA-4A33-A96A-03065257E959}">
      <dgm:prSet phldrT="[Text]" custT="1"/>
      <dgm:spPr/>
      <dgm:t>
        <a:bodyPr/>
        <a:lstStyle/>
        <a:p>
          <a:r>
            <a:rPr lang="en-US" sz="1400" b="1">
              <a:solidFill>
                <a:schemeClr val="tx2">
                  <a:lumMod val="50000"/>
                </a:schemeClr>
              </a:solidFill>
            </a:rPr>
            <a:t>Test Environment Setup</a:t>
          </a:r>
        </a:p>
      </dgm:t>
    </dgm:pt>
    <dgm:pt modelId="{E49A1F57-1E72-4051-9B59-44DEBB336CFE}" type="parTrans" cxnId="{957E454D-524E-47B7-A458-ACFC2DFCA876}">
      <dgm:prSet/>
      <dgm:spPr/>
      <dgm:t>
        <a:bodyPr/>
        <a:lstStyle/>
        <a:p>
          <a:endParaRPr lang="en-US"/>
        </a:p>
      </dgm:t>
    </dgm:pt>
    <dgm:pt modelId="{D2312ED8-A7D0-4F9D-8610-B4EDEDB18B75}" type="sibTrans" cxnId="{957E454D-524E-47B7-A458-ACFC2DFCA876}">
      <dgm:prSet/>
      <dgm:spPr/>
      <dgm:t>
        <a:bodyPr/>
        <a:lstStyle/>
        <a:p>
          <a:endParaRPr lang="en-US"/>
        </a:p>
      </dgm:t>
    </dgm:pt>
    <dgm:pt modelId="{B85F155E-6B8F-48B5-9285-DAEAD95E2971}">
      <dgm:prSet phldrT="[Text]" custT="1"/>
      <dgm:spPr/>
      <dgm:t>
        <a:bodyPr/>
        <a:lstStyle/>
        <a:p>
          <a:r>
            <a:rPr lang="en-US" sz="1400" b="1">
              <a:solidFill>
                <a:schemeClr val="tx2">
                  <a:lumMod val="50000"/>
                </a:schemeClr>
              </a:solidFill>
            </a:rPr>
            <a:t>Test Execution</a:t>
          </a:r>
        </a:p>
      </dgm:t>
    </dgm:pt>
    <dgm:pt modelId="{EBDD5B49-8D18-4C3B-A6EB-404BFA5AB6FC}" type="parTrans" cxnId="{F87C8C51-B56A-4FF1-BFDF-F60AA9DA9FB8}">
      <dgm:prSet/>
      <dgm:spPr/>
      <dgm:t>
        <a:bodyPr/>
        <a:lstStyle/>
        <a:p>
          <a:endParaRPr lang="en-US"/>
        </a:p>
      </dgm:t>
    </dgm:pt>
    <dgm:pt modelId="{85E81C6A-FAED-42F7-95E0-608376574DC1}" type="sibTrans" cxnId="{F87C8C51-B56A-4FF1-BFDF-F60AA9DA9FB8}">
      <dgm:prSet/>
      <dgm:spPr/>
      <dgm:t>
        <a:bodyPr/>
        <a:lstStyle/>
        <a:p>
          <a:endParaRPr lang="en-US"/>
        </a:p>
      </dgm:t>
    </dgm:pt>
    <dgm:pt modelId="{76A992C9-37E8-4D1F-959C-DDD660822BB9}">
      <dgm:prSet phldrT="[Text]" custT="1"/>
      <dgm:spPr/>
      <dgm:t>
        <a:bodyPr/>
        <a:lstStyle/>
        <a:p>
          <a:r>
            <a:rPr lang="en-US" sz="1400" b="1">
              <a:solidFill>
                <a:schemeClr val="tx2">
                  <a:lumMod val="50000"/>
                </a:schemeClr>
              </a:solidFill>
            </a:rPr>
            <a:t>Test Reporting</a:t>
          </a:r>
        </a:p>
      </dgm:t>
    </dgm:pt>
    <dgm:pt modelId="{CFD3D65E-8D7F-4B7B-963C-F2DE9B238AC9}" type="parTrans" cxnId="{BF8BBF04-09E1-4234-A736-2BE2B40D175F}">
      <dgm:prSet/>
      <dgm:spPr/>
      <dgm:t>
        <a:bodyPr/>
        <a:lstStyle/>
        <a:p>
          <a:endParaRPr lang="en-US"/>
        </a:p>
      </dgm:t>
    </dgm:pt>
    <dgm:pt modelId="{ACFDF28B-C323-4873-A20D-C3B9DD00F84E}" type="sibTrans" cxnId="{BF8BBF04-09E1-4234-A736-2BE2B40D175F}">
      <dgm:prSet/>
      <dgm:spPr/>
      <dgm:t>
        <a:bodyPr/>
        <a:lstStyle/>
        <a:p>
          <a:endParaRPr lang="en-US"/>
        </a:p>
      </dgm:t>
    </dgm:pt>
    <dgm:pt modelId="{EEE7CBDC-45ED-4C78-BF2A-7127572BF0DC}" type="pres">
      <dgm:prSet presAssocID="{4AF7CB8E-3279-4ED4-B8AF-132E8A9339A4}" presName="cycle" presStyleCnt="0">
        <dgm:presLayoutVars>
          <dgm:dir/>
          <dgm:resizeHandles val="exact"/>
        </dgm:presLayoutVars>
      </dgm:prSet>
      <dgm:spPr/>
    </dgm:pt>
    <dgm:pt modelId="{C02A3111-0D5E-4B08-BC4C-08CA07471EE0}" type="pres">
      <dgm:prSet presAssocID="{498592BE-C1EA-4E2D-A663-081386AB887E}" presName="dummy" presStyleCnt="0"/>
      <dgm:spPr/>
    </dgm:pt>
    <dgm:pt modelId="{DDFB8564-C50B-464E-8955-86FDCE91B051}" type="pres">
      <dgm:prSet presAssocID="{498592BE-C1EA-4E2D-A663-081386AB887E}" presName="node" presStyleLbl="revTx" presStyleIdx="0" presStyleCnt="6" custScaleX="178782" custRadScaleRad="102834" custRadScaleInc="10194">
        <dgm:presLayoutVars>
          <dgm:bulletEnabled val="1"/>
        </dgm:presLayoutVars>
      </dgm:prSet>
      <dgm:spPr/>
    </dgm:pt>
    <dgm:pt modelId="{DFBD88DE-D83E-4265-A7DB-7E9A2B027D64}" type="pres">
      <dgm:prSet presAssocID="{3B86140C-7D64-40E7-BC73-577F0AAF7BC2}" presName="sibTrans" presStyleLbl="node1" presStyleIdx="0" presStyleCnt="6"/>
      <dgm:spPr/>
    </dgm:pt>
    <dgm:pt modelId="{829457DD-977D-48E5-A539-437EED241492}" type="pres">
      <dgm:prSet presAssocID="{876C21DD-EF78-4FB3-BCB2-B549442930A7}" presName="dummy" presStyleCnt="0"/>
      <dgm:spPr/>
    </dgm:pt>
    <dgm:pt modelId="{BAFB6A74-4730-4A96-90B4-43F3694456D0}" type="pres">
      <dgm:prSet presAssocID="{876C21DD-EF78-4FB3-BCB2-B549442930A7}" presName="node" presStyleLbl="revTx" presStyleIdx="1" presStyleCnt="6">
        <dgm:presLayoutVars>
          <dgm:bulletEnabled val="1"/>
        </dgm:presLayoutVars>
      </dgm:prSet>
      <dgm:spPr/>
    </dgm:pt>
    <dgm:pt modelId="{D862CE69-79ED-4E5A-AAE2-DFC4BA76930B}" type="pres">
      <dgm:prSet presAssocID="{984515AA-AF0C-4008-B4A9-5D8D897087BE}" presName="sibTrans" presStyleLbl="node1" presStyleIdx="1" presStyleCnt="6"/>
      <dgm:spPr/>
    </dgm:pt>
    <dgm:pt modelId="{45052AD8-0C76-4FB3-B876-B62566000FE5}" type="pres">
      <dgm:prSet presAssocID="{B3E83A48-F46C-443F-B3CE-DC6CFF1AA8AB}" presName="dummy" presStyleCnt="0"/>
      <dgm:spPr/>
    </dgm:pt>
    <dgm:pt modelId="{D044EDB2-1742-4220-8AE9-49DB5C46115B}" type="pres">
      <dgm:prSet presAssocID="{B3E83A48-F46C-443F-B3CE-DC6CFF1AA8AB}" presName="node" presStyleLbl="revTx" presStyleIdx="2" presStyleCnt="6">
        <dgm:presLayoutVars>
          <dgm:bulletEnabled val="1"/>
        </dgm:presLayoutVars>
      </dgm:prSet>
      <dgm:spPr/>
    </dgm:pt>
    <dgm:pt modelId="{8F25B838-B2E4-4FF1-ACCD-10FDD39A5B82}" type="pres">
      <dgm:prSet presAssocID="{B1FCDDF4-3D7C-4BFF-837A-D07D2F2F7F21}" presName="sibTrans" presStyleLbl="node1" presStyleIdx="2" presStyleCnt="6"/>
      <dgm:spPr/>
    </dgm:pt>
    <dgm:pt modelId="{1EEA7EE2-3A73-4207-AB4C-D657E287B203}" type="pres">
      <dgm:prSet presAssocID="{A945EADE-FCCA-4A33-A96A-03065257E959}" presName="dummy" presStyleCnt="0"/>
      <dgm:spPr/>
    </dgm:pt>
    <dgm:pt modelId="{AEB50443-2CDC-409A-BD06-0CE7D4C0169D}" type="pres">
      <dgm:prSet presAssocID="{A945EADE-FCCA-4A33-A96A-03065257E959}" presName="node" presStyleLbl="revTx" presStyleIdx="3" presStyleCnt="6" custScaleX="145190">
        <dgm:presLayoutVars>
          <dgm:bulletEnabled val="1"/>
        </dgm:presLayoutVars>
      </dgm:prSet>
      <dgm:spPr/>
    </dgm:pt>
    <dgm:pt modelId="{24948228-51C2-4E2D-984F-30961F422B43}" type="pres">
      <dgm:prSet presAssocID="{D2312ED8-A7D0-4F9D-8610-B4EDEDB18B75}" presName="sibTrans" presStyleLbl="node1" presStyleIdx="3" presStyleCnt="6"/>
      <dgm:spPr/>
    </dgm:pt>
    <dgm:pt modelId="{BFC899E2-7A1A-486F-A4D8-8B85C0DCA51A}" type="pres">
      <dgm:prSet presAssocID="{B85F155E-6B8F-48B5-9285-DAEAD95E2971}" presName="dummy" presStyleCnt="0"/>
      <dgm:spPr/>
    </dgm:pt>
    <dgm:pt modelId="{88919FAA-4674-43F3-B954-FE3C001E9319}" type="pres">
      <dgm:prSet presAssocID="{B85F155E-6B8F-48B5-9285-DAEAD95E2971}" presName="node" presStyleLbl="revTx" presStyleIdx="4" presStyleCnt="6" custScaleX="116143">
        <dgm:presLayoutVars>
          <dgm:bulletEnabled val="1"/>
        </dgm:presLayoutVars>
      </dgm:prSet>
      <dgm:spPr/>
    </dgm:pt>
    <dgm:pt modelId="{4ED61F60-75A3-490B-A206-E78B6836799D}" type="pres">
      <dgm:prSet presAssocID="{85E81C6A-FAED-42F7-95E0-608376574DC1}" presName="sibTrans" presStyleLbl="node1" presStyleIdx="4" presStyleCnt="6"/>
      <dgm:spPr/>
    </dgm:pt>
    <dgm:pt modelId="{7FC1EA71-7280-4BDC-9E83-752DBD1D68E0}" type="pres">
      <dgm:prSet presAssocID="{76A992C9-37E8-4D1F-959C-DDD660822BB9}" presName="dummy" presStyleCnt="0"/>
      <dgm:spPr/>
    </dgm:pt>
    <dgm:pt modelId="{004011B4-F1A3-47F3-B647-4918EFE76868}" type="pres">
      <dgm:prSet presAssocID="{76A992C9-37E8-4D1F-959C-DDD660822BB9}" presName="node" presStyleLbl="revTx" presStyleIdx="5" presStyleCnt="6" custScaleX="125313">
        <dgm:presLayoutVars>
          <dgm:bulletEnabled val="1"/>
        </dgm:presLayoutVars>
      </dgm:prSet>
      <dgm:spPr/>
    </dgm:pt>
    <dgm:pt modelId="{45C7CF62-4B77-4F33-A43B-CA84AB3998D0}" type="pres">
      <dgm:prSet presAssocID="{ACFDF28B-C323-4873-A20D-C3B9DD00F84E}" presName="sibTrans" presStyleLbl="node1" presStyleIdx="5" presStyleCnt="6"/>
      <dgm:spPr/>
    </dgm:pt>
  </dgm:ptLst>
  <dgm:cxnLst>
    <dgm:cxn modelId="{527BB187-EC3F-45FC-9961-5769B8BC1BEA}" type="presOf" srcId="{85E81C6A-FAED-42F7-95E0-608376574DC1}" destId="{4ED61F60-75A3-490B-A206-E78B6836799D}" srcOrd="0" destOrd="0" presId="urn:microsoft.com/office/officeart/2005/8/layout/cycle1"/>
    <dgm:cxn modelId="{1C7A1351-B25C-4EC0-95ED-1FB5FBBAD76C}" srcId="{4AF7CB8E-3279-4ED4-B8AF-132E8A9339A4}" destId="{876C21DD-EF78-4FB3-BCB2-B549442930A7}" srcOrd="1" destOrd="0" parTransId="{3BF0A293-AFA0-417F-AF00-44176B6A355E}" sibTransId="{984515AA-AF0C-4008-B4A9-5D8D897087BE}"/>
    <dgm:cxn modelId="{FA6D4828-CAFE-41D8-AACA-E07FEE16575D}" type="presOf" srcId="{498592BE-C1EA-4E2D-A663-081386AB887E}" destId="{DDFB8564-C50B-464E-8955-86FDCE91B051}" srcOrd="0" destOrd="0" presId="urn:microsoft.com/office/officeart/2005/8/layout/cycle1"/>
    <dgm:cxn modelId="{03508C50-7E39-4B56-902B-A942DABE0156}" type="presOf" srcId="{3B86140C-7D64-40E7-BC73-577F0AAF7BC2}" destId="{DFBD88DE-D83E-4265-A7DB-7E9A2B027D64}" srcOrd="0" destOrd="0" presId="urn:microsoft.com/office/officeart/2005/8/layout/cycle1"/>
    <dgm:cxn modelId="{8964E482-39DE-4F07-8CBA-0561238FA0D4}" srcId="{4AF7CB8E-3279-4ED4-B8AF-132E8A9339A4}" destId="{498592BE-C1EA-4E2D-A663-081386AB887E}" srcOrd="0" destOrd="0" parTransId="{D3495302-D1E8-49D2-BAED-9112272ADCC5}" sibTransId="{3B86140C-7D64-40E7-BC73-577F0AAF7BC2}"/>
    <dgm:cxn modelId="{C506A55C-7595-42A0-9876-B1B3A2D1477D}" type="presOf" srcId="{876C21DD-EF78-4FB3-BCB2-B549442930A7}" destId="{BAFB6A74-4730-4A96-90B4-43F3694456D0}" srcOrd="0" destOrd="0" presId="urn:microsoft.com/office/officeart/2005/8/layout/cycle1"/>
    <dgm:cxn modelId="{07F52749-CC03-4B5E-9311-1BE598A70696}" type="presOf" srcId="{984515AA-AF0C-4008-B4A9-5D8D897087BE}" destId="{D862CE69-79ED-4E5A-AAE2-DFC4BA76930B}" srcOrd="0" destOrd="0" presId="urn:microsoft.com/office/officeart/2005/8/layout/cycle1"/>
    <dgm:cxn modelId="{575D8435-1F29-45BD-B566-CC84D7267719}" type="presOf" srcId="{4AF7CB8E-3279-4ED4-B8AF-132E8A9339A4}" destId="{EEE7CBDC-45ED-4C78-BF2A-7127572BF0DC}" srcOrd="0" destOrd="0" presId="urn:microsoft.com/office/officeart/2005/8/layout/cycle1"/>
    <dgm:cxn modelId="{73D95D04-074B-42CF-B36D-BFA679F3A122}" srcId="{4AF7CB8E-3279-4ED4-B8AF-132E8A9339A4}" destId="{B3E83A48-F46C-443F-B3CE-DC6CFF1AA8AB}" srcOrd="2" destOrd="0" parTransId="{C93CE5F9-92D0-432E-A1E7-E4CB5C62F590}" sibTransId="{B1FCDDF4-3D7C-4BFF-837A-D07D2F2F7F21}"/>
    <dgm:cxn modelId="{957E454D-524E-47B7-A458-ACFC2DFCA876}" srcId="{4AF7CB8E-3279-4ED4-B8AF-132E8A9339A4}" destId="{A945EADE-FCCA-4A33-A96A-03065257E959}" srcOrd="3" destOrd="0" parTransId="{E49A1F57-1E72-4051-9B59-44DEBB336CFE}" sibTransId="{D2312ED8-A7D0-4F9D-8610-B4EDEDB18B75}"/>
    <dgm:cxn modelId="{F24BB354-048C-4FCA-8F3E-CA2704457FB4}" type="presOf" srcId="{B85F155E-6B8F-48B5-9285-DAEAD95E2971}" destId="{88919FAA-4674-43F3-B954-FE3C001E9319}" srcOrd="0" destOrd="0" presId="urn:microsoft.com/office/officeart/2005/8/layout/cycle1"/>
    <dgm:cxn modelId="{BF8BBF04-09E1-4234-A736-2BE2B40D175F}" srcId="{4AF7CB8E-3279-4ED4-B8AF-132E8A9339A4}" destId="{76A992C9-37E8-4D1F-959C-DDD660822BB9}" srcOrd="5" destOrd="0" parTransId="{CFD3D65E-8D7F-4B7B-963C-F2DE9B238AC9}" sibTransId="{ACFDF28B-C323-4873-A20D-C3B9DD00F84E}"/>
    <dgm:cxn modelId="{D8F24748-CF92-4475-B301-EEB132B37AA0}" type="presOf" srcId="{ACFDF28B-C323-4873-A20D-C3B9DD00F84E}" destId="{45C7CF62-4B77-4F33-A43B-CA84AB3998D0}" srcOrd="0" destOrd="0" presId="urn:microsoft.com/office/officeart/2005/8/layout/cycle1"/>
    <dgm:cxn modelId="{3F72919B-50E8-4D00-9D67-3A581CBAE256}" type="presOf" srcId="{D2312ED8-A7D0-4F9D-8610-B4EDEDB18B75}" destId="{24948228-51C2-4E2D-984F-30961F422B43}" srcOrd="0" destOrd="0" presId="urn:microsoft.com/office/officeart/2005/8/layout/cycle1"/>
    <dgm:cxn modelId="{0F909630-8AE9-4583-BE97-2BF08EB0C599}" type="presOf" srcId="{76A992C9-37E8-4D1F-959C-DDD660822BB9}" destId="{004011B4-F1A3-47F3-B647-4918EFE76868}" srcOrd="0" destOrd="0" presId="urn:microsoft.com/office/officeart/2005/8/layout/cycle1"/>
    <dgm:cxn modelId="{F87C8C51-B56A-4FF1-BFDF-F60AA9DA9FB8}" srcId="{4AF7CB8E-3279-4ED4-B8AF-132E8A9339A4}" destId="{B85F155E-6B8F-48B5-9285-DAEAD95E2971}" srcOrd="4" destOrd="0" parTransId="{EBDD5B49-8D18-4C3B-A6EB-404BFA5AB6FC}" sibTransId="{85E81C6A-FAED-42F7-95E0-608376574DC1}"/>
    <dgm:cxn modelId="{55AA141E-4ECD-4BB8-87B9-1EFB76DB1415}" type="presOf" srcId="{B1FCDDF4-3D7C-4BFF-837A-D07D2F2F7F21}" destId="{8F25B838-B2E4-4FF1-ACCD-10FDD39A5B82}" srcOrd="0" destOrd="0" presId="urn:microsoft.com/office/officeart/2005/8/layout/cycle1"/>
    <dgm:cxn modelId="{3C1DDDEF-025D-4087-8ED0-0ED63C4E06E6}" type="presOf" srcId="{A945EADE-FCCA-4A33-A96A-03065257E959}" destId="{AEB50443-2CDC-409A-BD06-0CE7D4C0169D}" srcOrd="0" destOrd="0" presId="urn:microsoft.com/office/officeart/2005/8/layout/cycle1"/>
    <dgm:cxn modelId="{D0197E30-D45D-4F23-A73E-589045CA2C82}" type="presOf" srcId="{B3E83A48-F46C-443F-B3CE-DC6CFF1AA8AB}" destId="{D044EDB2-1742-4220-8AE9-49DB5C46115B}" srcOrd="0" destOrd="0" presId="urn:microsoft.com/office/officeart/2005/8/layout/cycle1"/>
    <dgm:cxn modelId="{10A5E4C1-6342-48D7-9F8D-F61347572EFE}" type="presParOf" srcId="{EEE7CBDC-45ED-4C78-BF2A-7127572BF0DC}" destId="{C02A3111-0D5E-4B08-BC4C-08CA07471EE0}" srcOrd="0" destOrd="0" presId="urn:microsoft.com/office/officeart/2005/8/layout/cycle1"/>
    <dgm:cxn modelId="{194D8CB4-AA8E-46FA-9352-6331F4F3335D}" type="presParOf" srcId="{EEE7CBDC-45ED-4C78-BF2A-7127572BF0DC}" destId="{DDFB8564-C50B-464E-8955-86FDCE91B051}" srcOrd="1" destOrd="0" presId="urn:microsoft.com/office/officeart/2005/8/layout/cycle1"/>
    <dgm:cxn modelId="{3639E761-A07E-4585-A363-D3D40DDA049A}" type="presParOf" srcId="{EEE7CBDC-45ED-4C78-BF2A-7127572BF0DC}" destId="{DFBD88DE-D83E-4265-A7DB-7E9A2B027D64}" srcOrd="2" destOrd="0" presId="urn:microsoft.com/office/officeart/2005/8/layout/cycle1"/>
    <dgm:cxn modelId="{DA2877BD-5896-465B-8593-829A636F7CF6}" type="presParOf" srcId="{EEE7CBDC-45ED-4C78-BF2A-7127572BF0DC}" destId="{829457DD-977D-48E5-A539-437EED241492}" srcOrd="3" destOrd="0" presId="urn:microsoft.com/office/officeart/2005/8/layout/cycle1"/>
    <dgm:cxn modelId="{627928C1-B545-43E2-A374-C6938A4D678D}" type="presParOf" srcId="{EEE7CBDC-45ED-4C78-BF2A-7127572BF0DC}" destId="{BAFB6A74-4730-4A96-90B4-43F3694456D0}" srcOrd="4" destOrd="0" presId="urn:microsoft.com/office/officeart/2005/8/layout/cycle1"/>
    <dgm:cxn modelId="{BF99EC0E-BA37-44FF-AF42-9F24C826218F}" type="presParOf" srcId="{EEE7CBDC-45ED-4C78-BF2A-7127572BF0DC}" destId="{D862CE69-79ED-4E5A-AAE2-DFC4BA76930B}" srcOrd="5" destOrd="0" presId="urn:microsoft.com/office/officeart/2005/8/layout/cycle1"/>
    <dgm:cxn modelId="{73938D50-198A-49E4-A9BE-C4CA93CEAAE7}" type="presParOf" srcId="{EEE7CBDC-45ED-4C78-BF2A-7127572BF0DC}" destId="{45052AD8-0C76-4FB3-B876-B62566000FE5}" srcOrd="6" destOrd="0" presId="urn:microsoft.com/office/officeart/2005/8/layout/cycle1"/>
    <dgm:cxn modelId="{41436122-C01E-4434-89F4-CF0AFC4DE7BC}" type="presParOf" srcId="{EEE7CBDC-45ED-4C78-BF2A-7127572BF0DC}" destId="{D044EDB2-1742-4220-8AE9-49DB5C46115B}" srcOrd="7" destOrd="0" presId="urn:microsoft.com/office/officeart/2005/8/layout/cycle1"/>
    <dgm:cxn modelId="{28DD7218-9167-43C9-A180-E5ACA19B73CA}" type="presParOf" srcId="{EEE7CBDC-45ED-4C78-BF2A-7127572BF0DC}" destId="{8F25B838-B2E4-4FF1-ACCD-10FDD39A5B82}" srcOrd="8" destOrd="0" presId="urn:microsoft.com/office/officeart/2005/8/layout/cycle1"/>
    <dgm:cxn modelId="{0ACFC458-C52A-4E10-9740-3E9E0B627621}" type="presParOf" srcId="{EEE7CBDC-45ED-4C78-BF2A-7127572BF0DC}" destId="{1EEA7EE2-3A73-4207-AB4C-D657E287B203}" srcOrd="9" destOrd="0" presId="urn:microsoft.com/office/officeart/2005/8/layout/cycle1"/>
    <dgm:cxn modelId="{D7205B5E-39E5-4D8B-93AE-B8DB3CEA0348}" type="presParOf" srcId="{EEE7CBDC-45ED-4C78-BF2A-7127572BF0DC}" destId="{AEB50443-2CDC-409A-BD06-0CE7D4C0169D}" srcOrd="10" destOrd="0" presId="urn:microsoft.com/office/officeart/2005/8/layout/cycle1"/>
    <dgm:cxn modelId="{27E38C1C-630B-4F3A-BFC6-44D5E6856A6C}" type="presParOf" srcId="{EEE7CBDC-45ED-4C78-BF2A-7127572BF0DC}" destId="{24948228-51C2-4E2D-984F-30961F422B43}" srcOrd="11" destOrd="0" presId="urn:microsoft.com/office/officeart/2005/8/layout/cycle1"/>
    <dgm:cxn modelId="{1AD1D00B-8292-419C-A76D-88399341B105}" type="presParOf" srcId="{EEE7CBDC-45ED-4C78-BF2A-7127572BF0DC}" destId="{BFC899E2-7A1A-486F-A4D8-8B85C0DCA51A}" srcOrd="12" destOrd="0" presId="urn:microsoft.com/office/officeart/2005/8/layout/cycle1"/>
    <dgm:cxn modelId="{2E2220BC-7018-4992-B439-F270B79E96ED}" type="presParOf" srcId="{EEE7CBDC-45ED-4C78-BF2A-7127572BF0DC}" destId="{88919FAA-4674-43F3-B954-FE3C001E9319}" srcOrd="13" destOrd="0" presId="urn:microsoft.com/office/officeart/2005/8/layout/cycle1"/>
    <dgm:cxn modelId="{FB867131-CF01-4F88-96D5-EACA4F79A6D7}" type="presParOf" srcId="{EEE7CBDC-45ED-4C78-BF2A-7127572BF0DC}" destId="{4ED61F60-75A3-490B-A206-E78B6836799D}" srcOrd="14" destOrd="0" presId="urn:microsoft.com/office/officeart/2005/8/layout/cycle1"/>
    <dgm:cxn modelId="{237F4CBE-3BA5-4235-8D5E-5E0FE2BA505D}" type="presParOf" srcId="{EEE7CBDC-45ED-4C78-BF2A-7127572BF0DC}" destId="{7FC1EA71-7280-4BDC-9E83-752DBD1D68E0}" srcOrd="15" destOrd="0" presId="urn:microsoft.com/office/officeart/2005/8/layout/cycle1"/>
    <dgm:cxn modelId="{6447F8AC-1C6D-4981-A64F-A74D3E4F204F}" type="presParOf" srcId="{EEE7CBDC-45ED-4C78-BF2A-7127572BF0DC}" destId="{004011B4-F1A3-47F3-B647-4918EFE76868}" srcOrd="16" destOrd="0" presId="urn:microsoft.com/office/officeart/2005/8/layout/cycle1"/>
    <dgm:cxn modelId="{3B8E2454-096D-4E7C-A693-D7250391CC75}" type="presParOf" srcId="{EEE7CBDC-45ED-4C78-BF2A-7127572BF0DC}" destId="{45C7CF62-4B77-4F33-A43B-CA84AB3998D0}" srcOrd="17" destOrd="0" presId="urn:microsoft.com/office/officeart/2005/8/layout/cycle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E88544C7-69CC-48FB-8FC8-F1631124BC52}" type="doc">
      <dgm:prSet loTypeId="urn:microsoft.com/office/officeart/2005/8/layout/pyramid1" loCatId="pyramid" qsTypeId="urn:microsoft.com/office/officeart/2005/8/quickstyle/3d5" qsCatId="3D" csTypeId="urn:microsoft.com/office/officeart/2005/8/colors/colorful5" csCatId="colorful" phldr="1"/>
      <dgm:spPr/>
    </dgm:pt>
    <dgm:pt modelId="{504ABB0B-8E97-4DCC-B722-F31A8DE4FA0F}">
      <dgm:prSet phldrT="[Text]"/>
      <dgm:spPr/>
      <dgm:t>
        <a:bodyPr/>
        <a:lstStyle/>
        <a:p>
          <a:r>
            <a:rPr lang="en-US"/>
            <a:t>Business Needs</a:t>
          </a:r>
        </a:p>
      </dgm:t>
    </dgm:pt>
    <dgm:pt modelId="{A0EE02A3-4E72-49C4-9BEF-86ABE330EA00}" type="parTrans" cxnId="{AABB47FE-65FD-4E68-A5F1-4CA27EA33B4A}">
      <dgm:prSet/>
      <dgm:spPr/>
      <dgm:t>
        <a:bodyPr/>
        <a:lstStyle/>
        <a:p>
          <a:endParaRPr lang="en-US"/>
        </a:p>
      </dgm:t>
    </dgm:pt>
    <dgm:pt modelId="{C776F090-42B7-4F6B-A921-3AAEE92A772B}" type="sibTrans" cxnId="{AABB47FE-65FD-4E68-A5F1-4CA27EA33B4A}">
      <dgm:prSet/>
      <dgm:spPr/>
      <dgm:t>
        <a:bodyPr/>
        <a:lstStyle/>
        <a:p>
          <a:endParaRPr lang="en-US"/>
        </a:p>
      </dgm:t>
    </dgm:pt>
    <dgm:pt modelId="{F8EFD77E-5D19-4ED1-9EA8-B549CAC6A2A6}">
      <dgm:prSet phldrT="[Text]" custT="1"/>
      <dgm:spPr/>
      <dgm:t>
        <a:bodyPr/>
        <a:lstStyle/>
        <a:p>
          <a:r>
            <a:rPr lang="en-US" sz="1800"/>
            <a:t>Features</a:t>
          </a:r>
        </a:p>
      </dgm:t>
    </dgm:pt>
    <dgm:pt modelId="{5ECD0CD4-D210-4F7B-ACC4-896E5B329C43}" type="parTrans" cxnId="{403F38CD-755B-430E-8341-2191DED6CE33}">
      <dgm:prSet/>
      <dgm:spPr/>
      <dgm:t>
        <a:bodyPr/>
        <a:lstStyle/>
        <a:p>
          <a:endParaRPr lang="en-US"/>
        </a:p>
      </dgm:t>
    </dgm:pt>
    <dgm:pt modelId="{BED430DC-C6D4-4BCD-A9E9-D66BBC0FF8CD}" type="sibTrans" cxnId="{403F38CD-755B-430E-8341-2191DED6CE33}">
      <dgm:prSet/>
      <dgm:spPr/>
      <dgm:t>
        <a:bodyPr/>
        <a:lstStyle/>
        <a:p>
          <a:endParaRPr lang="en-US"/>
        </a:p>
      </dgm:t>
    </dgm:pt>
    <dgm:pt modelId="{785C3728-CC0E-4279-959C-070443C698D2}">
      <dgm:prSet phldrT="[Text]"/>
      <dgm:spPr/>
      <dgm:t>
        <a:bodyPr/>
        <a:lstStyle/>
        <a:p>
          <a:r>
            <a:rPr lang="en-US"/>
            <a:t>Use Cases</a:t>
          </a:r>
        </a:p>
      </dgm:t>
    </dgm:pt>
    <dgm:pt modelId="{890AC3CA-0526-4223-9E4D-4DC50474EF95}" type="parTrans" cxnId="{A5F9786F-3165-41B5-B8CB-186A8BD2133D}">
      <dgm:prSet/>
      <dgm:spPr/>
      <dgm:t>
        <a:bodyPr/>
        <a:lstStyle/>
        <a:p>
          <a:endParaRPr lang="en-US"/>
        </a:p>
      </dgm:t>
    </dgm:pt>
    <dgm:pt modelId="{852A6D59-1DD9-4D16-8052-355D9A590DE5}" type="sibTrans" cxnId="{A5F9786F-3165-41B5-B8CB-186A8BD2133D}">
      <dgm:prSet/>
      <dgm:spPr/>
      <dgm:t>
        <a:bodyPr/>
        <a:lstStyle/>
        <a:p>
          <a:endParaRPr lang="en-US"/>
        </a:p>
      </dgm:t>
    </dgm:pt>
    <dgm:pt modelId="{E1A8504C-17F2-406D-A32B-5C49553AAA32}">
      <dgm:prSet phldrT="[Text]"/>
      <dgm:spPr/>
      <dgm:t>
        <a:bodyPr/>
        <a:lstStyle/>
        <a:p>
          <a:r>
            <a:rPr lang="en-US"/>
            <a:t>Test Scenarios</a:t>
          </a:r>
        </a:p>
      </dgm:t>
    </dgm:pt>
    <dgm:pt modelId="{F3855D40-56C9-49B4-9297-912C72B0D205}" type="parTrans" cxnId="{B88E6995-956E-4442-A9F4-F029E7745AE8}">
      <dgm:prSet/>
      <dgm:spPr/>
      <dgm:t>
        <a:bodyPr/>
        <a:lstStyle/>
        <a:p>
          <a:endParaRPr lang="en-US"/>
        </a:p>
      </dgm:t>
    </dgm:pt>
    <dgm:pt modelId="{5D90259E-6BC9-4EBE-BC8D-866103F5AD25}" type="sibTrans" cxnId="{B88E6995-956E-4442-A9F4-F029E7745AE8}">
      <dgm:prSet/>
      <dgm:spPr/>
      <dgm:t>
        <a:bodyPr/>
        <a:lstStyle/>
        <a:p>
          <a:endParaRPr lang="en-US"/>
        </a:p>
      </dgm:t>
    </dgm:pt>
    <dgm:pt modelId="{DEFF4FBA-7D2A-4BE5-90A7-678FEC7FD46C}">
      <dgm:prSet phldrT="[Text]"/>
      <dgm:spPr/>
      <dgm:t>
        <a:bodyPr/>
        <a:lstStyle/>
        <a:p>
          <a:r>
            <a:rPr lang="en-US"/>
            <a:t>Test Cases</a:t>
          </a:r>
        </a:p>
      </dgm:t>
    </dgm:pt>
    <dgm:pt modelId="{69FC30A8-9325-4324-8AFE-020424D9A8B7}" type="parTrans" cxnId="{1A9067D7-23E6-403E-AA7D-988F4498898D}">
      <dgm:prSet/>
      <dgm:spPr/>
      <dgm:t>
        <a:bodyPr/>
        <a:lstStyle/>
        <a:p>
          <a:endParaRPr lang="en-US"/>
        </a:p>
      </dgm:t>
    </dgm:pt>
    <dgm:pt modelId="{BC6F563E-0FDC-4924-9931-D79B36FAC293}" type="sibTrans" cxnId="{1A9067D7-23E6-403E-AA7D-988F4498898D}">
      <dgm:prSet/>
      <dgm:spPr/>
      <dgm:t>
        <a:bodyPr/>
        <a:lstStyle/>
        <a:p>
          <a:endParaRPr lang="en-US"/>
        </a:p>
      </dgm:t>
    </dgm:pt>
    <dgm:pt modelId="{7BC806F5-E7EC-4191-8564-1FE8138CB05B}">
      <dgm:prSet phldrT="[Text]"/>
      <dgm:spPr/>
      <dgm:t>
        <a:bodyPr/>
        <a:lstStyle/>
        <a:p>
          <a:r>
            <a:rPr lang="en-US"/>
            <a:t>Test Conditions</a:t>
          </a:r>
        </a:p>
      </dgm:t>
    </dgm:pt>
    <dgm:pt modelId="{7F86E101-E726-422A-B7EA-3A9952806319}" type="parTrans" cxnId="{BA6EE108-C417-4F6D-80EF-BC68CC63FCD5}">
      <dgm:prSet/>
      <dgm:spPr/>
      <dgm:t>
        <a:bodyPr/>
        <a:lstStyle/>
        <a:p>
          <a:endParaRPr lang="en-US"/>
        </a:p>
      </dgm:t>
    </dgm:pt>
    <dgm:pt modelId="{70871A60-4998-4B98-AED8-DA2A73C419D9}" type="sibTrans" cxnId="{BA6EE108-C417-4F6D-80EF-BC68CC63FCD5}">
      <dgm:prSet/>
      <dgm:spPr/>
      <dgm:t>
        <a:bodyPr/>
        <a:lstStyle/>
        <a:p>
          <a:endParaRPr lang="en-US"/>
        </a:p>
      </dgm:t>
    </dgm:pt>
    <dgm:pt modelId="{19AB26DA-97EC-4ACE-9926-2F4545C648A9}" type="pres">
      <dgm:prSet presAssocID="{E88544C7-69CC-48FB-8FC8-F1631124BC52}" presName="Name0" presStyleCnt="0">
        <dgm:presLayoutVars>
          <dgm:dir/>
          <dgm:animLvl val="lvl"/>
          <dgm:resizeHandles val="exact"/>
        </dgm:presLayoutVars>
      </dgm:prSet>
      <dgm:spPr/>
    </dgm:pt>
    <dgm:pt modelId="{86652C68-2806-4AF2-B3C4-EE588C8D030A}" type="pres">
      <dgm:prSet presAssocID="{504ABB0B-8E97-4DCC-B722-F31A8DE4FA0F}" presName="Name8" presStyleCnt="0"/>
      <dgm:spPr/>
    </dgm:pt>
    <dgm:pt modelId="{EDBE5660-7AB7-4D41-A536-37CC15E9FF9B}" type="pres">
      <dgm:prSet presAssocID="{504ABB0B-8E97-4DCC-B722-F31A8DE4FA0F}" presName="level" presStyleLbl="node1" presStyleIdx="0" presStyleCnt="6">
        <dgm:presLayoutVars>
          <dgm:chMax val="1"/>
          <dgm:bulletEnabled val="1"/>
        </dgm:presLayoutVars>
      </dgm:prSet>
      <dgm:spPr/>
    </dgm:pt>
    <dgm:pt modelId="{34C3CACE-08EC-44C1-A11B-49833BEE0A78}" type="pres">
      <dgm:prSet presAssocID="{504ABB0B-8E97-4DCC-B722-F31A8DE4FA0F}" presName="levelTx" presStyleLbl="revTx" presStyleIdx="0" presStyleCnt="0">
        <dgm:presLayoutVars>
          <dgm:chMax val="1"/>
          <dgm:bulletEnabled val="1"/>
        </dgm:presLayoutVars>
      </dgm:prSet>
      <dgm:spPr/>
    </dgm:pt>
    <dgm:pt modelId="{467DF3E3-85A6-4105-A6FE-369C80C6FB6D}" type="pres">
      <dgm:prSet presAssocID="{F8EFD77E-5D19-4ED1-9EA8-B549CAC6A2A6}" presName="Name8" presStyleCnt="0"/>
      <dgm:spPr/>
    </dgm:pt>
    <dgm:pt modelId="{FF1046AA-B8EB-48D1-9B88-22C05CB2F383}" type="pres">
      <dgm:prSet presAssocID="{F8EFD77E-5D19-4ED1-9EA8-B549CAC6A2A6}" presName="level" presStyleLbl="node1" presStyleIdx="1" presStyleCnt="6">
        <dgm:presLayoutVars>
          <dgm:chMax val="1"/>
          <dgm:bulletEnabled val="1"/>
        </dgm:presLayoutVars>
      </dgm:prSet>
      <dgm:spPr/>
    </dgm:pt>
    <dgm:pt modelId="{5EE2CE9E-F6C1-46D4-AA43-CFFEC6BFC74C}" type="pres">
      <dgm:prSet presAssocID="{F8EFD77E-5D19-4ED1-9EA8-B549CAC6A2A6}" presName="levelTx" presStyleLbl="revTx" presStyleIdx="0" presStyleCnt="0">
        <dgm:presLayoutVars>
          <dgm:chMax val="1"/>
          <dgm:bulletEnabled val="1"/>
        </dgm:presLayoutVars>
      </dgm:prSet>
      <dgm:spPr/>
    </dgm:pt>
    <dgm:pt modelId="{47916096-89C5-4533-87D3-789DCA6DF076}" type="pres">
      <dgm:prSet presAssocID="{785C3728-CC0E-4279-959C-070443C698D2}" presName="Name8" presStyleCnt="0"/>
      <dgm:spPr/>
    </dgm:pt>
    <dgm:pt modelId="{EAFD059B-6C8D-445E-9042-0A5611A56BB5}" type="pres">
      <dgm:prSet presAssocID="{785C3728-CC0E-4279-959C-070443C698D2}" presName="level" presStyleLbl="node1" presStyleIdx="2" presStyleCnt="6">
        <dgm:presLayoutVars>
          <dgm:chMax val="1"/>
          <dgm:bulletEnabled val="1"/>
        </dgm:presLayoutVars>
      </dgm:prSet>
      <dgm:spPr/>
    </dgm:pt>
    <dgm:pt modelId="{1FEBEE8A-7997-41D6-ACD9-237645D511E9}" type="pres">
      <dgm:prSet presAssocID="{785C3728-CC0E-4279-959C-070443C698D2}" presName="levelTx" presStyleLbl="revTx" presStyleIdx="0" presStyleCnt="0">
        <dgm:presLayoutVars>
          <dgm:chMax val="1"/>
          <dgm:bulletEnabled val="1"/>
        </dgm:presLayoutVars>
      </dgm:prSet>
      <dgm:spPr/>
    </dgm:pt>
    <dgm:pt modelId="{0E79F983-8012-46A6-9CAD-A7672FA44310}" type="pres">
      <dgm:prSet presAssocID="{E1A8504C-17F2-406D-A32B-5C49553AAA32}" presName="Name8" presStyleCnt="0"/>
      <dgm:spPr/>
    </dgm:pt>
    <dgm:pt modelId="{3C6FBCF2-4C8E-4749-A879-DBD4DAD541A0}" type="pres">
      <dgm:prSet presAssocID="{E1A8504C-17F2-406D-A32B-5C49553AAA32}" presName="level" presStyleLbl="node1" presStyleIdx="3" presStyleCnt="6">
        <dgm:presLayoutVars>
          <dgm:chMax val="1"/>
          <dgm:bulletEnabled val="1"/>
        </dgm:presLayoutVars>
      </dgm:prSet>
      <dgm:spPr/>
    </dgm:pt>
    <dgm:pt modelId="{6D4C57F8-FE2F-460E-8AC0-C8A5FCD8DFCB}" type="pres">
      <dgm:prSet presAssocID="{E1A8504C-17F2-406D-A32B-5C49553AAA32}" presName="levelTx" presStyleLbl="revTx" presStyleIdx="0" presStyleCnt="0">
        <dgm:presLayoutVars>
          <dgm:chMax val="1"/>
          <dgm:bulletEnabled val="1"/>
        </dgm:presLayoutVars>
      </dgm:prSet>
      <dgm:spPr/>
    </dgm:pt>
    <dgm:pt modelId="{9E47AB01-BA10-4E38-B619-AD131AB639FB}" type="pres">
      <dgm:prSet presAssocID="{7BC806F5-E7EC-4191-8564-1FE8138CB05B}" presName="Name8" presStyleCnt="0"/>
      <dgm:spPr/>
    </dgm:pt>
    <dgm:pt modelId="{4158A1C8-46AC-46CA-8B64-4F9788EA14DB}" type="pres">
      <dgm:prSet presAssocID="{7BC806F5-E7EC-4191-8564-1FE8138CB05B}" presName="level" presStyleLbl="node1" presStyleIdx="4" presStyleCnt="6">
        <dgm:presLayoutVars>
          <dgm:chMax val="1"/>
          <dgm:bulletEnabled val="1"/>
        </dgm:presLayoutVars>
      </dgm:prSet>
      <dgm:spPr/>
    </dgm:pt>
    <dgm:pt modelId="{9872F776-E024-4686-8EA7-641121B8711D}" type="pres">
      <dgm:prSet presAssocID="{7BC806F5-E7EC-4191-8564-1FE8138CB05B}" presName="levelTx" presStyleLbl="revTx" presStyleIdx="0" presStyleCnt="0">
        <dgm:presLayoutVars>
          <dgm:chMax val="1"/>
          <dgm:bulletEnabled val="1"/>
        </dgm:presLayoutVars>
      </dgm:prSet>
      <dgm:spPr/>
    </dgm:pt>
    <dgm:pt modelId="{3A2680B8-482F-4994-A081-95360CB076EC}" type="pres">
      <dgm:prSet presAssocID="{DEFF4FBA-7D2A-4BE5-90A7-678FEC7FD46C}" presName="Name8" presStyleCnt="0"/>
      <dgm:spPr/>
    </dgm:pt>
    <dgm:pt modelId="{0AAC9965-E884-457D-82E7-854406A47768}" type="pres">
      <dgm:prSet presAssocID="{DEFF4FBA-7D2A-4BE5-90A7-678FEC7FD46C}" presName="level" presStyleLbl="node1" presStyleIdx="5" presStyleCnt="6">
        <dgm:presLayoutVars>
          <dgm:chMax val="1"/>
          <dgm:bulletEnabled val="1"/>
        </dgm:presLayoutVars>
      </dgm:prSet>
      <dgm:spPr/>
    </dgm:pt>
    <dgm:pt modelId="{42FEE7F1-E21B-4B0E-818C-707B184912ED}" type="pres">
      <dgm:prSet presAssocID="{DEFF4FBA-7D2A-4BE5-90A7-678FEC7FD46C}" presName="levelTx" presStyleLbl="revTx" presStyleIdx="0" presStyleCnt="0">
        <dgm:presLayoutVars>
          <dgm:chMax val="1"/>
          <dgm:bulletEnabled val="1"/>
        </dgm:presLayoutVars>
      </dgm:prSet>
      <dgm:spPr/>
    </dgm:pt>
  </dgm:ptLst>
  <dgm:cxnLst>
    <dgm:cxn modelId="{A1EF3258-78B4-4767-A600-0E1F222A78D1}" type="presOf" srcId="{785C3728-CC0E-4279-959C-070443C698D2}" destId="{1FEBEE8A-7997-41D6-ACD9-237645D511E9}" srcOrd="1" destOrd="0" presId="urn:microsoft.com/office/officeart/2005/8/layout/pyramid1"/>
    <dgm:cxn modelId="{403F38CD-755B-430E-8341-2191DED6CE33}" srcId="{E88544C7-69CC-48FB-8FC8-F1631124BC52}" destId="{F8EFD77E-5D19-4ED1-9EA8-B549CAC6A2A6}" srcOrd="1" destOrd="0" parTransId="{5ECD0CD4-D210-4F7B-ACC4-896E5B329C43}" sibTransId="{BED430DC-C6D4-4BCD-A9E9-D66BBC0FF8CD}"/>
    <dgm:cxn modelId="{52A13D0B-3B35-40BD-8E58-1E267004D459}" type="presOf" srcId="{504ABB0B-8E97-4DCC-B722-F31A8DE4FA0F}" destId="{EDBE5660-7AB7-4D41-A536-37CC15E9FF9B}" srcOrd="0" destOrd="0" presId="urn:microsoft.com/office/officeart/2005/8/layout/pyramid1"/>
    <dgm:cxn modelId="{12AE6DBD-7E6F-4228-AC99-42C3FD20D651}" type="presOf" srcId="{F8EFD77E-5D19-4ED1-9EA8-B549CAC6A2A6}" destId="{FF1046AA-B8EB-48D1-9B88-22C05CB2F383}" srcOrd="0" destOrd="0" presId="urn:microsoft.com/office/officeart/2005/8/layout/pyramid1"/>
    <dgm:cxn modelId="{2C186653-2241-4BAE-9F14-007E37DF43DF}" type="presOf" srcId="{E1A8504C-17F2-406D-A32B-5C49553AAA32}" destId="{6D4C57F8-FE2F-460E-8AC0-C8A5FCD8DFCB}" srcOrd="1" destOrd="0" presId="urn:microsoft.com/office/officeart/2005/8/layout/pyramid1"/>
    <dgm:cxn modelId="{BA6EE108-C417-4F6D-80EF-BC68CC63FCD5}" srcId="{E88544C7-69CC-48FB-8FC8-F1631124BC52}" destId="{7BC806F5-E7EC-4191-8564-1FE8138CB05B}" srcOrd="4" destOrd="0" parTransId="{7F86E101-E726-422A-B7EA-3A9952806319}" sibTransId="{70871A60-4998-4B98-AED8-DA2A73C419D9}"/>
    <dgm:cxn modelId="{AABB47FE-65FD-4E68-A5F1-4CA27EA33B4A}" srcId="{E88544C7-69CC-48FB-8FC8-F1631124BC52}" destId="{504ABB0B-8E97-4DCC-B722-F31A8DE4FA0F}" srcOrd="0" destOrd="0" parTransId="{A0EE02A3-4E72-49C4-9BEF-86ABE330EA00}" sibTransId="{C776F090-42B7-4F6B-A921-3AAEE92A772B}"/>
    <dgm:cxn modelId="{2B352E47-E538-4F15-B303-FB079D2C30C9}" type="presOf" srcId="{7BC806F5-E7EC-4191-8564-1FE8138CB05B}" destId="{4158A1C8-46AC-46CA-8B64-4F9788EA14DB}" srcOrd="0" destOrd="0" presId="urn:microsoft.com/office/officeart/2005/8/layout/pyramid1"/>
    <dgm:cxn modelId="{A5F9786F-3165-41B5-B8CB-186A8BD2133D}" srcId="{E88544C7-69CC-48FB-8FC8-F1631124BC52}" destId="{785C3728-CC0E-4279-959C-070443C698D2}" srcOrd="2" destOrd="0" parTransId="{890AC3CA-0526-4223-9E4D-4DC50474EF95}" sibTransId="{852A6D59-1DD9-4D16-8052-355D9A590DE5}"/>
    <dgm:cxn modelId="{B88E6995-956E-4442-A9F4-F029E7745AE8}" srcId="{E88544C7-69CC-48FB-8FC8-F1631124BC52}" destId="{E1A8504C-17F2-406D-A32B-5C49553AAA32}" srcOrd="3" destOrd="0" parTransId="{F3855D40-56C9-49B4-9297-912C72B0D205}" sibTransId="{5D90259E-6BC9-4EBE-BC8D-866103F5AD25}"/>
    <dgm:cxn modelId="{D547286B-77CE-4615-A855-1C719952BFDB}" type="presOf" srcId="{7BC806F5-E7EC-4191-8564-1FE8138CB05B}" destId="{9872F776-E024-4686-8EA7-641121B8711D}" srcOrd="1" destOrd="0" presId="urn:microsoft.com/office/officeart/2005/8/layout/pyramid1"/>
    <dgm:cxn modelId="{442727C1-7E47-40C3-8092-CEE8D4845233}" type="presOf" srcId="{F8EFD77E-5D19-4ED1-9EA8-B549CAC6A2A6}" destId="{5EE2CE9E-F6C1-46D4-AA43-CFFEC6BFC74C}" srcOrd="1" destOrd="0" presId="urn:microsoft.com/office/officeart/2005/8/layout/pyramid1"/>
    <dgm:cxn modelId="{D806A6D7-42F2-4288-BDD9-C862443EC097}" type="presOf" srcId="{504ABB0B-8E97-4DCC-B722-F31A8DE4FA0F}" destId="{34C3CACE-08EC-44C1-A11B-49833BEE0A78}" srcOrd="1" destOrd="0" presId="urn:microsoft.com/office/officeart/2005/8/layout/pyramid1"/>
    <dgm:cxn modelId="{1A9067D7-23E6-403E-AA7D-988F4498898D}" srcId="{E88544C7-69CC-48FB-8FC8-F1631124BC52}" destId="{DEFF4FBA-7D2A-4BE5-90A7-678FEC7FD46C}" srcOrd="5" destOrd="0" parTransId="{69FC30A8-9325-4324-8AFE-020424D9A8B7}" sibTransId="{BC6F563E-0FDC-4924-9931-D79B36FAC293}"/>
    <dgm:cxn modelId="{901BC663-428D-47B2-8D04-49F2B7E52422}" type="presOf" srcId="{785C3728-CC0E-4279-959C-070443C698D2}" destId="{EAFD059B-6C8D-445E-9042-0A5611A56BB5}" srcOrd="0" destOrd="0" presId="urn:microsoft.com/office/officeart/2005/8/layout/pyramid1"/>
    <dgm:cxn modelId="{10E31142-1CAF-451B-994A-7ADD2206C0E3}" type="presOf" srcId="{E1A8504C-17F2-406D-A32B-5C49553AAA32}" destId="{3C6FBCF2-4C8E-4749-A879-DBD4DAD541A0}" srcOrd="0" destOrd="0" presId="urn:microsoft.com/office/officeart/2005/8/layout/pyramid1"/>
    <dgm:cxn modelId="{862C9CAC-B592-418D-861D-0AD7B77C5A59}" type="presOf" srcId="{E88544C7-69CC-48FB-8FC8-F1631124BC52}" destId="{19AB26DA-97EC-4ACE-9926-2F4545C648A9}" srcOrd="0" destOrd="0" presId="urn:microsoft.com/office/officeart/2005/8/layout/pyramid1"/>
    <dgm:cxn modelId="{6BA2FC14-A153-4FCA-A43B-1911FECD7FD0}" type="presOf" srcId="{DEFF4FBA-7D2A-4BE5-90A7-678FEC7FD46C}" destId="{42FEE7F1-E21B-4B0E-818C-707B184912ED}" srcOrd="1" destOrd="0" presId="urn:microsoft.com/office/officeart/2005/8/layout/pyramid1"/>
    <dgm:cxn modelId="{8E2E4004-3AB8-4B49-8368-8A904BC4D1BB}" type="presOf" srcId="{DEFF4FBA-7D2A-4BE5-90A7-678FEC7FD46C}" destId="{0AAC9965-E884-457D-82E7-854406A47768}" srcOrd="0" destOrd="0" presId="urn:microsoft.com/office/officeart/2005/8/layout/pyramid1"/>
    <dgm:cxn modelId="{4AC9509F-687E-482B-A5C3-7878CDEFF6CF}" type="presParOf" srcId="{19AB26DA-97EC-4ACE-9926-2F4545C648A9}" destId="{86652C68-2806-4AF2-B3C4-EE588C8D030A}" srcOrd="0" destOrd="0" presId="urn:microsoft.com/office/officeart/2005/8/layout/pyramid1"/>
    <dgm:cxn modelId="{832C6C7A-FAAA-43C4-A375-26F9BDDCEEAB}" type="presParOf" srcId="{86652C68-2806-4AF2-B3C4-EE588C8D030A}" destId="{EDBE5660-7AB7-4D41-A536-37CC15E9FF9B}" srcOrd="0" destOrd="0" presId="urn:microsoft.com/office/officeart/2005/8/layout/pyramid1"/>
    <dgm:cxn modelId="{FE7F8485-E4A4-463C-A2DC-A37D036577BF}" type="presParOf" srcId="{86652C68-2806-4AF2-B3C4-EE588C8D030A}" destId="{34C3CACE-08EC-44C1-A11B-49833BEE0A78}" srcOrd="1" destOrd="0" presId="urn:microsoft.com/office/officeart/2005/8/layout/pyramid1"/>
    <dgm:cxn modelId="{9AA19F44-10C8-4396-BD9C-19B5C4C0B1A3}" type="presParOf" srcId="{19AB26DA-97EC-4ACE-9926-2F4545C648A9}" destId="{467DF3E3-85A6-4105-A6FE-369C80C6FB6D}" srcOrd="1" destOrd="0" presId="urn:microsoft.com/office/officeart/2005/8/layout/pyramid1"/>
    <dgm:cxn modelId="{C054034F-AD55-4DD0-B1D5-F4701BD7D2AF}" type="presParOf" srcId="{467DF3E3-85A6-4105-A6FE-369C80C6FB6D}" destId="{FF1046AA-B8EB-48D1-9B88-22C05CB2F383}" srcOrd="0" destOrd="0" presId="urn:microsoft.com/office/officeart/2005/8/layout/pyramid1"/>
    <dgm:cxn modelId="{30D9E6CC-8653-4653-B958-0BB0A1A7EA1F}" type="presParOf" srcId="{467DF3E3-85A6-4105-A6FE-369C80C6FB6D}" destId="{5EE2CE9E-F6C1-46D4-AA43-CFFEC6BFC74C}" srcOrd="1" destOrd="0" presId="urn:microsoft.com/office/officeart/2005/8/layout/pyramid1"/>
    <dgm:cxn modelId="{89766B23-5A72-4A36-B19A-F974BB4FFAED}" type="presParOf" srcId="{19AB26DA-97EC-4ACE-9926-2F4545C648A9}" destId="{47916096-89C5-4533-87D3-789DCA6DF076}" srcOrd="2" destOrd="0" presId="urn:microsoft.com/office/officeart/2005/8/layout/pyramid1"/>
    <dgm:cxn modelId="{F18DC042-538A-40FF-835A-D3136776958C}" type="presParOf" srcId="{47916096-89C5-4533-87D3-789DCA6DF076}" destId="{EAFD059B-6C8D-445E-9042-0A5611A56BB5}" srcOrd="0" destOrd="0" presId="urn:microsoft.com/office/officeart/2005/8/layout/pyramid1"/>
    <dgm:cxn modelId="{DC624622-85F7-489C-9692-C95D12ECEF39}" type="presParOf" srcId="{47916096-89C5-4533-87D3-789DCA6DF076}" destId="{1FEBEE8A-7997-41D6-ACD9-237645D511E9}" srcOrd="1" destOrd="0" presId="urn:microsoft.com/office/officeart/2005/8/layout/pyramid1"/>
    <dgm:cxn modelId="{4A567A60-F7FC-4D88-BF10-BE80B5235446}" type="presParOf" srcId="{19AB26DA-97EC-4ACE-9926-2F4545C648A9}" destId="{0E79F983-8012-46A6-9CAD-A7672FA44310}" srcOrd="3" destOrd="0" presId="urn:microsoft.com/office/officeart/2005/8/layout/pyramid1"/>
    <dgm:cxn modelId="{A3B98A32-AC45-490C-B893-D3F6CA081D0A}" type="presParOf" srcId="{0E79F983-8012-46A6-9CAD-A7672FA44310}" destId="{3C6FBCF2-4C8E-4749-A879-DBD4DAD541A0}" srcOrd="0" destOrd="0" presId="urn:microsoft.com/office/officeart/2005/8/layout/pyramid1"/>
    <dgm:cxn modelId="{B72BD113-4240-4E8F-BB47-0ED81B9733FB}" type="presParOf" srcId="{0E79F983-8012-46A6-9CAD-A7672FA44310}" destId="{6D4C57F8-FE2F-460E-8AC0-C8A5FCD8DFCB}" srcOrd="1" destOrd="0" presId="urn:microsoft.com/office/officeart/2005/8/layout/pyramid1"/>
    <dgm:cxn modelId="{04D30B69-4AA7-41E1-94B2-CBD955E10FA3}" type="presParOf" srcId="{19AB26DA-97EC-4ACE-9926-2F4545C648A9}" destId="{9E47AB01-BA10-4E38-B619-AD131AB639FB}" srcOrd="4" destOrd="0" presId="urn:microsoft.com/office/officeart/2005/8/layout/pyramid1"/>
    <dgm:cxn modelId="{0D243E8C-0224-4C33-8AD2-B4FF2B9F2153}" type="presParOf" srcId="{9E47AB01-BA10-4E38-B619-AD131AB639FB}" destId="{4158A1C8-46AC-46CA-8B64-4F9788EA14DB}" srcOrd="0" destOrd="0" presId="urn:microsoft.com/office/officeart/2005/8/layout/pyramid1"/>
    <dgm:cxn modelId="{2BF2C749-EB18-49DC-9DDA-669A0C64A639}" type="presParOf" srcId="{9E47AB01-BA10-4E38-B619-AD131AB639FB}" destId="{9872F776-E024-4686-8EA7-641121B8711D}" srcOrd="1" destOrd="0" presId="urn:microsoft.com/office/officeart/2005/8/layout/pyramid1"/>
    <dgm:cxn modelId="{A70132FD-D36C-4A86-B375-6062476B6422}" type="presParOf" srcId="{19AB26DA-97EC-4ACE-9926-2F4545C648A9}" destId="{3A2680B8-482F-4994-A081-95360CB076EC}" srcOrd="5" destOrd="0" presId="urn:microsoft.com/office/officeart/2005/8/layout/pyramid1"/>
    <dgm:cxn modelId="{796FC97F-7F73-4DE6-B23F-1C292E5A2ED5}" type="presParOf" srcId="{3A2680B8-482F-4994-A081-95360CB076EC}" destId="{0AAC9965-E884-457D-82E7-854406A47768}" srcOrd="0" destOrd="0" presId="urn:microsoft.com/office/officeart/2005/8/layout/pyramid1"/>
    <dgm:cxn modelId="{F8B06015-7D47-4B5B-A912-2801AC21149C}" type="presParOf" srcId="{3A2680B8-482F-4994-A081-95360CB076EC}" destId="{42FEE7F1-E21B-4B0E-818C-707B184912ED}"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1F57C3D4-FD3D-4FD6-B87C-41FB884A0A83}" type="doc">
      <dgm:prSet loTypeId="urn:microsoft.com/office/officeart/2009/layout/CircleArrowProcess" loCatId="cycle" qsTypeId="urn:microsoft.com/office/officeart/2005/8/quickstyle/simple1" qsCatId="simple" csTypeId="urn:microsoft.com/office/officeart/2005/8/colors/colorful5" csCatId="colorful" phldr="1"/>
      <dgm:spPr/>
      <dgm:t>
        <a:bodyPr/>
        <a:lstStyle/>
        <a:p>
          <a:endParaRPr lang="en-US"/>
        </a:p>
      </dgm:t>
    </dgm:pt>
    <dgm:pt modelId="{4B18B975-FD89-414E-8EBC-AE605BA8E0FE}">
      <dgm:prSet phldrT="[Text]" custT="1"/>
      <dgm:spPr/>
      <dgm:t>
        <a:bodyPr/>
        <a:lstStyle/>
        <a:p>
          <a:r>
            <a:rPr lang="en-US" sz="1800" b="1"/>
            <a:t>New</a:t>
          </a:r>
        </a:p>
      </dgm:t>
    </dgm:pt>
    <dgm:pt modelId="{36C9AAA2-6759-4708-AC61-52F38D594CDB}" type="sibTrans" cxnId="{46A73D93-FED4-42B6-8662-BA9A1589F1C5}">
      <dgm:prSet/>
      <dgm:spPr/>
      <dgm:t>
        <a:bodyPr/>
        <a:lstStyle/>
        <a:p>
          <a:endParaRPr lang="en-US" sz="1800"/>
        </a:p>
      </dgm:t>
    </dgm:pt>
    <dgm:pt modelId="{DA4F5DB9-0945-4EF3-9A98-47D685F63AFC}" type="parTrans" cxnId="{46A73D93-FED4-42B6-8662-BA9A1589F1C5}">
      <dgm:prSet/>
      <dgm:spPr/>
      <dgm:t>
        <a:bodyPr/>
        <a:lstStyle/>
        <a:p>
          <a:endParaRPr lang="en-US" sz="1800"/>
        </a:p>
      </dgm:t>
    </dgm:pt>
    <dgm:pt modelId="{91771001-2320-4E9E-B66F-5DBE418A7296}">
      <dgm:prSet phldrT="[Text]" custT="1"/>
      <dgm:spPr/>
      <dgm:t>
        <a:bodyPr/>
        <a:lstStyle/>
        <a:p>
          <a:r>
            <a:rPr lang="en-US" sz="1800" b="1"/>
            <a:t>Open</a:t>
          </a:r>
        </a:p>
      </dgm:t>
    </dgm:pt>
    <dgm:pt modelId="{BAD2285C-21A7-4C8D-B1D4-4DF44C4456B1}" type="sibTrans" cxnId="{DAC2B782-F39B-40E7-AE0E-1146F81E62CB}">
      <dgm:prSet/>
      <dgm:spPr/>
      <dgm:t>
        <a:bodyPr/>
        <a:lstStyle/>
        <a:p>
          <a:endParaRPr lang="en-US" sz="1800"/>
        </a:p>
      </dgm:t>
    </dgm:pt>
    <dgm:pt modelId="{7DAE647A-6B9A-45A7-8116-AF9DC181A91C}" type="parTrans" cxnId="{DAC2B782-F39B-40E7-AE0E-1146F81E62CB}">
      <dgm:prSet/>
      <dgm:spPr/>
      <dgm:t>
        <a:bodyPr/>
        <a:lstStyle/>
        <a:p>
          <a:endParaRPr lang="en-US" sz="1800"/>
        </a:p>
      </dgm:t>
    </dgm:pt>
    <dgm:pt modelId="{0D6BD432-5BED-4583-8615-468439E8B958}">
      <dgm:prSet phldrT="[Text]" custT="1"/>
      <dgm:spPr/>
      <dgm:t>
        <a:bodyPr/>
        <a:lstStyle/>
        <a:p>
          <a:r>
            <a:rPr lang="en-US" sz="1800" b="1"/>
            <a:t>Assigned</a:t>
          </a:r>
        </a:p>
      </dgm:t>
    </dgm:pt>
    <dgm:pt modelId="{870FF044-2B75-41CC-83C6-D274092E3E60}" type="sibTrans" cxnId="{1DF8EDF5-7511-4A24-BB8C-BB41A4ECB92D}">
      <dgm:prSet/>
      <dgm:spPr/>
      <dgm:t>
        <a:bodyPr/>
        <a:lstStyle/>
        <a:p>
          <a:endParaRPr lang="en-US" sz="1800"/>
        </a:p>
      </dgm:t>
    </dgm:pt>
    <dgm:pt modelId="{BC1BE39A-7F9A-4DC3-BFB7-DEBBA466C6DC}" type="parTrans" cxnId="{1DF8EDF5-7511-4A24-BB8C-BB41A4ECB92D}">
      <dgm:prSet/>
      <dgm:spPr/>
      <dgm:t>
        <a:bodyPr/>
        <a:lstStyle/>
        <a:p>
          <a:endParaRPr lang="en-US" sz="1800"/>
        </a:p>
      </dgm:t>
    </dgm:pt>
    <dgm:pt modelId="{498B254B-7ABA-4EFE-ACD9-6EA79EAD03AF}">
      <dgm:prSet phldrT="[Text]" custT="1"/>
      <dgm:spPr/>
      <dgm:t>
        <a:bodyPr/>
        <a:lstStyle/>
        <a:p>
          <a:r>
            <a:rPr lang="en-US" sz="1600" b="1"/>
            <a:t>Verified</a:t>
          </a:r>
        </a:p>
      </dgm:t>
    </dgm:pt>
    <dgm:pt modelId="{50F4DE4A-40A5-4A12-8EBD-E1757E5210D7}" type="parTrans" cxnId="{0B0FAA97-C108-4FA9-A134-CE2E59754B65}">
      <dgm:prSet/>
      <dgm:spPr/>
      <dgm:t>
        <a:bodyPr/>
        <a:lstStyle/>
        <a:p>
          <a:endParaRPr lang="en-US" sz="1800"/>
        </a:p>
      </dgm:t>
    </dgm:pt>
    <dgm:pt modelId="{03971067-CF1A-4F09-8E9D-D08CDD85BCC5}" type="sibTrans" cxnId="{0B0FAA97-C108-4FA9-A134-CE2E59754B65}">
      <dgm:prSet/>
      <dgm:spPr/>
      <dgm:t>
        <a:bodyPr/>
        <a:lstStyle/>
        <a:p>
          <a:endParaRPr lang="en-US" sz="1800"/>
        </a:p>
      </dgm:t>
    </dgm:pt>
    <dgm:pt modelId="{E5F7D411-5AD1-4A72-A976-AF463DB7803A}">
      <dgm:prSet phldrT="[Text]" custT="1"/>
      <dgm:spPr/>
      <dgm:t>
        <a:bodyPr/>
        <a:lstStyle/>
        <a:p>
          <a:r>
            <a:rPr lang="en-US" sz="1800" b="1"/>
            <a:t>Fixed</a:t>
          </a:r>
        </a:p>
      </dgm:t>
    </dgm:pt>
    <dgm:pt modelId="{9E3152A0-0DB6-438A-8E7A-2975DE797307}" type="parTrans" cxnId="{40C651ED-45EC-473B-A575-E96BFDA4C257}">
      <dgm:prSet/>
      <dgm:spPr/>
      <dgm:t>
        <a:bodyPr/>
        <a:lstStyle/>
        <a:p>
          <a:endParaRPr lang="en-US" sz="1800"/>
        </a:p>
      </dgm:t>
    </dgm:pt>
    <dgm:pt modelId="{F42A8CDB-9CC5-4A70-9F4A-EF06AFA29313}" type="sibTrans" cxnId="{40C651ED-45EC-473B-A575-E96BFDA4C257}">
      <dgm:prSet/>
      <dgm:spPr/>
      <dgm:t>
        <a:bodyPr/>
        <a:lstStyle/>
        <a:p>
          <a:endParaRPr lang="en-US" sz="1800"/>
        </a:p>
      </dgm:t>
    </dgm:pt>
    <dgm:pt modelId="{F2CC2D01-A84C-428B-8674-56C558A313D7}">
      <dgm:prSet phldrT="[Text]" custT="1"/>
      <dgm:spPr/>
      <dgm:t>
        <a:bodyPr/>
        <a:lstStyle/>
        <a:p>
          <a:r>
            <a:rPr lang="en-US" sz="1800" b="1"/>
            <a:t>Retest</a:t>
          </a:r>
        </a:p>
      </dgm:t>
    </dgm:pt>
    <dgm:pt modelId="{7CCEB8ED-B0F4-45DC-AC58-9DA43D49D66C}" type="parTrans" cxnId="{8A1D8944-952C-4259-AEA4-3BAF4C1D2AE8}">
      <dgm:prSet/>
      <dgm:spPr/>
      <dgm:t>
        <a:bodyPr/>
        <a:lstStyle/>
        <a:p>
          <a:endParaRPr lang="en-US" sz="1800"/>
        </a:p>
      </dgm:t>
    </dgm:pt>
    <dgm:pt modelId="{823327C6-534A-4685-8C24-997D3B5B6694}" type="sibTrans" cxnId="{8A1D8944-952C-4259-AEA4-3BAF4C1D2AE8}">
      <dgm:prSet/>
      <dgm:spPr/>
      <dgm:t>
        <a:bodyPr/>
        <a:lstStyle/>
        <a:p>
          <a:endParaRPr lang="en-US" sz="1800"/>
        </a:p>
      </dgm:t>
    </dgm:pt>
    <dgm:pt modelId="{F6FC054C-5ACC-4513-B598-6995809F0FA7}">
      <dgm:prSet phldrT="[Text]" custT="1"/>
      <dgm:spPr/>
      <dgm:t>
        <a:bodyPr/>
        <a:lstStyle/>
        <a:p>
          <a:r>
            <a:rPr lang="en-US" sz="1800" b="1"/>
            <a:t>Close</a:t>
          </a:r>
        </a:p>
      </dgm:t>
    </dgm:pt>
    <dgm:pt modelId="{81A54BA3-2DA1-4A62-96D2-A399FBC54398}" type="parTrans" cxnId="{D30677DC-8177-4905-8B51-875A54936944}">
      <dgm:prSet/>
      <dgm:spPr/>
      <dgm:t>
        <a:bodyPr/>
        <a:lstStyle/>
        <a:p>
          <a:endParaRPr lang="en-US"/>
        </a:p>
      </dgm:t>
    </dgm:pt>
    <dgm:pt modelId="{7E03C9EF-5E77-4876-A42B-D8E9495D3701}" type="sibTrans" cxnId="{D30677DC-8177-4905-8B51-875A54936944}">
      <dgm:prSet/>
      <dgm:spPr/>
      <dgm:t>
        <a:bodyPr/>
        <a:lstStyle/>
        <a:p>
          <a:endParaRPr lang="en-US"/>
        </a:p>
      </dgm:t>
    </dgm:pt>
    <dgm:pt modelId="{3E9087DA-0184-4A1E-B63E-B10EE62ED4DF}" type="pres">
      <dgm:prSet presAssocID="{1F57C3D4-FD3D-4FD6-B87C-41FB884A0A83}" presName="Name0" presStyleCnt="0">
        <dgm:presLayoutVars>
          <dgm:chMax val="7"/>
          <dgm:chPref val="7"/>
          <dgm:dir/>
          <dgm:animLvl val="lvl"/>
        </dgm:presLayoutVars>
      </dgm:prSet>
      <dgm:spPr/>
    </dgm:pt>
    <dgm:pt modelId="{EA9C076B-DA7E-4FFD-9C88-93E609567045}" type="pres">
      <dgm:prSet presAssocID="{4B18B975-FD89-414E-8EBC-AE605BA8E0FE}" presName="Accent1" presStyleCnt="0"/>
      <dgm:spPr/>
    </dgm:pt>
    <dgm:pt modelId="{45D49875-00A6-438A-9D1E-2932FB2505BE}" type="pres">
      <dgm:prSet presAssocID="{4B18B975-FD89-414E-8EBC-AE605BA8E0FE}" presName="Accent" presStyleLbl="node1" presStyleIdx="0" presStyleCnt="7"/>
      <dgm:spPr/>
    </dgm:pt>
    <dgm:pt modelId="{4E15360A-7FD3-4915-9401-C6A7DCB0B543}" type="pres">
      <dgm:prSet presAssocID="{4B18B975-FD89-414E-8EBC-AE605BA8E0FE}" presName="Parent1" presStyleLbl="revTx" presStyleIdx="0" presStyleCnt="7">
        <dgm:presLayoutVars>
          <dgm:chMax val="1"/>
          <dgm:chPref val="1"/>
          <dgm:bulletEnabled val="1"/>
        </dgm:presLayoutVars>
      </dgm:prSet>
      <dgm:spPr/>
    </dgm:pt>
    <dgm:pt modelId="{F390F0EB-342E-49DC-94A0-3203BEF96693}" type="pres">
      <dgm:prSet presAssocID="{91771001-2320-4E9E-B66F-5DBE418A7296}" presName="Accent2" presStyleCnt="0"/>
      <dgm:spPr/>
    </dgm:pt>
    <dgm:pt modelId="{12D6965D-5E58-4072-91D8-E13CBA03B41E}" type="pres">
      <dgm:prSet presAssocID="{91771001-2320-4E9E-B66F-5DBE418A7296}" presName="Accent" presStyleLbl="node1" presStyleIdx="1" presStyleCnt="7"/>
      <dgm:spPr>
        <a:blipFill rotWithShape="0">
          <a:blip xmlns:r="http://schemas.openxmlformats.org/officeDocument/2006/relationships" r:embed="rId1"/>
          <a:stretch>
            <a:fillRect/>
          </a:stretch>
        </a:blipFill>
      </dgm:spPr>
    </dgm:pt>
    <dgm:pt modelId="{C6BB10F3-646A-432C-9B15-1DCEFFF54AA0}" type="pres">
      <dgm:prSet presAssocID="{91771001-2320-4E9E-B66F-5DBE418A7296}" presName="Parent2" presStyleLbl="revTx" presStyleIdx="1" presStyleCnt="7">
        <dgm:presLayoutVars>
          <dgm:chMax val="1"/>
          <dgm:chPref val="1"/>
          <dgm:bulletEnabled val="1"/>
        </dgm:presLayoutVars>
      </dgm:prSet>
      <dgm:spPr/>
    </dgm:pt>
    <dgm:pt modelId="{85C4181E-19AF-438B-BED2-9AA0561DE932}" type="pres">
      <dgm:prSet presAssocID="{0D6BD432-5BED-4583-8615-468439E8B958}" presName="Accent3" presStyleCnt="0"/>
      <dgm:spPr/>
    </dgm:pt>
    <dgm:pt modelId="{3AB540C8-D442-4B40-B6B2-7DF3EC779A71}" type="pres">
      <dgm:prSet presAssocID="{0D6BD432-5BED-4583-8615-468439E8B958}" presName="Accent" presStyleLbl="node1" presStyleIdx="2" presStyleCnt="7"/>
      <dgm:spPr/>
    </dgm:pt>
    <dgm:pt modelId="{29C378C7-4D1F-402A-BBD5-B91DBD8E36CB}" type="pres">
      <dgm:prSet presAssocID="{0D6BD432-5BED-4583-8615-468439E8B958}" presName="Parent3" presStyleLbl="revTx" presStyleIdx="2" presStyleCnt="7" custScaleX="130651">
        <dgm:presLayoutVars>
          <dgm:chMax val="1"/>
          <dgm:chPref val="1"/>
          <dgm:bulletEnabled val="1"/>
        </dgm:presLayoutVars>
      </dgm:prSet>
      <dgm:spPr/>
    </dgm:pt>
    <dgm:pt modelId="{91109E48-CDF7-40CE-A2D5-EFDE694EB5F3}" type="pres">
      <dgm:prSet presAssocID="{E5F7D411-5AD1-4A72-A976-AF463DB7803A}" presName="Accent4" presStyleCnt="0"/>
      <dgm:spPr/>
    </dgm:pt>
    <dgm:pt modelId="{B3EC3B9A-BBA7-4502-B133-6C80327F5503}" type="pres">
      <dgm:prSet presAssocID="{E5F7D411-5AD1-4A72-A976-AF463DB7803A}" presName="Accent" presStyleLbl="node1" presStyleIdx="3" presStyleCnt="7"/>
      <dgm:spPr/>
    </dgm:pt>
    <dgm:pt modelId="{ADD5B031-7A84-4405-903B-350FEB77B878}" type="pres">
      <dgm:prSet presAssocID="{E5F7D411-5AD1-4A72-A976-AF463DB7803A}" presName="Parent4" presStyleLbl="revTx" presStyleIdx="3" presStyleCnt="7">
        <dgm:presLayoutVars>
          <dgm:chMax val="1"/>
          <dgm:chPref val="1"/>
          <dgm:bulletEnabled val="1"/>
        </dgm:presLayoutVars>
      </dgm:prSet>
      <dgm:spPr/>
    </dgm:pt>
    <dgm:pt modelId="{B29AB729-E187-4C0F-A090-868DB4B2C226}" type="pres">
      <dgm:prSet presAssocID="{F2CC2D01-A84C-428B-8674-56C558A313D7}" presName="Accent5" presStyleCnt="0"/>
      <dgm:spPr/>
    </dgm:pt>
    <dgm:pt modelId="{744D918C-5384-4030-B728-676312F3B6D1}" type="pres">
      <dgm:prSet presAssocID="{F2CC2D01-A84C-428B-8674-56C558A313D7}" presName="Accent" presStyleLbl="node1" presStyleIdx="4" presStyleCnt="7"/>
      <dgm:spPr/>
    </dgm:pt>
    <dgm:pt modelId="{D73BA91E-EC9C-40AF-8464-F4D32E4EBFDF}" type="pres">
      <dgm:prSet presAssocID="{F2CC2D01-A84C-428B-8674-56C558A313D7}" presName="Parent5" presStyleLbl="revTx" presStyleIdx="4" presStyleCnt="7">
        <dgm:presLayoutVars>
          <dgm:chMax val="1"/>
          <dgm:chPref val="1"/>
          <dgm:bulletEnabled val="1"/>
        </dgm:presLayoutVars>
      </dgm:prSet>
      <dgm:spPr/>
    </dgm:pt>
    <dgm:pt modelId="{A1F7AB9E-F47C-4102-A6A4-E495E245020F}" type="pres">
      <dgm:prSet presAssocID="{498B254B-7ABA-4EFE-ACD9-6EA79EAD03AF}" presName="Accent6" presStyleCnt="0"/>
      <dgm:spPr/>
    </dgm:pt>
    <dgm:pt modelId="{DA0274C5-1C30-41C0-9FEC-576A56364598}" type="pres">
      <dgm:prSet presAssocID="{498B254B-7ABA-4EFE-ACD9-6EA79EAD03AF}" presName="Accent" presStyleLbl="node1" presStyleIdx="5" presStyleCnt="7"/>
      <dgm:spPr/>
    </dgm:pt>
    <dgm:pt modelId="{38264CAB-27F1-4D0C-AA14-5D2C4F045559}" type="pres">
      <dgm:prSet presAssocID="{498B254B-7ABA-4EFE-ACD9-6EA79EAD03AF}" presName="Parent6" presStyleLbl="revTx" presStyleIdx="5" presStyleCnt="7" custScaleX="126061">
        <dgm:presLayoutVars>
          <dgm:chMax val="1"/>
          <dgm:chPref val="1"/>
          <dgm:bulletEnabled val="1"/>
        </dgm:presLayoutVars>
      </dgm:prSet>
      <dgm:spPr/>
    </dgm:pt>
    <dgm:pt modelId="{E0CA4866-6898-41B1-BB3B-BB67446779BF}" type="pres">
      <dgm:prSet presAssocID="{F6FC054C-5ACC-4513-B598-6995809F0FA7}" presName="Accent7" presStyleCnt="0"/>
      <dgm:spPr/>
    </dgm:pt>
    <dgm:pt modelId="{DDC50546-1FF1-4A10-A756-BD3D13F09D1C}" type="pres">
      <dgm:prSet presAssocID="{F6FC054C-5ACC-4513-B598-6995809F0FA7}" presName="Accent" presStyleLbl="node1" presStyleIdx="6" presStyleCnt="7"/>
      <dgm:spPr/>
    </dgm:pt>
    <dgm:pt modelId="{953AF261-5EB6-4C14-91DB-FD46B3C7128E}" type="pres">
      <dgm:prSet presAssocID="{F6FC054C-5ACC-4513-B598-6995809F0FA7}" presName="Parent7" presStyleLbl="revTx" presStyleIdx="6" presStyleCnt="7">
        <dgm:presLayoutVars>
          <dgm:chMax val="1"/>
          <dgm:chPref val="1"/>
          <dgm:bulletEnabled val="1"/>
        </dgm:presLayoutVars>
      </dgm:prSet>
      <dgm:spPr/>
    </dgm:pt>
  </dgm:ptLst>
  <dgm:cxnLst>
    <dgm:cxn modelId="{DAC2B782-F39B-40E7-AE0E-1146F81E62CB}" srcId="{1F57C3D4-FD3D-4FD6-B87C-41FB884A0A83}" destId="{91771001-2320-4E9E-B66F-5DBE418A7296}" srcOrd="1" destOrd="0" parTransId="{7DAE647A-6B9A-45A7-8116-AF9DC181A91C}" sibTransId="{BAD2285C-21A7-4C8D-B1D4-4DF44C4456B1}"/>
    <dgm:cxn modelId="{06E7F75E-D406-4630-B143-337D50FDBDC2}" type="presOf" srcId="{498B254B-7ABA-4EFE-ACD9-6EA79EAD03AF}" destId="{38264CAB-27F1-4D0C-AA14-5D2C4F045559}" srcOrd="0" destOrd="0" presId="urn:microsoft.com/office/officeart/2009/layout/CircleArrowProcess"/>
    <dgm:cxn modelId="{46A73D93-FED4-42B6-8662-BA9A1589F1C5}" srcId="{1F57C3D4-FD3D-4FD6-B87C-41FB884A0A83}" destId="{4B18B975-FD89-414E-8EBC-AE605BA8E0FE}" srcOrd="0" destOrd="0" parTransId="{DA4F5DB9-0945-4EF3-9A98-47D685F63AFC}" sibTransId="{36C9AAA2-6759-4708-AC61-52F38D594CDB}"/>
    <dgm:cxn modelId="{1DC48211-0057-4DCF-A691-ADF8AEBBB070}" type="presOf" srcId="{F6FC054C-5ACC-4513-B598-6995809F0FA7}" destId="{953AF261-5EB6-4C14-91DB-FD46B3C7128E}" srcOrd="0" destOrd="0" presId="urn:microsoft.com/office/officeart/2009/layout/CircleArrowProcess"/>
    <dgm:cxn modelId="{D3B388DD-7ED7-479F-93CD-134932CBE04B}" type="presOf" srcId="{E5F7D411-5AD1-4A72-A976-AF463DB7803A}" destId="{ADD5B031-7A84-4405-903B-350FEB77B878}" srcOrd="0" destOrd="0" presId="urn:microsoft.com/office/officeart/2009/layout/CircleArrowProcess"/>
    <dgm:cxn modelId="{8A1D8944-952C-4259-AEA4-3BAF4C1D2AE8}" srcId="{1F57C3D4-FD3D-4FD6-B87C-41FB884A0A83}" destId="{F2CC2D01-A84C-428B-8674-56C558A313D7}" srcOrd="4" destOrd="0" parTransId="{7CCEB8ED-B0F4-45DC-AC58-9DA43D49D66C}" sibTransId="{823327C6-534A-4685-8C24-997D3B5B6694}"/>
    <dgm:cxn modelId="{40C651ED-45EC-473B-A575-E96BFDA4C257}" srcId="{1F57C3D4-FD3D-4FD6-B87C-41FB884A0A83}" destId="{E5F7D411-5AD1-4A72-A976-AF463DB7803A}" srcOrd="3" destOrd="0" parTransId="{9E3152A0-0DB6-438A-8E7A-2975DE797307}" sibTransId="{F42A8CDB-9CC5-4A70-9F4A-EF06AFA29313}"/>
    <dgm:cxn modelId="{1DF8EDF5-7511-4A24-BB8C-BB41A4ECB92D}" srcId="{1F57C3D4-FD3D-4FD6-B87C-41FB884A0A83}" destId="{0D6BD432-5BED-4583-8615-468439E8B958}" srcOrd="2" destOrd="0" parTransId="{BC1BE39A-7F9A-4DC3-BFB7-DEBBA466C6DC}" sibTransId="{870FF044-2B75-41CC-83C6-D274092E3E60}"/>
    <dgm:cxn modelId="{B76E00E8-1112-45E2-9661-C9F9EA49EA3B}" type="presOf" srcId="{4B18B975-FD89-414E-8EBC-AE605BA8E0FE}" destId="{4E15360A-7FD3-4915-9401-C6A7DCB0B543}" srcOrd="0" destOrd="0" presId="urn:microsoft.com/office/officeart/2009/layout/CircleArrowProcess"/>
    <dgm:cxn modelId="{75034D9D-FA43-44B9-8A45-DE0AE4E7DFD7}" type="presOf" srcId="{0D6BD432-5BED-4583-8615-468439E8B958}" destId="{29C378C7-4D1F-402A-BBD5-B91DBD8E36CB}" srcOrd="0" destOrd="0" presId="urn:microsoft.com/office/officeart/2009/layout/CircleArrowProcess"/>
    <dgm:cxn modelId="{D35F2EE6-29D5-4A21-A1F6-FD04D57773DC}" type="presOf" srcId="{1F57C3D4-FD3D-4FD6-B87C-41FB884A0A83}" destId="{3E9087DA-0184-4A1E-B63E-B10EE62ED4DF}" srcOrd="0" destOrd="0" presId="urn:microsoft.com/office/officeart/2009/layout/CircleArrowProcess"/>
    <dgm:cxn modelId="{514F3CE4-001D-4687-B8CE-3CE36BD3ECEB}" type="presOf" srcId="{F2CC2D01-A84C-428B-8674-56C558A313D7}" destId="{D73BA91E-EC9C-40AF-8464-F4D32E4EBFDF}" srcOrd="0" destOrd="0" presId="urn:microsoft.com/office/officeart/2009/layout/CircleArrowProcess"/>
    <dgm:cxn modelId="{D30677DC-8177-4905-8B51-875A54936944}" srcId="{1F57C3D4-FD3D-4FD6-B87C-41FB884A0A83}" destId="{F6FC054C-5ACC-4513-B598-6995809F0FA7}" srcOrd="6" destOrd="0" parTransId="{81A54BA3-2DA1-4A62-96D2-A399FBC54398}" sibTransId="{7E03C9EF-5E77-4876-A42B-D8E9495D3701}"/>
    <dgm:cxn modelId="{0B0FAA97-C108-4FA9-A134-CE2E59754B65}" srcId="{1F57C3D4-FD3D-4FD6-B87C-41FB884A0A83}" destId="{498B254B-7ABA-4EFE-ACD9-6EA79EAD03AF}" srcOrd="5" destOrd="0" parTransId="{50F4DE4A-40A5-4A12-8EBD-E1757E5210D7}" sibTransId="{03971067-CF1A-4F09-8E9D-D08CDD85BCC5}"/>
    <dgm:cxn modelId="{8168295F-CD9A-4BF9-8C42-58CA8ED30F65}" type="presOf" srcId="{91771001-2320-4E9E-B66F-5DBE418A7296}" destId="{C6BB10F3-646A-432C-9B15-1DCEFFF54AA0}" srcOrd="0" destOrd="0" presId="urn:microsoft.com/office/officeart/2009/layout/CircleArrowProcess"/>
    <dgm:cxn modelId="{BBA9C2EF-CC7E-4374-930E-FC7975D03BA0}" type="presParOf" srcId="{3E9087DA-0184-4A1E-B63E-B10EE62ED4DF}" destId="{EA9C076B-DA7E-4FFD-9C88-93E609567045}" srcOrd="0" destOrd="0" presId="urn:microsoft.com/office/officeart/2009/layout/CircleArrowProcess"/>
    <dgm:cxn modelId="{5DCEBCCA-9115-4AB5-A7F9-66352A77565D}" type="presParOf" srcId="{EA9C076B-DA7E-4FFD-9C88-93E609567045}" destId="{45D49875-00A6-438A-9D1E-2932FB2505BE}" srcOrd="0" destOrd="0" presId="urn:microsoft.com/office/officeart/2009/layout/CircleArrowProcess"/>
    <dgm:cxn modelId="{D0B628FE-7CC9-45B3-900F-83B5ED135585}" type="presParOf" srcId="{3E9087DA-0184-4A1E-B63E-B10EE62ED4DF}" destId="{4E15360A-7FD3-4915-9401-C6A7DCB0B543}" srcOrd="1" destOrd="0" presId="urn:microsoft.com/office/officeart/2009/layout/CircleArrowProcess"/>
    <dgm:cxn modelId="{D47EA8F7-D501-4C3E-9343-9ABCA59BF6B2}" type="presParOf" srcId="{3E9087DA-0184-4A1E-B63E-B10EE62ED4DF}" destId="{F390F0EB-342E-49DC-94A0-3203BEF96693}" srcOrd="2" destOrd="0" presId="urn:microsoft.com/office/officeart/2009/layout/CircleArrowProcess"/>
    <dgm:cxn modelId="{31936851-7A70-41C1-B406-7B78CF0F77C2}" type="presParOf" srcId="{F390F0EB-342E-49DC-94A0-3203BEF96693}" destId="{12D6965D-5E58-4072-91D8-E13CBA03B41E}" srcOrd="0" destOrd="0" presId="urn:microsoft.com/office/officeart/2009/layout/CircleArrowProcess"/>
    <dgm:cxn modelId="{DF6C9131-D270-42EF-8E53-2BA37390687C}" type="presParOf" srcId="{3E9087DA-0184-4A1E-B63E-B10EE62ED4DF}" destId="{C6BB10F3-646A-432C-9B15-1DCEFFF54AA0}" srcOrd="3" destOrd="0" presId="urn:microsoft.com/office/officeart/2009/layout/CircleArrowProcess"/>
    <dgm:cxn modelId="{1532AF0F-ADC0-41CD-BC64-A8A72A600FC1}" type="presParOf" srcId="{3E9087DA-0184-4A1E-B63E-B10EE62ED4DF}" destId="{85C4181E-19AF-438B-BED2-9AA0561DE932}" srcOrd="4" destOrd="0" presId="urn:microsoft.com/office/officeart/2009/layout/CircleArrowProcess"/>
    <dgm:cxn modelId="{C9520ACF-AD3B-42B7-AF7D-C76F2CAC4B0E}" type="presParOf" srcId="{85C4181E-19AF-438B-BED2-9AA0561DE932}" destId="{3AB540C8-D442-4B40-B6B2-7DF3EC779A71}" srcOrd="0" destOrd="0" presId="urn:microsoft.com/office/officeart/2009/layout/CircleArrowProcess"/>
    <dgm:cxn modelId="{A8204798-0F09-4811-8CFA-26D549FE3DC3}" type="presParOf" srcId="{3E9087DA-0184-4A1E-B63E-B10EE62ED4DF}" destId="{29C378C7-4D1F-402A-BBD5-B91DBD8E36CB}" srcOrd="5" destOrd="0" presId="urn:microsoft.com/office/officeart/2009/layout/CircleArrowProcess"/>
    <dgm:cxn modelId="{9FBBBFC4-972E-4783-BF27-DE5497B4FE2F}" type="presParOf" srcId="{3E9087DA-0184-4A1E-B63E-B10EE62ED4DF}" destId="{91109E48-CDF7-40CE-A2D5-EFDE694EB5F3}" srcOrd="6" destOrd="0" presId="urn:microsoft.com/office/officeart/2009/layout/CircleArrowProcess"/>
    <dgm:cxn modelId="{FF8617D8-F22B-4CC3-866D-407C8D4B2DED}" type="presParOf" srcId="{91109E48-CDF7-40CE-A2D5-EFDE694EB5F3}" destId="{B3EC3B9A-BBA7-4502-B133-6C80327F5503}" srcOrd="0" destOrd="0" presId="urn:microsoft.com/office/officeart/2009/layout/CircleArrowProcess"/>
    <dgm:cxn modelId="{C7EF029E-F0F2-40E7-A7A7-073D9846F58A}" type="presParOf" srcId="{3E9087DA-0184-4A1E-B63E-B10EE62ED4DF}" destId="{ADD5B031-7A84-4405-903B-350FEB77B878}" srcOrd="7" destOrd="0" presId="urn:microsoft.com/office/officeart/2009/layout/CircleArrowProcess"/>
    <dgm:cxn modelId="{595200E6-1CF4-4C65-8249-BC5946351730}" type="presParOf" srcId="{3E9087DA-0184-4A1E-B63E-B10EE62ED4DF}" destId="{B29AB729-E187-4C0F-A090-868DB4B2C226}" srcOrd="8" destOrd="0" presId="urn:microsoft.com/office/officeart/2009/layout/CircleArrowProcess"/>
    <dgm:cxn modelId="{7FC34F5C-B81C-4078-9695-CA5312C137E2}" type="presParOf" srcId="{B29AB729-E187-4C0F-A090-868DB4B2C226}" destId="{744D918C-5384-4030-B728-676312F3B6D1}" srcOrd="0" destOrd="0" presId="urn:microsoft.com/office/officeart/2009/layout/CircleArrowProcess"/>
    <dgm:cxn modelId="{85FC3DC7-DDFA-48BC-8197-2D3C9144C391}" type="presParOf" srcId="{3E9087DA-0184-4A1E-B63E-B10EE62ED4DF}" destId="{D73BA91E-EC9C-40AF-8464-F4D32E4EBFDF}" srcOrd="9" destOrd="0" presId="urn:microsoft.com/office/officeart/2009/layout/CircleArrowProcess"/>
    <dgm:cxn modelId="{DFA7567E-48CE-4A3E-B3A3-7E4813BF1B7E}" type="presParOf" srcId="{3E9087DA-0184-4A1E-B63E-B10EE62ED4DF}" destId="{A1F7AB9E-F47C-4102-A6A4-E495E245020F}" srcOrd="10" destOrd="0" presId="urn:microsoft.com/office/officeart/2009/layout/CircleArrowProcess"/>
    <dgm:cxn modelId="{CA50B278-E6D0-49F4-8717-61E55AC2BCD2}" type="presParOf" srcId="{A1F7AB9E-F47C-4102-A6A4-E495E245020F}" destId="{DA0274C5-1C30-41C0-9FEC-576A56364598}" srcOrd="0" destOrd="0" presId="urn:microsoft.com/office/officeart/2009/layout/CircleArrowProcess"/>
    <dgm:cxn modelId="{B2FB27F6-36C6-4F44-92A8-897F0A34F963}" type="presParOf" srcId="{3E9087DA-0184-4A1E-B63E-B10EE62ED4DF}" destId="{38264CAB-27F1-4D0C-AA14-5D2C4F045559}" srcOrd="11" destOrd="0" presId="urn:microsoft.com/office/officeart/2009/layout/CircleArrowProcess"/>
    <dgm:cxn modelId="{B8FEA6E5-3145-46CD-8107-E6295B9B7CA3}" type="presParOf" srcId="{3E9087DA-0184-4A1E-B63E-B10EE62ED4DF}" destId="{E0CA4866-6898-41B1-BB3B-BB67446779BF}" srcOrd="12" destOrd="0" presId="urn:microsoft.com/office/officeart/2009/layout/CircleArrowProcess"/>
    <dgm:cxn modelId="{DCBDCF8C-34DF-416C-84B7-898B9BD26B9F}" type="presParOf" srcId="{E0CA4866-6898-41B1-BB3B-BB67446779BF}" destId="{DDC50546-1FF1-4A10-A756-BD3D13F09D1C}" srcOrd="0" destOrd="0" presId="urn:microsoft.com/office/officeart/2009/layout/CircleArrowProcess"/>
    <dgm:cxn modelId="{6D35BFE2-F134-4BE0-9C3C-7F002533DC2D}" type="presParOf" srcId="{3E9087DA-0184-4A1E-B63E-B10EE62ED4DF}" destId="{953AF261-5EB6-4C14-91DB-FD46B3C7128E}" srcOrd="13" destOrd="0" presId="urn:microsoft.com/office/officeart/2009/layout/CircleArrowProcess"/>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DFB8564-C50B-464E-8955-86FDCE91B051}">
      <dsp:nvSpPr>
        <dsp:cNvPr id="0" name=""/>
        <dsp:cNvSpPr/>
      </dsp:nvSpPr>
      <dsp:spPr>
        <a:xfrm>
          <a:off x="3420073" y="0"/>
          <a:ext cx="1362360"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75000"/>
                </a:schemeClr>
              </a:solidFill>
            </a:rPr>
            <a:t>Requirements/ Design </a:t>
          </a:r>
        </a:p>
        <a:p>
          <a:pPr marL="0" lvl="0" indent="0" algn="ctr" defTabSz="622300">
            <a:lnSpc>
              <a:spcPct val="90000"/>
            </a:lnSpc>
            <a:spcBef>
              <a:spcPct val="0"/>
            </a:spcBef>
            <a:spcAft>
              <a:spcPct val="35000"/>
            </a:spcAft>
            <a:buNone/>
          </a:pPr>
          <a:r>
            <a:rPr lang="en-US" sz="1400" b="1" kern="1200">
              <a:solidFill>
                <a:schemeClr val="tx2">
                  <a:lumMod val="75000"/>
                </a:schemeClr>
              </a:solidFill>
            </a:rPr>
            <a:t>Analysis</a:t>
          </a:r>
        </a:p>
      </dsp:txBody>
      <dsp:txXfrm>
        <a:off x="3420073" y="0"/>
        <a:ext cx="1362360" cy="762023"/>
      </dsp:txXfrm>
    </dsp:sp>
    <dsp:sp modelId="{DFBD88DE-D83E-4265-A7DB-7E9A2B027D64}">
      <dsp:nvSpPr>
        <dsp:cNvPr id="0" name=""/>
        <dsp:cNvSpPr/>
      </dsp:nvSpPr>
      <dsp:spPr>
        <a:xfrm>
          <a:off x="1292485" y="-104261"/>
          <a:ext cx="3721419" cy="3721419"/>
        </a:xfrm>
        <a:prstGeom prst="circularArrow">
          <a:avLst>
            <a:gd name="adj1" fmla="val 3993"/>
            <a:gd name="adj2" fmla="val 250502"/>
            <a:gd name="adj3" fmla="val 20790189"/>
            <a:gd name="adj4" fmla="val 19451618"/>
            <a:gd name="adj5" fmla="val 4658"/>
          </a:avLst>
        </a:prstGeom>
        <a:gradFill rotWithShape="0">
          <a:gsLst>
            <a:gs pos="0">
              <a:schemeClr val="accent5">
                <a:hueOff val="0"/>
                <a:satOff val="0"/>
                <a:lumOff val="0"/>
                <a:alphaOff val="0"/>
                <a:shade val="51000"/>
                <a:satMod val="130000"/>
              </a:schemeClr>
            </a:gs>
            <a:gs pos="80000">
              <a:schemeClr val="accent5">
                <a:hueOff val="0"/>
                <a:satOff val="0"/>
                <a:lumOff val="0"/>
                <a:alphaOff val="0"/>
                <a:shade val="93000"/>
                <a:satMod val="130000"/>
              </a:schemeClr>
            </a:gs>
            <a:gs pos="100000">
              <a:schemeClr val="accent5">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BAFB6A74-4730-4A96-90B4-43F3694456D0}">
      <dsp:nvSpPr>
        <dsp:cNvPr id="0" name=""/>
        <dsp:cNvSpPr/>
      </dsp:nvSpPr>
      <dsp:spPr>
        <a:xfrm>
          <a:off x="4492723" y="1481125"/>
          <a:ext cx="762023"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50000"/>
                </a:schemeClr>
              </a:solidFill>
            </a:rPr>
            <a:t>Test Planning</a:t>
          </a:r>
        </a:p>
      </dsp:txBody>
      <dsp:txXfrm>
        <a:off x="4492723" y="1481125"/>
        <a:ext cx="762023" cy="762023"/>
      </dsp:txXfrm>
    </dsp:sp>
    <dsp:sp modelId="{D862CE69-79ED-4E5A-AAE2-DFC4BA76930B}">
      <dsp:nvSpPr>
        <dsp:cNvPr id="0" name=""/>
        <dsp:cNvSpPr/>
      </dsp:nvSpPr>
      <dsp:spPr>
        <a:xfrm>
          <a:off x="1313293" y="1427"/>
          <a:ext cx="3721419" cy="3721419"/>
        </a:xfrm>
        <a:prstGeom prst="circularArrow">
          <a:avLst>
            <a:gd name="adj1" fmla="val 3993"/>
            <a:gd name="adj2" fmla="val 250502"/>
            <a:gd name="adj3" fmla="val 2365559"/>
            <a:gd name="adj4" fmla="val 777208"/>
            <a:gd name="adj5" fmla="val 4658"/>
          </a:avLst>
        </a:prstGeom>
        <a:gradFill rotWithShape="0">
          <a:gsLst>
            <a:gs pos="0">
              <a:schemeClr val="accent5">
                <a:hueOff val="-1986775"/>
                <a:satOff val="7962"/>
                <a:lumOff val="1726"/>
                <a:alphaOff val="0"/>
                <a:shade val="51000"/>
                <a:satMod val="130000"/>
              </a:schemeClr>
            </a:gs>
            <a:gs pos="80000">
              <a:schemeClr val="accent5">
                <a:hueOff val="-1986775"/>
                <a:satOff val="7962"/>
                <a:lumOff val="1726"/>
                <a:alphaOff val="0"/>
                <a:shade val="93000"/>
                <a:satMod val="130000"/>
              </a:schemeClr>
            </a:gs>
            <a:gs pos="100000">
              <a:schemeClr val="accent5">
                <a:hueOff val="-1986775"/>
                <a:satOff val="7962"/>
                <a:lumOff val="1726"/>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D044EDB2-1742-4220-8AE9-49DB5C46115B}">
      <dsp:nvSpPr>
        <dsp:cNvPr id="0" name=""/>
        <dsp:cNvSpPr/>
      </dsp:nvSpPr>
      <dsp:spPr>
        <a:xfrm>
          <a:off x="3642857" y="2953137"/>
          <a:ext cx="762023"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50000"/>
                </a:schemeClr>
              </a:solidFill>
            </a:rPr>
            <a:t>Test Design</a:t>
          </a:r>
        </a:p>
      </dsp:txBody>
      <dsp:txXfrm>
        <a:off x="3642857" y="2953137"/>
        <a:ext cx="762023" cy="762023"/>
      </dsp:txXfrm>
    </dsp:sp>
    <dsp:sp modelId="{8F25B838-B2E4-4FF1-ACCD-10FDD39A5B82}">
      <dsp:nvSpPr>
        <dsp:cNvPr id="0" name=""/>
        <dsp:cNvSpPr/>
      </dsp:nvSpPr>
      <dsp:spPr>
        <a:xfrm>
          <a:off x="1313293" y="1427"/>
          <a:ext cx="3721419" cy="3721419"/>
        </a:xfrm>
        <a:prstGeom prst="circularArrow">
          <a:avLst>
            <a:gd name="adj1" fmla="val 3993"/>
            <a:gd name="adj2" fmla="val 250502"/>
            <a:gd name="adj3" fmla="val 5752620"/>
            <a:gd name="adj4" fmla="val 4439274"/>
            <a:gd name="adj5" fmla="val 4658"/>
          </a:avLst>
        </a:prstGeom>
        <a:gradFill rotWithShape="0">
          <a:gsLst>
            <a:gs pos="0">
              <a:schemeClr val="accent5">
                <a:hueOff val="-3973551"/>
                <a:satOff val="15924"/>
                <a:lumOff val="3451"/>
                <a:alphaOff val="0"/>
                <a:shade val="51000"/>
                <a:satMod val="130000"/>
              </a:schemeClr>
            </a:gs>
            <a:gs pos="80000">
              <a:schemeClr val="accent5">
                <a:hueOff val="-3973551"/>
                <a:satOff val="15924"/>
                <a:lumOff val="3451"/>
                <a:alphaOff val="0"/>
                <a:shade val="93000"/>
                <a:satMod val="130000"/>
              </a:schemeClr>
            </a:gs>
            <a:gs pos="100000">
              <a:schemeClr val="accent5">
                <a:hueOff val="-3973551"/>
                <a:satOff val="15924"/>
                <a:lumOff val="3451"/>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AEB50443-2CDC-409A-BD06-0CE7D4C0169D}">
      <dsp:nvSpPr>
        <dsp:cNvPr id="0" name=""/>
        <dsp:cNvSpPr/>
      </dsp:nvSpPr>
      <dsp:spPr>
        <a:xfrm>
          <a:off x="1770946" y="2953137"/>
          <a:ext cx="1106381"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50000"/>
                </a:schemeClr>
              </a:solidFill>
            </a:rPr>
            <a:t>Test Environment Setup</a:t>
          </a:r>
        </a:p>
      </dsp:txBody>
      <dsp:txXfrm>
        <a:off x="1770946" y="2953137"/>
        <a:ext cx="1106381" cy="762023"/>
      </dsp:txXfrm>
    </dsp:sp>
    <dsp:sp modelId="{24948228-51C2-4E2D-984F-30961F422B43}">
      <dsp:nvSpPr>
        <dsp:cNvPr id="0" name=""/>
        <dsp:cNvSpPr/>
      </dsp:nvSpPr>
      <dsp:spPr>
        <a:xfrm>
          <a:off x="1313293" y="1427"/>
          <a:ext cx="3721419" cy="3721419"/>
        </a:xfrm>
        <a:prstGeom prst="circularArrow">
          <a:avLst>
            <a:gd name="adj1" fmla="val 3993"/>
            <a:gd name="adj2" fmla="val 250502"/>
            <a:gd name="adj3" fmla="val 9772290"/>
            <a:gd name="adj4" fmla="val 8404135"/>
            <a:gd name="adj5" fmla="val 4658"/>
          </a:avLst>
        </a:prstGeom>
        <a:gradFill rotWithShape="0">
          <a:gsLst>
            <a:gs pos="0">
              <a:schemeClr val="accent5">
                <a:hueOff val="-5960326"/>
                <a:satOff val="23887"/>
                <a:lumOff val="5177"/>
                <a:alphaOff val="0"/>
                <a:shade val="51000"/>
                <a:satMod val="130000"/>
              </a:schemeClr>
            </a:gs>
            <a:gs pos="80000">
              <a:schemeClr val="accent5">
                <a:hueOff val="-5960326"/>
                <a:satOff val="23887"/>
                <a:lumOff val="5177"/>
                <a:alphaOff val="0"/>
                <a:shade val="93000"/>
                <a:satMod val="130000"/>
              </a:schemeClr>
            </a:gs>
            <a:gs pos="100000">
              <a:schemeClr val="accent5">
                <a:hueOff val="-5960326"/>
                <a:satOff val="23887"/>
                <a:lumOff val="5177"/>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88919FAA-4674-43F3-B954-FE3C001E9319}">
      <dsp:nvSpPr>
        <dsp:cNvPr id="0" name=""/>
        <dsp:cNvSpPr/>
      </dsp:nvSpPr>
      <dsp:spPr>
        <a:xfrm>
          <a:off x="1031752" y="1481125"/>
          <a:ext cx="885036"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50000"/>
                </a:schemeClr>
              </a:solidFill>
            </a:rPr>
            <a:t>Test Execution</a:t>
          </a:r>
        </a:p>
      </dsp:txBody>
      <dsp:txXfrm>
        <a:off x="1031752" y="1481125"/>
        <a:ext cx="885036" cy="762023"/>
      </dsp:txXfrm>
    </dsp:sp>
    <dsp:sp modelId="{4ED61F60-75A3-490B-A206-E78B6836799D}">
      <dsp:nvSpPr>
        <dsp:cNvPr id="0" name=""/>
        <dsp:cNvSpPr/>
      </dsp:nvSpPr>
      <dsp:spPr>
        <a:xfrm>
          <a:off x="1313293" y="1427"/>
          <a:ext cx="3721419" cy="3721419"/>
        </a:xfrm>
        <a:prstGeom prst="circularArrow">
          <a:avLst>
            <a:gd name="adj1" fmla="val 3993"/>
            <a:gd name="adj2" fmla="val 250502"/>
            <a:gd name="adj3" fmla="val 12945363"/>
            <a:gd name="adj4" fmla="val 11577208"/>
            <a:gd name="adj5" fmla="val 4658"/>
          </a:avLst>
        </a:prstGeom>
        <a:gradFill rotWithShape="0">
          <a:gsLst>
            <a:gs pos="0">
              <a:schemeClr val="accent5">
                <a:hueOff val="-7947101"/>
                <a:satOff val="31849"/>
                <a:lumOff val="6902"/>
                <a:alphaOff val="0"/>
                <a:shade val="51000"/>
                <a:satMod val="130000"/>
              </a:schemeClr>
            </a:gs>
            <a:gs pos="80000">
              <a:schemeClr val="accent5">
                <a:hueOff val="-7947101"/>
                <a:satOff val="31849"/>
                <a:lumOff val="6902"/>
                <a:alphaOff val="0"/>
                <a:shade val="93000"/>
                <a:satMod val="130000"/>
              </a:schemeClr>
            </a:gs>
            <a:gs pos="100000">
              <a:schemeClr val="accent5">
                <a:hueOff val="-7947101"/>
                <a:satOff val="31849"/>
                <a:lumOff val="6902"/>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004011B4-F1A3-47F3-B647-4918EFE76868}">
      <dsp:nvSpPr>
        <dsp:cNvPr id="0" name=""/>
        <dsp:cNvSpPr/>
      </dsp:nvSpPr>
      <dsp:spPr>
        <a:xfrm>
          <a:off x="1846679" y="9114"/>
          <a:ext cx="954914" cy="76202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r>
            <a:rPr lang="en-US" sz="1400" b="1" kern="1200">
              <a:solidFill>
                <a:schemeClr val="tx2">
                  <a:lumMod val="50000"/>
                </a:schemeClr>
              </a:solidFill>
            </a:rPr>
            <a:t>Test Reporting</a:t>
          </a:r>
        </a:p>
      </dsp:txBody>
      <dsp:txXfrm>
        <a:off x="1846679" y="9114"/>
        <a:ext cx="954914" cy="762023"/>
      </dsp:txXfrm>
    </dsp:sp>
    <dsp:sp modelId="{45C7CF62-4B77-4F33-A43B-CA84AB3998D0}">
      <dsp:nvSpPr>
        <dsp:cNvPr id="0" name=""/>
        <dsp:cNvSpPr/>
      </dsp:nvSpPr>
      <dsp:spPr>
        <a:xfrm>
          <a:off x="1442257" y="-32901"/>
          <a:ext cx="3721419" cy="3721419"/>
        </a:xfrm>
        <a:prstGeom prst="circularArrow">
          <a:avLst>
            <a:gd name="adj1" fmla="val 3993"/>
            <a:gd name="adj2" fmla="val 250502"/>
            <a:gd name="adj3" fmla="val 16186537"/>
            <a:gd name="adj4" fmla="val 15170649"/>
            <a:gd name="adj5" fmla="val 4658"/>
          </a:avLst>
        </a:prstGeom>
        <a:gradFill rotWithShape="0">
          <a:gsLst>
            <a:gs pos="0">
              <a:schemeClr val="accent5">
                <a:hueOff val="-9933876"/>
                <a:satOff val="39811"/>
                <a:lumOff val="8628"/>
                <a:alphaOff val="0"/>
                <a:shade val="51000"/>
                <a:satMod val="130000"/>
              </a:schemeClr>
            </a:gs>
            <a:gs pos="80000">
              <a:schemeClr val="accent5">
                <a:hueOff val="-9933876"/>
                <a:satOff val="39811"/>
                <a:lumOff val="8628"/>
                <a:alphaOff val="0"/>
                <a:shade val="93000"/>
                <a:satMod val="130000"/>
              </a:schemeClr>
            </a:gs>
            <a:gs pos="100000">
              <a:schemeClr val="accent5">
                <a:hueOff val="-9933876"/>
                <a:satOff val="39811"/>
                <a:lumOff val="8628"/>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DBE5660-7AB7-4D41-A536-37CC15E9FF9B}">
      <dsp:nvSpPr>
        <dsp:cNvPr id="0" name=""/>
        <dsp:cNvSpPr/>
      </dsp:nvSpPr>
      <dsp:spPr>
        <a:xfrm>
          <a:off x="1966799" y="0"/>
          <a:ext cx="786719" cy="620485"/>
        </a:xfrm>
        <a:prstGeom prst="trapezoid">
          <a:avLst>
            <a:gd name="adj" fmla="val 63395"/>
          </a:avLst>
        </a:prstGeom>
        <a:solidFill>
          <a:schemeClr val="accent5">
            <a:hueOff val="0"/>
            <a:satOff val="0"/>
            <a:lumOff val="0"/>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ctr" anchorCtr="0">
          <a:noAutofit/>
        </a:bodyPr>
        <a:lstStyle/>
        <a:p>
          <a:pPr marL="0" lvl="0" indent="0" algn="ctr" defTabSz="711200">
            <a:lnSpc>
              <a:spcPct val="90000"/>
            </a:lnSpc>
            <a:spcBef>
              <a:spcPct val="0"/>
            </a:spcBef>
            <a:spcAft>
              <a:spcPct val="35000"/>
            </a:spcAft>
            <a:buNone/>
          </a:pPr>
          <a:r>
            <a:rPr lang="en-US" sz="1600" kern="1200"/>
            <a:t>Business Needs</a:t>
          </a:r>
        </a:p>
      </dsp:txBody>
      <dsp:txXfrm>
        <a:off x="1966799" y="0"/>
        <a:ext cx="786719" cy="620485"/>
      </dsp:txXfrm>
    </dsp:sp>
    <dsp:sp modelId="{FF1046AA-B8EB-48D1-9B88-22C05CB2F383}">
      <dsp:nvSpPr>
        <dsp:cNvPr id="0" name=""/>
        <dsp:cNvSpPr/>
      </dsp:nvSpPr>
      <dsp:spPr>
        <a:xfrm>
          <a:off x="1573439" y="620485"/>
          <a:ext cx="1573439" cy="620485"/>
        </a:xfrm>
        <a:prstGeom prst="trapezoid">
          <a:avLst>
            <a:gd name="adj" fmla="val 63395"/>
          </a:avLst>
        </a:prstGeom>
        <a:solidFill>
          <a:schemeClr val="accent5">
            <a:hueOff val="-1986775"/>
            <a:satOff val="7962"/>
            <a:lumOff val="1726"/>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ctr" defTabSz="800100">
            <a:lnSpc>
              <a:spcPct val="90000"/>
            </a:lnSpc>
            <a:spcBef>
              <a:spcPct val="0"/>
            </a:spcBef>
            <a:spcAft>
              <a:spcPct val="35000"/>
            </a:spcAft>
            <a:buNone/>
          </a:pPr>
          <a:r>
            <a:rPr lang="en-US" sz="1800" kern="1200"/>
            <a:t>Features</a:t>
          </a:r>
        </a:p>
      </dsp:txBody>
      <dsp:txXfrm>
        <a:off x="1848791" y="620485"/>
        <a:ext cx="1022735" cy="620485"/>
      </dsp:txXfrm>
    </dsp:sp>
    <dsp:sp modelId="{EAFD059B-6C8D-445E-9042-0A5611A56BB5}">
      <dsp:nvSpPr>
        <dsp:cNvPr id="0" name=""/>
        <dsp:cNvSpPr/>
      </dsp:nvSpPr>
      <dsp:spPr>
        <a:xfrm>
          <a:off x="1180079" y="1240970"/>
          <a:ext cx="2360159" cy="620485"/>
        </a:xfrm>
        <a:prstGeom prst="trapezoid">
          <a:avLst>
            <a:gd name="adj" fmla="val 63395"/>
          </a:avLst>
        </a:prstGeom>
        <a:solidFill>
          <a:schemeClr val="accent5">
            <a:hueOff val="-3973551"/>
            <a:satOff val="15924"/>
            <a:lumOff val="3451"/>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ctr" anchorCtr="0">
          <a:noAutofit/>
        </a:bodyPr>
        <a:lstStyle/>
        <a:p>
          <a:pPr marL="0" lvl="0" indent="0" algn="ctr" defTabSz="711200">
            <a:lnSpc>
              <a:spcPct val="90000"/>
            </a:lnSpc>
            <a:spcBef>
              <a:spcPct val="0"/>
            </a:spcBef>
            <a:spcAft>
              <a:spcPct val="35000"/>
            </a:spcAft>
            <a:buNone/>
          </a:pPr>
          <a:r>
            <a:rPr lang="en-US" sz="1600" kern="1200"/>
            <a:t>Use Cases</a:t>
          </a:r>
        </a:p>
      </dsp:txBody>
      <dsp:txXfrm>
        <a:off x="1593107" y="1240970"/>
        <a:ext cx="1534103" cy="620485"/>
      </dsp:txXfrm>
    </dsp:sp>
    <dsp:sp modelId="{3C6FBCF2-4C8E-4749-A879-DBD4DAD541A0}">
      <dsp:nvSpPr>
        <dsp:cNvPr id="0" name=""/>
        <dsp:cNvSpPr/>
      </dsp:nvSpPr>
      <dsp:spPr>
        <a:xfrm>
          <a:off x="786719" y="1861456"/>
          <a:ext cx="3146878" cy="620485"/>
        </a:xfrm>
        <a:prstGeom prst="trapezoid">
          <a:avLst>
            <a:gd name="adj" fmla="val 63395"/>
          </a:avLst>
        </a:prstGeom>
        <a:solidFill>
          <a:schemeClr val="accent5">
            <a:hueOff val="-5960326"/>
            <a:satOff val="23887"/>
            <a:lumOff val="5177"/>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ctr" anchorCtr="0">
          <a:noAutofit/>
        </a:bodyPr>
        <a:lstStyle/>
        <a:p>
          <a:pPr marL="0" lvl="0" indent="0" algn="ctr" defTabSz="711200">
            <a:lnSpc>
              <a:spcPct val="90000"/>
            </a:lnSpc>
            <a:spcBef>
              <a:spcPct val="0"/>
            </a:spcBef>
            <a:spcAft>
              <a:spcPct val="35000"/>
            </a:spcAft>
            <a:buNone/>
          </a:pPr>
          <a:r>
            <a:rPr lang="en-US" sz="1600" kern="1200"/>
            <a:t>Test Scenarios</a:t>
          </a:r>
        </a:p>
      </dsp:txBody>
      <dsp:txXfrm>
        <a:off x="1337423" y="1861456"/>
        <a:ext cx="2045471" cy="620485"/>
      </dsp:txXfrm>
    </dsp:sp>
    <dsp:sp modelId="{4158A1C8-46AC-46CA-8B64-4F9788EA14DB}">
      <dsp:nvSpPr>
        <dsp:cNvPr id="0" name=""/>
        <dsp:cNvSpPr/>
      </dsp:nvSpPr>
      <dsp:spPr>
        <a:xfrm>
          <a:off x="393359" y="2481942"/>
          <a:ext cx="3933598" cy="620485"/>
        </a:xfrm>
        <a:prstGeom prst="trapezoid">
          <a:avLst>
            <a:gd name="adj" fmla="val 63395"/>
          </a:avLst>
        </a:prstGeom>
        <a:solidFill>
          <a:schemeClr val="accent5">
            <a:hueOff val="-7947101"/>
            <a:satOff val="31849"/>
            <a:lumOff val="6902"/>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ctr" anchorCtr="0">
          <a:noAutofit/>
        </a:bodyPr>
        <a:lstStyle/>
        <a:p>
          <a:pPr marL="0" lvl="0" indent="0" algn="ctr" defTabSz="711200">
            <a:lnSpc>
              <a:spcPct val="90000"/>
            </a:lnSpc>
            <a:spcBef>
              <a:spcPct val="0"/>
            </a:spcBef>
            <a:spcAft>
              <a:spcPct val="35000"/>
            </a:spcAft>
            <a:buNone/>
          </a:pPr>
          <a:r>
            <a:rPr lang="en-US" sz="1600" kern="1200"/>
            <a:t>Test Conditions</a:t>
          </a:r>
        </a:p>
      </dsp:txBody>
      <dsp:txXfrm>
        <a:off x="1081739" y="2481942"/>
        <a:ext cx="2556838" cy="620485"/>
      </dsp:txXfrm>
    </dsp:sp>
    <dsp:sp modelId="{0AAC9965-E884-457D-82E7-854406A47768}">
      <dsp:nvSpPr>
        <dsp:cNvPr id="0" name=""/>
        <dsp:cNvSpPr/>
      </dsp:nvSpPr>
      <dsp:spPr>
        <a:xfrm>
          <a:off x="0" y="3102427"/>
          <a:ext cx="4720318" cy="620485"/>
        </a:xfrm>
        <a:prstGeom prst="trapezoid">
          <a:avLst>
            <a:gd name="adj" fmla="val 63395"/>
          </a:avLst>
        </a:prstGeom>
        <a:solidFill>
          <a:schemeClr val="accent5">
            <a:hueOff val="-9933876"/>
            <a:satOff val="39811"/>
            <a:lumOff val="8628"/>
            <a:alphaOff val="0"/>
          </a:schemeClr>
        </a:solidFill>
        <a:ln>
          <a:noFill/>
        </a:ln>
        <a:effectLst/>
        <a:sp3d extrusionH="381000" contourW="38100" prstMaterial="matte">
          <a:contourClr>
            <a:schemeClr val="lt1"/>
          </a:contourClr>
        </a:sp3d>
      </dsp:spPr>
      <dsp:style>
        <a:lnRef idx="0">
          <a:scrgbClr r="0" g="0" b="0"/>
        </a:lnRef>
        <a:fillRef idx="1">
          <a:scrgbClr r="0" g="0" b="0"/>
        </a:fillRef>
        <a:effectRef idx="0">
          <a:scrgbClr r="0" g="0" b="0"/>
        </a:effectRef>
        <a:fontRef idx="minor">
          <a:schemeClr val="lt1"/>
        </a:fontRef>
      </dsp:style>
      <dsp:txBody>
        <a:bodyPr spcFirstLastPara="0" vert="horz" wrap="square" lIns="20320" tIns="20320" rIns="20320" bIns="20320" numCol="1" spcCol="1270" anchor="ctr" anchorCtr="0">
          <a:noAutofit/>
        </a:bodyPr>
        <a:lstStyle/>
        <a:p>
          <a:pPr marL="0" lvl="0" indent="0" algn="ctr" defTabSz="711200">
            <a:lnSpc>
              <a:spcPct val="90000"/>
            </a:lnSpc>
            <a:spcBef>
              <a:spcPct val="0"/>
            </a:spcBef>
            <a:spcAft>
              <a:spcPct val="35000"/>
            </a:spcAft>
            <a:buNone/>
          </a:pPr>
          <a:r>
            <a:rPr lang="en-US" sz="1600" kern="1200"/>
            <a:t>Test Cases</a:t>
          </a:r>
        </a:p>
      </dsp:txBody>
      <dsp:txXfrm>
        <a:off x="826055" y="3102427"/>
        <a:ext cx="3068206" cy="620485"/>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5D49875-00A6-438A-9D1E-2932FB2505BE}">
      <dsp:nvSpPr>
        <dsp:cNvPr id="0" name=""/>
        <dsp:cNvSpPr/>
      </dsp:nvSpPr>
      <dsp:spPr>
        <a:xfrm>
          <a:off x="720518" y="394195"/>
          <a:ext cx="1249132" cy="1249241"/>
        </a:xfrm>
        <a:prstGeom prst="circularArrow">
          <a:avLst>
            <a:gd name="adj1" fmla="val 10980"/>
            <a:gd name="adj2" fmla="val 1142322"/>
            <a:gd name="adj3" fmla="val 4500000"/>
            <a:gd name="adj4" fmla="val 10800000"/>
            <a:gd name="adj5" fmla="val 12500"/>
          </a:avLst>
        </a:prstGeom>
        <a:solidFill>
          <a:schemeClr val="accent5">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4E15360A-7FD3-4915-9401-C6A7DCB0B543}">
      <dsp:nvSpPr>
        <dsp:cNvPr id="0" name=""/>
        <dsp:cNvSpPr/>
      </dsp:nvSpPr>
      <dsp:spPr>
        <a:xfrm>
          <a:off x="996306" y="846525"/>
          <a:ext cx="697086"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New</a:t>
          </a:r>
        </a:p>
      </dsp:txBody>
      <dsp:txXfrm>
        <a:off x="996306" y="846525"/>
        <a:ext cx="697086" cy="348409"/>
      </dsp:txXfrm>
    </dsp:sp>
    <dsp:sp modelId="{12D6965D-5E58-4072-91D8-E13CBA03B41E}">
      <dsp:nvSpPr>
        <dsp:cNvPr id="0" name=""/>
        <dsp:cNvSpPr/>
      </dsp:nvSpPr>
      <dsp:spPr>
        <a:xfrm>
          <a:off x="373497" y="1111798"/>
          <a:ext cx="1249132" cy="1249241"/>
        </a:xfrm>
        <a:prstGeom prst="leftCircularArrow">
          <a:avLst>
            <a:gd name="adj1" fmla="val 10980"/>
            <a:gd name="adj2" fmla="val 1142322"/>
            <a:gd name="adj3" fmla="val 6300000"/>
            <a:gd name="adj4" fmla="val 18900000"/>
            <a:gd name="adj5" fmla="val 12500"/>
          </a:avLst>
        </a:prstGeom>
        <a:blipFill rotWithShape="0">
          <a:blip xmlns:r="http://schemas.openxmlformats.org/officeDocument/2006/relationships" r:embed="rId1"/>
          <a:stretch>
            <a:fillRect/>
          </a:stretch>
        </a:blip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C6BB10F3-646A-432C-9B15-1DCEFFF54AA0}">
      <dsp:nvSpPr>
        <dsp:cNvPr id="0" name=""/>
        <dsp:cNvSpPr/>
      </dsp:nvSpPr>
      <dsp:spPr>
        <a:xfrm>
          <a:off x="647880" y="1565769"/>
          <a:ext cx="697086"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Open</a:t>
          </a:r>
        </a:p>
      </dsp:txBody>
      <dsp:txXfrm>
        <a:off x="647880" y="1565769"/>
        <a:ext cx="697086" cy="348409"/>
      </dsp:txXfrm>
    </dsp:sp>
    <dsp:sp modelId="{3AB540C8-D442-4B40-B6B2-7DF3EC779A71}">
      <dsp:nvSpPr>
        <dsp:cNvPr id="0" name=""/>
        <dsp:cNvSpPr/>
      </dsp:nvSpPr>
      <dsp:spPr>
        <a:xfrm>
          <a:off x="720518" y="1832683"/>
          <a:ext cx="1249132" cy="1249241"/>
        </a:xfrm>
        <a:prstGeom prst="circularArrow">
          <a:avLst>
            <a:gd name="adj1" fmla="val 10980"/>
            <a:gd name="adj2" fmla="val 1142322"/>
            <a:gd name="adj3" fmla="val 4500000"/>
            <a:gd name="adj4" fmla="val 13500000"/>
            <a:gd name="adj5" fmla="val 12500"/>
          </a:avLst>
        </a:prstGeom>
        <a:solidFill>
          <a:schemeClr val="accent5">
            <a:hueOff val="-3311292"/>
            <a:satOff val="13270"/>
            <a:lumOff val="2876"/>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29C378C7-4D1F-402A-BBD5-B91DBD8E36CB}">
      <dsp:nvSpPr>
        <dsp:cNvPr id="0" name=""/>
        <dsp:cNvSpPr/>
      </dsp:nvSpPr>
      <dsp:spPr>
        <a:xfrm>
          <a:off x="889474" y="2285013"/>
          <a:ext cx="910750"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Assigned</a:t>
          </a:r>
        </a:p>
      </dsp:txBody>
      <dsp:txXfrm>
        <a:off x="889474" y="2285013"/>
        <a:ext cx="910750" cy="348409"/>
      </dsp:txXfrm>
    </dsp:sp>
    <dsp:sp modelId="{B3EC3B9A-BBA7-4502-B133-6C80327F5503}">
      <dsp:nvSpPr>
        <dsp:cNvPr id="0" name=""/>
        <dsp:cNvSpPr/>
      </dsp:nvSpPr>
      <dsp:spPr>
        <a:xfrm>
          <a:off x="373497" y="2551927"/>
          <a:ext cx="1249132" cy="1249241"/>
        </a:xfrm>
        <a:prstGeom prst="leftCircularArrow">
          <a:avLst>
            <a:gd name="adj1" fmla="val 10980"/>
            <a:gd name="adj2" fmla="val 1142322"/>
            <a:gd name="adj3" fmla="val 6300000"/>
            <a:gd name="adj4" fmla="val 18900000"/>
            <a:gd name="adj5" fmla="val 12500"/>
          </a:avLst>
        </a:prstGeom>
        <a:solidFill>
          <a:schemeClr val="accent5">
            <a:hueOff val="-4966938"/>
            <a:satOff val="19906"/>
            <a:lumOff val="4314"/>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ADD5B031-7A84-4405-903B-350FEB77B878}">
      <dsp:nvSpPr>
        <dsp:cNvPr id="0" name=""/>
        <dsp:cNvSpPr/>
      </dsp:nvSpPr>
      <dsp:spPr>
        <a:xfrm>
          <a:off x="647880" y="3004257"/>
          <a:ext cx="697086"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Fixed</a:t>
          </a:r>
        </a:p>
      </dsp:txBody>
      <dsp:txXfrm>
        <a:off x="647880" y="3004257"/>
        <a:ext cx="697086" cy="348409"/>
      </dsp:txXfrm>
    </dsp:sp>
    <dsp:sp modelId="{744D918C-5384-4030-B728-676312F3B6D1}">
      <dsp:nvSpPr>
        <dsp:cNvPr id="0" name=""/>
        <dsp:cNvSpPr/>
      </dsp:nvSpPr>
      <dsp:spPr>
        <a:xfrm>
          <a:off x="720518" y="3270077"/>
          <a:ext cx="1249132" cy="1249241"/>
        </a:xfrm>
        <a:prstGeom prst="circularArrow">
          <a:avLst>
            <a:gd name="adj1" fmla="val 10980"/>
            <a:gd name="adj2" fmla="val 1142322"/>
            <a:gd name="adj3" fmla="val 4500000"/>
            <a:gd name="adj4" fmla="val 13500000"/>
            <a:gd name="adj5" fmla="val 12500"/>
          </a:avLst>
        </a:prstGeom>
        <a:solidFill>
          <a:schemeClr val="accent5">
            <a:hueOff val="-6622584"/>
            <a:satOff val="26541"/>
            <a:lumOff val="5752"/>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D73BA91E-EC9C-40AF-8464-F4D32E4EBFDF}">
      <dsp:nvSpPr>
        <dsp:cNvPr id="0" name=""/>
        <dsp:cNvSpPr/>
      </dsp:nvSpPr>
      <dsp:spPr>
        <a:xfrm>
          <a:off x="996306" y="3722407"/>
          <a:ext cx="697086"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Retest</a:t>
          </a:r>
        </a:p>
      </dsp:txBody>
      <dsp:txXfrm>
        <a:off x="996306" y="3722407"/>
        <a:ext cx="697086" cy="348409"/>
      </dsp:txXfrm>
    </dsp:sp>
    <dsp:sp modelId="{DA0274C5-1C30-41C0-9FEC-576A56364598}">
      <dsp:nvSpPr>
        <dsp:cNvPr id="0" name=""/>
        <dsp:cNvSpPr/>
      </dsp:nvSpPr>
      <dsp:spPr>
        <a:xfrm>
          <a:off x="373497" y="3989320"/>
          <a:ext cx="1249132" cy="1249241"/>
        </a:xfrm>
        <a:prstGeom prst="leftCircularArrow">
          <a:avLst>
            <a:gd name="adj1" fmla="val 10980"/>
            <a:gd name="adj2" fmla="val 1142322"/>
            <a:gd name="adj3" fmla="val 6300000"/>
            <a:gd name="adj4" fmla="val 18900000"/>
            <a:gd name="adj5" fmla="val 12500"/>
          </a:avLst>
        </a:prstGeom>
        <a:solidFill>
          <a:schemeClr val="accent5">
            <a:hueOff val="-8278230"/>
            <a:satOff val="33176"/>
            <a:lumOff val="719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38264CAB-27F1-4D0C-AA14-5D2C4F045559}">
      <dsp:nvSpPr>
        <dsp:cNvPr id="0" name=""/>
        <dsp:cNvSpPr/>
      </dsp:nvSpPr>
      <dsp:spPr>
        <a:xfrm>
          <a:off x="557046" y="4441651"/>
          <a:ext cx="878754"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en-US" sz="1600" b="1" kern="1200"/>
            <a:t>Verified</a:t>
          </a:r>
        </a:p>
      </dsp:txBody>
      <dsp:txXfrm>
        <a:off x="557046" y="4441651"/>
        <a:ext cx="878754" cy="348409"/>
      </dsp:txXfrm>
    </dsp:sp>
    <dsp:sp modelId="{DDC50546-1FF1-4A10-A756-BD3D13F09D1C}">
      <dsp:nvSpPr>
        <dsp:cNvPr id="0" name=""/>
        <dsp:cNvSpPr/>
      </dsp:nvSpPr>
      <dsp:spPr>
        <a:xfrm>
          <a:off x="809323" y="4790060"/>
          <a:ext cx="1073162" cy="1073669"/>
        </a:xfrm>
        <a:prstGeom prst="blockArc">
          <a:avLst>
            <a:gd name="adj1" fmla="val 13500000"/>
            <a:gd name="adj2" fmla="val 10800000"/>
            <a:gd name="adj3" fmla="val 12740"/>
          </a:avLst>
        </a:prstGeom>
        <a:solidFill>
          <a:schemeClr val="accent5">
            <a:hueOff val="-9933876"/>
            <a:satOff val="39811"/>
            <a:lumOff val="8628"/>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953AF261-5EB6-4C14-91DB-FD46B3C7128E}">
      <dsp:nvSpPr>
        <dsp:cNvPr id="0" name=""/>
        <dsp:cNvSpPr/>
      </dsp:nvSpPr>
      <dsp:spPr>
        <a:xfrm>
          <a:off x="996306" y="5160895"/>
          <a:ext cx="697086" cy="34840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Close</a:t>
          </a:r>
        </a:p>
      </dsp:txBody>
      <dsp:txXfrm>
        <a:off x="996306" y="5160895"/>
        <a:ext cx="697086" cy="348409"/>
      </dsp:txXfrm>
    </dsp:sp>
  </dsp:spTree>
</dsp:drawing>
</file>

<file path=xl/diagrams/layout1.xml><?xml version="1.0" encoding="utf-8"?>
<dgm:layoutDef xmlns:dgm="http://schemas.openxmlformats.org/drawingml/2006/diagram" xmlns:a="http://schemas.openxmlformats.org/drawingml/2006/main" uniqueId="urn:microsoft.com/office/officeart/2005/8/layout/cycle1">
  <dgm:title val=""/>
  <dgm:desc val=""/>
  <dgm:catLst>
    <dgm:cat type="cycle" pri="2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6" srcId="0" destId="1" srcOrd="0" destOrd="0"/>
        <dgm:cxn modelId="7" srcId="0" destId="2" srcOrd="1" destOrd="0"/>
        <dgm:cxn modelId="8" srcId="0" destId="3" srcOrd="2" destOrd="0"/>
        <dgm:cxn modelId="9" srcId="0" destId="4" srcOrd="3" destOrd="0"/>
        <dgm:cxn modelId="10" srcId="0" destId="5" srcOrd="4" destOrd="0"/>
      </dgm:cxnLst>
      <dgm:bg/>
      <dgm:whole/>
    </dgm:dataModel>
  </dgm:sampData>
  <dgm:styleData>
    <dgm:dataModel>
      <dgm:ptLst>
        <dgm:pt modelId="0" type="doc"/>
        <dgm:pt modelId="1"/>
        <dgm:pt modelId="2"/>
        <dgm:pt modelId="3"/>
      </dgm:ptLst>
      <dgm:cxnLst>
        <dgm:cxn modelId="4" srcId="0" destId="1" srcOrd="0" destOrd="0"/>
        <dgm:cxn modelId="5" srcId="0" destId="2" srcOrd="1" destOrd="0"/>
        <dgm:cxn modelId="6" srcId="0" destId="3" srcOrd="2" destOrd="0"/>
      </dgm:cxnLst>
      <dgm:bg/>
      <dgm:whole/>
    </dgm:dataModel>
  </dgm:styleData>
  <dgm:clrData>
    <dgm:dataModel>
      <dgm:ptLst>
        <dgm:pt modelId="0" type="doc"/>
        <dgm:pt modelId="1"/>
        <dgm:pt modelId="2"/>
        <dgm:pt modelId="3"/>
        <dgm:pt modelId="4"/>
        <dgm:pt modelId="5"/>
        <dgm:pt modelId="6"/>
      </dgm:ptLst>
      <dgm:cxnLst>
        <dgm:cxn modelId="7" srcId="0" destId="1" srcOrd="0" destOrd="0"/>
        <dgm:cxn modelId="8" srcId="0" destId="2" srcOrd="1" destOrd="0"/>
        <dgm:cxn modelId="9" srcId="0" destId="3" srcOrd="2" destOrd="0"/>
        <dgm:cxn modelId="10" srcId="0" destId="4" srcOrd="3" destOrd="0"/>
        <dgm:cxn modelId="11" srcId="0" destId="5" srcOrd="4" destOrd="0"/>
        <dgm:cxn modelId="12" srcId="0" destId="6" srcOrd="5" destOrd="0"/>
      </dgm:cxnLst>
      <dgm:bg/>
      <dgm:whole/>
    </dgm:dataModel>
  </dgm:clrData>
  <dgm:layoutNode name="cycle">
    <dgm:varLst>
      <dgm:dir/>
      <dgm:resizeHandles val="exact"/>
    </dgm:varLst>
    <dgm:choose name="Name0">
      <dgm:if name="Name1" func="var" arg="dir" op="equ" val="norm">
        <dgm:alg type="cycle">
          <dgm:param type="stAng" val="0"/>
          <dgm:param type="spanAng" val="360"/>
        </dgm:alg>
      </dgm:if>
      <dgm:else name="Name2">
        <dgm:alg type="cycle">
          <dgm:param type="stAng" val="0"/>
          <dgm:param type="spanAng" val="-360"/>
        </dgm:alg>
      </dgm:else>
    </dgm:choose>
    <dgm:shape xmlns:r="http://schemas.openxmlformats.org/officeDocument/2006/relationships" r:blip="">
      <dgm:adjLst/>
    </dgm:shape>
    <dgm:presOf/>
    <dgm:choose name="Name3">
      <dgm:if name="Name4" func="var" arg="dir" op="equ" val="norm">
        <dgm:constrLst>
          <dgm:constr type="diam" val="1"/>
          <dgm:constr type="w" for="ch" forName="node" refType="w"/>
          <dgm:constr type="w" for="ch" ptType="sibTrans" refType="w" refFor="ch" refForName="node" fact="0.5"/>
          <dgm:constr type="h" for="ch" ptType="sibTrans" op="equ"/>
          <dgm:constr type="diam" for="ch" ptType="sibTrans" refType="diam" op="equ"/>
          <dgm:constr type="sibSp" refType="w" refFor="ch" refForName="node" fact="0.15"/>
          <dgm:constr type="w" for="ch" forName="dummy" refType="sibSp" fact="2.8"/>
          <dgm:constr type="primFontSz" for="ch" forName="node" op="equ" val="65"/>
        </dgm:constrLst>
      </dgm:if>
      <dgm:else name="Name5">
        <dgm:constrLst>
          <dgm:constr type="diam" val="1"/>
          <dgm:constr type="w" for="ch" forName="node" refType="w"/>
          <dgm:constr type="w" for="ch" ptType="sibTrans" refType="w" refFor="ch" refForName="node" fact="0.5"/>
          <dgm:constr type="h" for="ch" ptType="sibTrans" op="equ"/>
          <dgm:constr type="diam" for="ch" ptType="sibTrans" refType="diam" op="equ" fact="-1"/>
          <dgm:constr type="sibSp" refType="w" refFor="ch" refForName="node" fact="0.15"/>
          <dgm:constr type="w" for="ch" forName="dummy" refType="sibSp" fact="2.8"/>
          <dgm:constr type="primFontSz" for="ch" forName="node" op="equ" val="65"/>
        </dgm:constrLst>
      </dgm:else>
    </dgm:choose>
    <dgm:ruleLst>
      <dgm:rule type="diam" val="INF" fact="NaN" max="NaN"/>
    </dgm:ruleLst>
    <dgm:forEach name="nodesForEach" axis="ch" ptType="node">
      <dgm:choose name="Name6">
        <dgm:if name="Name7" axis="par ch" ptType="doc node" func="cnt" op="gt" val="1">
          <dgm:layoutNode name="dummy">
            <dgm:alg type="sp"/>
            <dgm:shape xmlns:r="http://schemas.openxmlformats.org/officeDocument/2006/relationships" r:blip="">
              <dgm:adjLst/>
            </dgm:shape>
            <dgm:presOf/>
            <dgm:constrLst>
              <dgm:constr type="h" refType="w"/>
            </dgm:constrLst>
            <dgm:ruleLst/>
          </dgm:layoutNode>
        </dgm:if>
        <dgm:else name="Name8"/>
      </dgm:choose>
      <dgm:layoutNode name="node" styleLbl="revTx">
        <dgm:varLst>
          <dgm:bulletEnabled val="1"/>
        </dgm:varLst>
        <dgm:alg type="tx">
          <dgm:param type="txAnchorVertCh" val="mid"/>
        </dgm:alg>
        <dgm:shape xmlns:r="http://schemas.openxmlformats.org/officeDocument/2006/relationships" type="rect" r:blip="">
          <dgm:adjLst/>
        </dgm:shape>
        <dgm:presOf axis="desOrSelf" ptType="node"/>
        <dgm:constrLst>
          <dgm:constr type="h" refType="w"/>
          <dgm:constr type="lMarg" refType="primFontSz" fact="0.1"/>
          <dgm:constr type="rMarg" refType="primFontSz" fact="0.1"/>
          <dgm:constr type="tMarg" refType="primFontSz" fact="0.1"/>
          <dgm:constr type="bMarg" refType="primFontSz" fact="0.1"/>
        </dgm:constrLst>
        <dgm:ruleLst>
          <dgm:rule type="primFontSz" val="5" fact="NaN" max="NaN"/>
        </dgm:ruleLst>
      </dgm:layoutNode>
      <dgm:choose name="Name9">
        <dgm:if name="Name10" axis="par ch" ptType="doc node" func="cnt" op="gt" val="1">
          <dgm:forEach name="Name11" axis="followSib" ptType="sibTrans" hideLastTrans="0" cnt="1">
            <dgm:layoutNode name="sibTrans" styleLbl="node1">
              <dgm:alg type="conn">
                <dgm:param type="connRout" val="curve"/>
                <dgm:param type="begPts" val="radial"/>
                <dgm:param type="endPts" val="radial"/>
              </dgm:alg>
              <dgm:shape xmlns:r="http://schemas.openxmlformats.org/officeDocument/2006/relationships" type="conn" r:blip="">
                <dgm:adjLst/>
              </dgm:shape>
              <dgm:presOf axis="self"/>
              <dgm:constrLst>
                <dgm:constr type="h" refType="w" fact="0.65"/>
                <dgm:constr type="begPad"/>
                <dgm:constr type="endPad"/>
              </dgm:constrLst>
              <dgm:ruleLst/>
            </dgm:layoutNode>
          </dgm:forEach>
        </dgm:if>
        <dgm:else name="Name12"/>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9/layout/CircleArrowProcess">
  <dgm:title val=""/>
  <dgm:desc val=""/>
  <dgm:catLst>
    <dgm:cat type="process" pri="16500"/>
    <dgm:cat type="cycle" pri="16000"/>
  </dgm:catLst>
  <dgm:sampData>
    <dgm:dataModel>
      <dgm:ptLst>
        <dgm:pt modelId="0" type="doc"/>
        <dgm:pt modelId="10">
          <dgm:prSet phldr="1"/>
        </dgm:pt>
        <dgm:pt modelId="20">
          <dgm:prSet phldr="1"/>
        </dgm:pt>
        <dgm:pt modelId="30">
          <dgm:prSet phldr="1"/>
        </dgm:pt>
      </dgm:ptLst>
      <dgm:cxnLst>
        <dgm:cxn modelId="40" srcId="0" destId="10" srcOrd="0" destOrd="0"/>
        <dgm:cxn modelId="50" srcId="0" destId="20" srcOrd="1" destOrd="0"/>
        <dgm:cxn modelId="60" srcId="0" destId="30" srcOrd="2" destOrd="0"/>
      </dgm:cxnLst>
      <dgm:bg/>
      <dgm:whole/>
    </dgm:dataModel>
  </dgm:sampData>
  <dgm:styleData>
    <dgm:dataModel>
      <dgm:ptLst>
        <dgm:pt modelId="0" type="doc"/>
        <dgm:pt modelId="10">
          <dgm:prSet phldr="1"/>
        </dgm:pt>
        <dgm:pt modelId="20">
          <dgm:prSet phldr="1"/>
        </dgm:pt>
      </dgm:ptLst>
      <dgm:cxnLst>
        <dgm:cxn modelId="30" srcId="0" destId="10" srcOrd="0" destOrd="0"/>
        <dgm:cxn modelId="40" srcId="0" destId="20" srcOrd="1" destOrd="0"/>
      </dgm:cxnLst>
      <dgm:bg/>
      <dgm:whole/>
    </dgm:dataModel>
  </dgm:styleData>
  <dgm:clrData>
    <dgm:dataModel>
      <dgm:ptLst>
        <dgm:pt modelId="0" type="doc"/>
        <dgm:pt modelId="10">
          <dgm:prSet phldr="1"/>
        </dgm:pt>
        <dgm:pt modelId="20">
          <dgm:prSet phldr="1"/>
        </dgm:pt>
        <dgm:pt modelId="30">
          <dgm:prSet phldr="1"/>
        </dgm:pt>
        <dgm:pt modelId="40">
          <dgm:prSet phldr="1"/>
        </dgm:pt>
      </dgm:ptLst>
      <dgm:cxnLst>
        <dgm:cxn modelId="50" srcId="0" destId="10" srcOrd="0" destOrd="0"/>
        <dgm:cxn modelId="60" srcId="0" destId="20" srcOrd="1" destOrd="0"/>
        <dgm:cxn modelId="70" srcId="0" destId="30" srcOrd="2" destOrd="0"/>
        <dgm:cxn modelId="80" srcId="0" destId="40" srcOrd="3" destOrd="0"/>
      </dgm:cxnLst>
      <dgm:bg/>
      <dgm:whole/>
    </dgm:dataModel>
  </dgm:clrData>
  <dgm:layoutNode name="Name0">
    <dgm:varLst>
      <dgm:chMax val="7"/>
      <dgm:chPref val="7"/>
      <dgm:dir/>
      <dgm:animLvl val="lvl"/>
    </dgm:varLst>
    <dgm:shape xmlns:r="http://schemas.openxmlformats.org/officeDocument/2006/relationships" r:blip="">
      <dgm:adjLst/>
    </dgm:shape>
    <dgm:choose name="Name1">
      <dgm:if name="Name2" func="var" arg="dir" op="equ" val="norm">
        <dgm:choose name="Name3">
          <dgm:if name="Name4" axis="ch" ptType="node" func="cnt" op="equ" val="1">
            <dgm:alg type="composite">
              <dgm:param type="ar" val="1.5999"/>
            </dgm:alg>
            <dgm:constrLst>
              <dgm:constr type="primFontSz" for="des" forName="Child1" val="65"/>
              <dgm:constr type="primFontSz" for="des" forName="Parent1" val="65"/>
              <dgm:constr type="primFontSz" for="des" forName="Child1" refType="primFontSz" refFor="des" refForName="Parent1" op="lte"/>
              <dgm:constr type="l" for="ch" forName="Child1" refType="w" fact="0.625"/>
              <dgm:constr type="t" for="ch" forName="Child1" refType="h" fact="0.2981"/>
              <dgm:constr type="w" for="ch" forName="Child1" refType="w" fact="0.375"/>
              <dgm:constr type="h" for="ch" forName="Child1" refType="h" fact="0.4001"/>
              <dgm:constr type="l" for="ch" forName="Accent1" refType="w" fact="0"/>
              <dgm:constr type="t" for="ch" forName="Accent1" refType="h" fact="0"/>
              <dgm:constr type="w" for="ch" forName="Accent1" refType="w" fact="0.6249"/>
              <dgm:constr type="h" for="ch" forName="Accent1" refType="h"/>
              <dgm:constr type="l" for="ch" forName="Parent1" refType="w" fact="0.138"/>
              <dgm:constr type="t" for="ch" forName="Parent1" refType="h" fact="0.362"/>
              <dgm:constr type="w" for="ch" forName="Parent1" refType="w" fact="0.3487"/>
              <dgm:constr type="h" for="ch" forName="Parent1" refType="h" fact="0.2789"/>
            </dgm:constrLst>
          </dgm:if>
          <dgm:if name="Name5" axis="ch" ptType="node" func="cnt" op="equ" val="2">
            <dgm:alg type="composite">
              <dgm:param type="ar" val="1.2026"/>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Parent2" refType="primFontSz" refFor="des" refForName="Parent1" op="equ"/>
              <dgm:constr type="primFontSz" for="des" forName="Child2" refType="primFontSz" refFor="des" refForName="Child1" op="equ"/>
              <dgm:constr type="l" for="ch" forName="Accent1" refType="w" fact="0.1144"/>
              <dgm:constr type="t" for="ch" forName="Accent1" refType="h" fact="0"/>
              <dgm:constr type="w" for="ch" forName="Accent1" refType="w" fact="0.5542"/>
              <dgm:constr type="h" for="ch" forName="Accent1" refType="h" fact="0.6665"/>
              <dgm:constr type="l" for="ch" forName="Parent1" refType="w" fact="0.2368"/>
              <dgm:constr type="t" for="ch" forName="Parent1" refType="h" fact="0.2413"/>
              <dgm:constr type="w" for="ch" forName="Parent1" refType="w" fact="0.3092"/>
              <dgm:constr type="h" for="ch" forName="Parent1" refType="h" fact="0.1859"/>
              <dgm:constr type="l" for="ch" forName="Parent2" refType="w" fact="0.0822"/>
              <dgm:constr type="t" for="ch" forName="Parent2" refType="h" fact="0.625"/>
              <dgm:constr type="w" for="ch" forName="Parent2" refType="w" fact="0.3092"/>
              <dgm:constr type="h" for="ch" forName="Parent2" refType="h" fact="0.1859"/>
              <dgm:constr type="l" for="ch" forName="Child1" refType="w" fact="0.6678"/>
              <dgm:constr type="t" for="ch" forName="Child1" refType="h" fact="0.1978"/>
              <dgm:constr type="w" for="ch" forName="Child1" refType="w" fact="0.3322"/>
              <dgm:constr type="h" for="ch" forName="Child1" refType="h" fact="0.265"/>
              <dgm:constr type="l" for="ch" forName="Child2" refType="w" fact="0.5164"/>
              <dgm:constr type="t" for="ch" forName="Child2" refType="h" fact="0.5855"/>
              <dgm:constr type="w" for="ch" forName="Child2" refType="w" fact="0.3322"/>
              <dgm:constr type="h" for="ch" forName="Child2" refType="h" fact="0.265"/>
              <dgm:constr type="l" for="ch" forName="Accent2" refType="w" fact="0"/>
              <dgm:constr type="t" for="ch" forName="Accent2" refType="h" fact="0.4272"/>
              <dgm:constr type="w" for="ch" forName="Accent2" refType="w" fact="0.4761"/>
              <dgm:constr type="h" for="ch" forName="Accent2" refType="h" fact="0.5728"/>
            </dgm:constrLst>
          </dgm:if>
          <dgm:if name="Name6" axis="ch" ptType="node" func="cnt" op="equ" val="3">
            <dgm:alg type="composite">
              <dgm:param type="ar" val="0.9039"/>
            </dgm:alg>
            <dgm:shape xmlns:r="http://schemas.openxmlformats.org/officeDocument/2006/relationships" r:blip="">
              <dgm:adjLst/>
            </dgm:shape>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Parent2" refType="primFontSz" refFor="des" refForName="Parent1" op="equ"/>
              <dgm:constr type="primFontSz" for="des" forName="Parent3" refType="primFontSz" refFor="des" refForName="Parent1" op="equ"/>
              <dgm:constr type="primFontSz" for="des" forName="Child2" refType="primFontSz" refFor="des" refForName="Child1" op="equ"/>
              <dgm:constr type="primFontSz" for="des" forName="Child3" refType="primFontSz" refFor="des" refForName="Child1" op="equ"/>
              <dgm:constr type="l" for="ch" forName="Accent1" refType="w" fact="0.1479"/>
              <dgm:constr type="t" for="ch" forName="Accent1" refType="h" fact="0"/>
              <dgm:constr type="w" for="ch" forName="Accent1" refType="w" fact="0.5325"/>
              <dgm:constr type="h" for="ch" forName="Accent1" refType="h" fact="0.4814"/>
              <dgm:constr type="l" for="ch" forName="Accent2" refType="w" fact="0"/>
              <dgm:constr type="t" for="ch" forName="Accent2" refType="h" fact="0.2766"/>
              <dgm:constr type="w" for="ch" forName="Accent2" refType="w" fact="0.5325"/>
              <dgm:constr type="h" for="ch" forName="Accent2" refType="h" fact="0.4814"/>
              <dgm:constr type="l" for="ch" forName="Parent1" refType="w" fact="0.2656"/>
              <dgm:constr type="t" for="ch" forName="Parent1" refType="h" fact="0.1738"/>
              <dgm:constr type="w" for="ch" forName="Parent1" refType="w" fact="0.2959"/>
              <dgm:constr type="h" for="ch" forName="Parent1" refType="h" fact="0.1337"/>
              <dgm:constr type="l" for="ch" forName="Accent3" refType="w" fact="0.1858"/>
              <dgm:constr type="t" for="ch" forName="Accent3" refType="h" fact="0.5863"/>
              <dgm:constr type="w" for="ch" forName="Accent3" refType="w" fact="0.4575"/>
              <dgm:constr type="h" for="ch" forName="Accent3" refType="h" fact="0.4137"/>
              <dgm:constr type="l" for="ch" forName="Parent2" refType="w" fact="0.1183"/>
              <dgm:constr type="t" for="ch" forName="Parent2" refType="h" fact="0.452"/>
              <dgm:constr type="w" for="ch" forName="Parent2" refType="w" fact="0.2959"/>
              <dgm:constr type="h" for="ch" forName="Parent2" refType="h" fact="0.1337"/>
              <dgm:constr type="l" for="ch" forName="Parent3" refType="w" fact="0.2663"/>
              <dgm:constr type="t" for="ch" forName="Parent3" refType="h" fact="0.7306"/>
              <dgm:constr type="w" for="ch" forName="Parent3" refType="w" fact="0.2959"/>
              <dgm:constr type="h" for="ch" forName="Parent3" refType="h" fact="0.1337"/>
              <dgm:constr type="l" for="ch" forName="Child2" refType="w" fact="0.5325"/>
              <dgm:constr type="t" for="ch" forName="Child2" refType="h" fact="0.4217"/>
              <dgm:constr type="w" for="ch" forName="Child2" refType="w" fact="0.3195"/>
              <dgm:constr type="h" for="ch" forName="Child2" refType="h" fact="0.1926"/>
              <dgm:constr type="l" for="ch" forName="Child1" refType="w" fact="0.6805"/>
              <dgm:constr type="t" for="ch" forName="Child1" refType="h" fact="0.1435"/>
              <dgm:constr type="w" for="ch" forName="Child1" refType="w" fact="0.3195"/>
              <dgm:constr type="h" for="ch" forName="Child1" refType="h" fact="0.1926"/>
              <dgm:constr type="l" for="ch" forName="Child3" refType="w" fact="0.6805"/>
              <dgm:constr type="t" for="ch" forName="Child3" refType="h" fact="0.6998"/>
              <dgm:constr type="w" for="ch" forName="Child3" refType="w" fact="0.3195"/>
              <dgm:constr type="h" for="ch" forName="Child3" refType="h" fact="0.1926"/>
            </dgm:constrLst>
          </dgm:if>
          <dgm:if name="Name7" axis="ch" ptType="node" func="cnt" op="equ" val="4">
            <dgm:alg type="composite">
              <dgm:param type="ar" val="0.7073"/>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l" for="ch" forName="Accent1" refType="w" fact="0.1481"/>
              <dgm:constr type="t" for="ch" forName="Accent1" refType="h" fact="0"/>
              <dgm:constr type="w" for="ch" forName="Accent1" refType="w" fact="0.5331"/>
              <dgm:constr type="h" for="ch" forName="Accent1" refType="h" fact="0.3771"/>
              <dgm:constr type="l" for="ch" forName="Accent2" refType="w" fact="0"/>
              <dgm:constr type="t" for="ch" forName="Accent2" refType="h" fact="0.2167"/>
              <dgm:constr type="w" for="ch" forName="Accent2" refType="w" fact="0.5331"/>
              <dgm:constr type="h" for="ch" forName="Accent2" refType="h" fact="0.3771"/>
              <dgm:constr type="l" for="ch" forName="Accent3" refType="w" fact="0.1481"/>
              <dgm:constr type="t" for="ch" forName="Accent3" refType="h" fact="0.4342"/>
              <dgm:constr type="w" for="ch" forName="Accent3" refType="w" fact="0.5331"/>
              <dgm:constr type="h" for="ch" forName="Accent3" refType="h" fact="0.3771"/>
              <dgm:constr type="l" for="ch" forName="Parent1" refType="w" fact="0.2658"/>
              <dgm:constr type="t" for="ch" forName="Parent1" refType="h" fact="0.1365"/>
              <dgm:constr type="w" for="ch" forName="Parent1" refType="w" fact="0.2975"/>
              <dgm:constr type="h" for="ch" forName="Parent1" refType="h" fact="0.1052"/>
              <dgm:constr type="l" for="ch" forName="Parent2" refType="w" fact="0.1171"/>
              <dgm:constr type="t" for="ch" forName="Parent2" refType="h" fact="0.3536"/>
              <dgm:constr type="w" for="ch" forName="Parent2" refType="w" fact="0.2975"/>
              <dgm:constr type="h" for="ch" forName="Parent2" refType="h" fact="0.1052"/>
              <dgm:constr type="l" for="ch" forName="Parent3" refType="w" fact="0.2658"/>
              <dgm:constr type="t" for="ch" forName="Parent3" refType="h" fact="0.5707"/>
              <dgm:constr type="w" for="ch" forName="Parent3" refType="w" fact="0.2975"/>
              <dgm:constr type="h" for="ch" forName="Parent3" refType="h" fact="0.1052"/>
              <dgm:constr type="l" for="ch" forName="Parent4" refType="w" fact="0.1171"/>
              <dgm:constr type="t" for="ch" forName="Parent4" refType="h" fact="0.7878"/>
              <dgm:constr type="w" for="ch" forName="Parent4" refType="w" fact="0.2975"/>
              <dgm:constr type="h" for="ch" forName="Parent4" refType="h" fact="0.1052"/>
              <dgm:constr type="l" for="ch" forName="Child1" refType="w" fact="0.6804"/>
              <dgm:constr type="t" for="ch" forName="Child1" refType="h" fact="0.1119"/>
              <dgm:constr type="w" for="ch" forName="Child1" refType="w" fact="0.3196"/>
              <dgm:constr type="h" for="ch" forName="Child1" refType="h" fact="0.15"/>
              <dgm:constr type="l" for="ch" forName="Child2" refType="w" fact="0.5348"/>
              <dgm:constr type="t" for="ch" forName="Child2" refType="h" fact="0.3312"/>
              <dgm:constr type="w" for="ch" forName="Child2" refType="w" fact="0.3196"/>
              <dgm:constr type="h" for="ch" forName="Child2" refType="h" fact="0.15"/>
              <dgm:constr type="l" for="ch" forName="Child3" refType="w" fact="0.6804"/>
              <dgm:constr type="t" for="ch" forName="Child3" refType="h" fact="0.5461"/>
              <dgm:constr type="w" for="ch" forName="Child3" refType="w" fact="0.3196"/>
              <dgm:constr type="h" for="ch" forName="Child3" refType="h" fact="0.15"/>
              <dgm:constr type="l" for="ch" forName="Child4" refType="w" fact="0.5348"/>
              <dgm:constr type="t" for="ch" forName="Child4" refType="h" fact="0.7632"/>
              <dgm:constr type="w" for="ch" forName="Child4" refType="w" fact="0.3196"/>
              <dgm:constr type="h" for="ch" forName="Child4" refType="h" fact="0.15"/>
              <dgm:constr type="l" for="ch" forName="Accent4" refType="w" fact="0.038"/>
              <dgm:constr type="t" for="ch" forName="Accent4" refType="h" fact="0.6759"/>
              <dgm:constr type="w" for="ch" forName="Accent4" refType="w" fact="0.458"/>
              <dgm:constr type="h" for="ch" forName="Accent4" refType="h" fact="0.3241"/>
            </dgm:constrLst>
          </dgm:if>
          <dgm:if name="Name8" axis="ch" ptType="node" func="cnt" op="equ" val="5">
            <dgm:alg type="composite">
              <dgm:param type="ar" val="0.5811"/>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l" for="ch" forName="Accent1" refType="w" fact="0.1481"/>
              <dgm:constr type="t" for="ch" forName="Accent1" refType="h" fact="0"/>
              <dgm:constr type="w" for="ch" forName="Accent1" refType="w" fact="0.5331"/>
              <dgm:constr type="h" for="ch" forName="Accent1" refType="h" fact="0.3098"/>
              <dgm:constr type="l" for="ch" forName="Accent2" refType="w" fact="0"/>
              <dgm:constr type="t" for="ch" forName="Accent2" refType="h" fact="0.178"/>
              <dgm:constr type="w" for="ch" forName="Accent2" refType="w" fact="0.5331"/>
              <dgm:constr type="h" for="ch" forName="Accent2" refType="h" fact="0.3098"/>
              <dgm:constr type="l" for="ch" forName="Accent3" refType="w" fact="0.1481"/>
              <dgm:constr type="t" for="ch" forName="Accent3" refType="h" fact="0.3568"/>
              <dgm:constr type="w" for="ch" forName="Accent3" refType="w" fact="0.5331"/>
              <dgm:constr type="h" for="ch" forName="Accent3" refType="h" fact="0.3098"/>
              <dgm:constr type="l" for="ch" forName="Accent4" refType="w" fact="0"/>
              <dgm:constr type="t" for="ch" forName="Accent4" refType="h" fact="0.5351"/>
              <dgm:constr type="w" for="ch" forName="Accent4" refType="w" fact="0.5331"/>
              <dgm:constr type="h" for="ch" forName="Accent4" refType="h" fact="0.3098"/>
              <dgm:constr type="l" for="ch" forName="Accent5" refType="w" fact="0.186"/>
              <dgm:constr type="t" for="ch" forName="Accent5" refType="h" fact="0.7337"/>
              <dgm:constr type="w" for="ch" forName="Accent5" refType="w" fact="0.458"/>
              <dgm:constr type="h" for="ch" forName="Accent5" refType="h" fact="0.2663"/>
              <dgm:constr type="l" for="ch" forName="Parent1" refType="w" fact="0.2658"/>
              <dgm:constr type="t" for="ch" forName="Parent1" refType="h" fact="0.1122"/>
              <dgm:constr type="w" for="ch" forName="Parent1" refType="w" fact="0.2975"/>
              <dgm:constr type="h" for="ch" forName="Parent1" refType="h" fact="0.0864"/>
              <dgm:constr type="l" for="ch" forName="Parent2" refType="w" fact="0.1171"/>
              <dgm:constr type="t" for="ch" forName="Parent2" refType="h" fact="0.2906"/>
              <dgm:constr type="w" for="ch" forName="Parent2" refType="w" fact="0.2975"/>
              <dgm:constr type="h" for="ch" forName="Parent2" refType="h" fact="0.0864"/>
              <dgm:constr type="l" for="ch" forName="Parent3" refType="w" fact="0.2658"/>
              <dgm:constr type="t" for="ch" forName="Parent3" refType="h" fact="0.4689"/>
              <dgm:constr type="w" for="ch" forName="Parent3" refType="w" fact="0.2975"/>
              <dgm:constr type="h" for="ch" forName="Parent3" refType="h" fact="0.0864"/>
              <dgm:constr type="l" for="ch" forName="Parent4" refType="w" fact="0.1171"/>
              <dgm:constr type="t" for="ch" forName="Parent4" refType="h" fact="0.6473"/>
              <dgm:constr type="w" for="ch" forName="Parent4" refType="w" fact="0.2975"/>
              <dgm:constr type="h" for="ch" forName="Parent4" refType="h" fact="0.0864"/>
              <dgm:constr type="l" for="ch" forName="Parent5" refType="w" fact="0.2658"/>
              <dgm:constr type="t" for="ch" forName="Parent5" refType="h" fact="0.8257"/>
              <dgm:constr type="w" for="ch" forName="Parent5" refType="w" fact="0.2975"/>
              <dgm:constr type="h" for="ch" forName="Parent5" refType="h" fact="0.0864"/>
              <dgm:constr type="l" for="ch" forName="Child1" refType="w" fact="0.6804"/>
              <dgm:constr type="t" for="ch" forName="Child1" refType="h" fact="0.0919"/>
              <dgm:constr type="w" for="ch" forName="Child1" refType="w" fact="0.3196"/>
              <dgm:constr type="h" for="ch" forName="Child1" refType="h" fact="0.1232"/>
              <dgm:constr type="l" for="ch" forName="Child2" refType="w" fact="0.5348"/>
              <dgm:constr type="t" for="ch" forName="Child2" refType="h" fact="0.2722"/>
              <dgm:constr type="w" for="ch" forName="Child2" refType="w" fact="0.3196"/>
              <dgm:constr type="h" for="ch" forName="Child2" refType="h" fact="0.1232"/>
              <dgm:constr type="l" for="ch" forName="Child3" refType="w" fact="0.6804"/>
              <dgm:constr type="t" for="ch" forName="Child3" refType="h" fact="0.4487"/>
              <dgm:constr type="w" for="ch" forName="Child3" refType="w" fact="0.3196"/>
              <dgm:constr type="h" for="ch" forName="Child3" refType="h" fact="0.1232"/>
              <dgm:constr type="l" for="ch" forName="Child4" refType="w" fact="0.5348"/>
              <dgm:constr type="t" for="ch" forName="Child4" refType="h" fact="0.6271"/>
              <dgm:constr type="w" for="ch" forName="Child4" refType="w" fact="0.3196"/>
              <dgm:constr type="h" for="ch" forName="Child4" refType="h" fact="0.1232"/>
              <dgm:constr type="l" for="ch" forName="Child5" refType="w" fact="0.6804"/>
              <dgm:constr type="t" for="ch" forName="Child5" refType="h" fact="0.8073"/>
              <dgm:constr type="w" for="ch" forName="Child5" refType="w" fact="0.3196"/>
              <dgm:constr type="h" for="ch" forName="Child5" refType="h" fact="0.1232"/>
            </dgm:constrLst>
          </dgm:if>
          <dgm:if name="Name9" axis="ch" ptType="node" func="cnt" op="equ" val="6">
            <dgm:alg type="composite">
              <dgm:param type="ar" val="0.4931"/>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6"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6"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6"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6"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Child6" refType="primFontSz" refFor="des" refForName="Parent5" op="lte"/>
              <dgm:constr type="primFontSz" for="des" forName="Child1" refType="primFontSz" refFor="des" refForName="Parent6" op="lte"/>
              <dgm:constr type="primFontSz" for="des" forName="Child2" refType="primFontSz" refFor="des" refForName="Parent6" op="lte"/>
              <dgm:constr type="primFontSz" for="des" forName="Child3" refType="primFontSz" refFor="des" refForName="Parent6" op="lte"/>
              <dgm:constr type="primFontSz" for="des" forName="Child4" refType="primFontSz" refFor="des" refForName="Parent6" op="lte"/>
              <dgm:constr type="primFontSz" for="des" forName="Child5" refType="primFontSz" refFor="des" refForName="Parent6" op="lte"/>
              <dgm:constr type="primFontSz" for="des" forName="Child6" refType="primFontSz" refFor="des" refForName="Parent6"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Parent6"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primFontSz" for="des" forName="Child6" refType="primFontSz" refFor="des" refForName="Child1" op="equ"/>
              <dgm:constr type="l" for="ch" forName="Accent1" refType="w" fact="0.1481"/>
              <dgm:constr type="t" for="ch" forName="Accent1" refType="h" fact="0"/>
              <dgm:constr type="w" for="ch" forName="Accent1" refType="w" fact="0.5331"/>
              <dgm:constr type="h" for="ch" forName="Accent1" refType="h" fact="0.2629"/>
              <dgm:constr type="l" for="ch" forName="Accent2" refType="w" fact="0"/>
              <dgm:constr type="t" for="ch" forName="Accent2" refType="h" fact="0.1511"/>
              <dgm:constr type="w" for="ch" forName="Accent2" refType="w" fact="0.5331"/>
              <dgm:constr type="h" for="ch" forName="Accent2" refType="h" fact="0.2629"/>
              <dgm:constr type="l" for="ch" forName="Accent3" refType="w" fact="0.1481"/>
              <dgm:constr type="t" for="ch" forName="Accent3" refType="h" fact="0.3027"/>
              <dgm:constr type="w" for="ch" forName="Accent3" refType="w" fact="0.5331"/>
              <dgm:constr type="h" for="ch" forName="Accent3" refType="h" fact="0.2629"/>
              <dgm:constr type="l" for="ch" forName="Accent4" refType="w" fact="0"/>
              <dgm:constr type="t" for="ch" forName="Accent4" refType="h" fact="0.4541"/>
              <dgm:constr type="w" for="ch" forName="Accent4" refType="w" fact="0.5331"/>
              <dgm:constr type="h" for="ch" forName="Accent4" refType="h" fact="0.2629"/>
              <dgm:constr type="l" for="ch" forName="Parent1" refType="w" fact="0.2658"/>
              <dgm:constr type="t" for="ch" forName="Parent1" refType="h" fact="0.0952"/>
              <dgm:constr type="w" for="ch" forName="Parent1" refType="w" fact="0.2975"/>
              <dgm:constr type="h" for="ch" forName="Parent1" refType="h" fact="0.0733"/>
              <dgm:constr type="l" for="ch" forName="Parent2" refType="w" fact="0.1171"/>
              <dgm:constr type="t" for="ch" forName="Parent2" refType="h" fact="0.2466"/>
              <dgm:constr type="w" for="ch" forName="Parent2" refType="w" fact="0.2975"/>
              <dgm:constr type="h" for="ch" forName="Parent2" refType="h" fact="0.0733"/>
              <dgm:constr type="l" for="ch" forName="Parent3" refType="w" fact="0.2658"/>
              <dgm:constr type="t" for="ch" forName="Parent3" refType="h" fact="0.3979"/>
              <dgm:constr type="w" for="ch" forName="Parent3" refType="w" fact="0.2975"/>
              <dgm:constr type="h" for="ch" forName="Parent3" refType="h" fact="0.0733"/>
              <dgm:constr type="l" for="ch" forName="Parent4" refType="w" fact="0.1171"/>
              <dgm:constr type="t" for="ch" forName="Parent4" refType="h" fact="0.5493"/>
              <dgm:constr type="w" for="ch" forName="Parent4" refType="w" fact="0.2975"/>
              <dgm:constr type="h" for="ch" forName="Parent4" refType="h" fact="0.0733"/>
              <dgm:constr type="l" for="ch" forName="Child1" refType="w" fact="0.6804"/>
              <dgm:constr type="t" for="ch" forName="Child1" refType="h" fact="0.078"/>
              <dgm:constr type="w" for="ch" forName="Child1" refType="w" fact="0.3196"/>
              <dgm:constr type="h" for="ch" forName="Child1" refType="h" fact="0.1046"/>
              <dgm:constr type="l" for="ch" forName="Child2" refType="w" fact="0.5348"/>
              <dgm:constr type="t" for="ch" forName="Child2" refType="h" fact="0.231"/>
              <dgm:constr type="w" for="ch" forName="Child2" refType="w" fact="0.3196"/>
              <dgm:constr type="h" for="ch" forName="Child2" refType="h" fact="0.1046"/>
              <dgm:constr type="l" for="ch" forName="Child3" refType="w" fact="0.6804"/>
              <dgm:constr type="t" for="ch" forName="Child3" refType="h" fact="0.3808"/>
              <dgm:constr type="w" for="ch" forName="Child3" refType="w" fact="0.3196"/>
              <dgm:constr type="h" for="ch" forName="Child3" refType="h" fact="0.1046"/>
              <dgm:constr type="l" for="ch" forName="Child4" refType="w" fact="0.5348"/>
              <dgm:constr type="t" for="ch" forName="Child4" refType="h" fact="0.5322"/>
              <dgm:constr type="w" for="ch" forName="Child4" refType="w" fact="0.3196"/>
              <dgm:constr type="h" for="ch" forName="Child4" refType="h" fact="0.1046"/>
              <dgm:constr type="l" for="ch" forName="Accent5" refType="w" fact="0.1481"/>
              <dgm:constr type="t" for="ch" forName="Accent5" refType="h" fact="0.6053"/>
              <dgm:constr type="w" for="ch" forName="Accent5" refType="w" fact="0.5331"/>
              <dgm:constr type="h" for="ch" forName="Accent5" refType="h" fact="0.2629"/>
              <dgm:constr type="l" for="ch" forName="Accent6" refType="w" fact="0.038"/>
              <dgm:constr type="t" for="ch" forName="Accent6" refType="h" fact="0.774"/>
              <dgm:constr type="w" for="ch" forName="Accent6" refType="w" fact="0.458"/>
              <dgm:constr type="h" for="ch" forName="Accent6" refType="h" fact="0.226"/>
              <dgm:constr type="l" for="ch" forName="Parent5" refType="w" fact="0.2658"/>
              <dgm:constr type="t" for="ch" forName="Parent5" refType="h" fact="0.7005"/>
              <dgm:constr type="w" for="ch" forName="Parent5" refType="w" fact="0.2975"/>
              <dgm:constr type="h" for="ch" forName="Parent5" refType="h" fact="0.0733"/>
              <dgm:constr type="l" for="ch" forName="Parent6" refType="w" fact="0.1171"/>
              <dgm:constr type="t" for="ch" forName="Parent6" refType="h" fact="0.8519"/>
              <dgm:constr type="w" for="ch" forName="Parent6" refType="w" fact="0.2975"/>
              <dgm:constr type="h" for="ch" forName="Parent6" refType="h" fact="0.0733"/>
              <dgm:constr type="l" for="ch" forName="Child5" refType="w" fact="0.6804"/>
              <dgm:constr type="t" for="ch" forName="Child5" refType="h" fact="0.6833"/>
              <dgm:constr type="w" for="ch" forName="Child5" refType="w" fact="0.3196"/>
              <dgm:constr type="h" for="ch" forName="Child5" refType="h" fact="0.1046"/>
              <dgm:constr type="l" for="ch" forName="Child6" refType="w" fact="0.5348"/>
              <dgm:constr type="t" for="ch" forName="Child6" refType="h" fact="0.8347"/>
              <dgm:constr type="w" for="ch" forName="Child6" refType="w" fact="0.3196"/>
              <dgm:constr type="h" for="ch" forName="Child6" refType="h" fact="0.1046"/>
            </dgm:constrLst>
          </dgm:if>
          <dgm:else name="Name10">
            <dgm:alg type="composite">
              <dgm:param type="ar" val="0.4284"/>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6" refType="primFontSz" refFor="des" refForName="Parent1" op="lte"/>
              <dgm:constr type="primFontSz" for="des" forName="Child7"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6" refType="primFontSz" refFor="des" refForName="Parent2" op="lte"/>
              <dgm:constr type="primFontSz" for="des" forName="Child7"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6" refType="primFontSz" refFor="des" refForName="Parent3" op="lte"/>
              <dgm:constr type="primFontSz" for="des" forName="Child7"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6" refType="primFontSz" refFor="des" refForName="Parent4" op="lte"/>
              <dgm:constr type="primFontSz" for="des" forName="Child7"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Child6" refType="primFontSz" refFor="des" refForName="Parent5" op="lte"/>
              <dgm:constr type="primFontSz" for="des" forName="Child7" refType="primFontSz" refFor="des" refForName="Parent5" op="lte"/>
              <dgm:constr type="primFontSz" for="des" forName="Child1" refType="primFontSz" refFor="des" refForName="Parent6" op="lte"/>
              <dgm:constr type="primFontSz" for="des" forName="Child2" refType="primFontSz" refFor="des" refForName="Parent6" op="lte"/>
              <dgm:constr type="primFontSz" for="des" forName="Child3" refType="primFontSz" refFor="des" refForName="Parent6" op="lte"/>
              <dgm:constr type="primFontSz" for="des" forName="Child4" refType="primFontSz" refFor="des" refForName="Parent6" op="lte"/>
              <dgm:constr type="primFontSz" for="des" forName="Child5" refType="primFontSz" refFor="des" refForName="Parent6" op="lte"/>
              <dgm:constr type="primFontSz" for="des" forName="Child6" refType="primFontSz" refFor="des" refForName="Parent6" op="lte"/>
              <dgm:constr type="primFontSz" for="des" forName="Child7" refType="primFontSz" refFor="des" refForName="Parent6" op="lte"/>
              <dgm:constr type="primFontSz" for="des" forName="Child1" refType="primFontSz" refFor="des" refForName="Parent7" op="lte"/>
              <dgm:constr type="primFontSz" for="des" forName="Child2" refType="primFontSz" refFor="des" refForName="Parent7" op="lte"/>
              <dgm:constr type="primFontSz" for="des" forName="Child3" refType="primFontSz" refFor="des" refForName="Parent7" op="lte"/>
              <dgm:constr type="primFontSz" for="des" forName="Child4" refType="primFontSz" refFor="des" refForName="Parent7" op="lte"/>
              <dgm:constr type="primFontSz" for="des" forName="Child5" refType="primFontSz" refFor="des" refForName="Parent7" op="lte"/>
              <dgm:constr type="primFontSz" for="des" forName="Child6" refType="primFontSz" refFor="des" refForName="Parent7" op="lte"/>
              <dgm:constr type="primFontSz" for="des" forName="Child7" refType="primFontSz" refFor="des" refForName="Parent7"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Parent6" refType="primFontSz" refFor="des" refForName="Parent1" op="equ"/>
              <dgm:constr type="primFontSz" for="des" forName="Parent7"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primFontSz" for="des" forName="Child6" refType="primFontSz" refFor="des" refForName="Child1" op="equ"/>
              <dgm:constr type="primFontSz" for="des" forName="Child7" refType="primFontSz" refFor="des" refForName="Child1" op="equ"/>
              <dgm:constr type="l" for="ch" forName="Accent1" refType="w" fact="0.1481"/>
              <dgm:constr type="t" for="ch" forName="Accent1" refType="h" fact="0"/>
              <dgm:constr type="w" for="ch" forName="Accent1" refType="w" fact="0.5331"/>
              <dgm:constr type="h" for="ch" forName="Accent1" refType="h" fact="0.2284"/>
              <dgm:constr type="l" for="ch" forName="Accent2" refType="w" fact="0"/>
              <dgm:constr type="t" for="ch" forName="Accent2" refType="h" fact="0.1312"/>
              <dgm:constr type="w" for="ch" forName="Accent2" refType="w" fact="0.5331"/>
              <dgm:constr type="h" for="ch" forName="Accent2" refType="h" fact="0.2284"/>
              <dgm:constr type="l" for="ch" forName="Accent3" refType="w" fact="0.1481"/>
              <dgm:constr type="t" for="ch" forName="Accent3" refType="h" fact="0.263"/>
              <dgm:constr type="w" for="ch" forName="Accent3" refType="w" fact="0.5331"/>
              <dgm:constr type="h" for="ch" forName="Accent3" refType="h" fact="0.2284"/>
              <dgm:constr type="l" for="ch" forName="Accent4" refType="w" fact="0"/>
              <dgm:constr type="t" for="ch" forName="Accent4" refType="h" fact="0.3945"/>
              <dgm:constr type="w" for="ch" forName="Accent4" refType="w" fact="0.5331"/>
              <dgm:constr type="h" for="ch" forName="Accent4" refType="h" fact="0.2284"/>
              <dgm:constr type="l" for="ch" forName="Parent1" refType="w" fact="0.2658"/>
              <dgm:constr type="t" for="ch" forName="Parent1" refType="h" fact="0.0827"/>
              <dgm:constr type="w" for="ch" forName="Parent1" refType="w" fact="0.2975"/>
              <dgm:constr type="h" for="ch" forName="Parent1" refType="h" fact="0.0637"/>
              <dgm:constr type="l" for="ch" forName="Parent2" refType="w" fact="0.1171"/>
              <dgm:constr type="t" for="ch" forName="Parent2" refType="h" fact="0.2142"/>
              <dgm:constr type="w" for="ch" forName="Parent2" refType="w" fact="0.2975"/>
              <dgm:constr type="h" for="ch" forName="Parent2" refType="h" fact="0.0637"/>
              <dgm:constr type="l" for="ch" forName="Parent3" refType="w" fact="0.2658"/>
              <dgm:constr type="t" for="ch" forName="Parent3" refType="h" fact="0.3457"/>
              <dgm:constr type="w" for="ch" forName="Parent3" refType="w" fact="0.2975"/>
              <dgm:constr type="h" for="ch" forName="Parent3" refType="h" fact="0.0637"/>
              <dgm:constr type="l" for="ch" forName="Parent4" refType="w" fact="0.1171"/>
              <dgm:constr type="t" for="ch" forName="Parent4" refType="h" fact="0.4772"/>
              <dgm:constr type="w" for="ch" forName="Parent4" refType="w" fact="0.2975"/>
              <dgm:constr type="h" for="ch" forName="Parent4" refType="h" fact="0.0637"/>
              <dgm:constr type="l" for="ch" forName="Child1" refType="w" fact="0.6804"/>
              <dgm:constr type="t" for="ch" forName="Child1" refType="h" fact="0.0678"/>
              <dgm:constr type="w" for="ch" forName="Child1" refType="w" fact="0.3196"/>
              <dgm:constr type="h" for="ch" forName="Child1" refType="h" fact="0.0908"/>
              <dgm:constr type="l" for="ch" forName="Child2" refType="w" fact="0.5348"/>
              <dgm:constr type="t" for="ch" forName="Child2" refType="h" fact="0.2006"/>
              <dgm:constr type="w" for="ch" forName="Child2" refType="w" fact="0.3196"/>
              <dgm:constr type="h" for="ch" forName="Child2" refType="h" fact="0.0908"/>
              <dgm:constr type="l" for="ch" forName="Child3" refType="w" fact="0.6804"/>
              <dgm:constr type="t" for="ch" forName="Child3" refType="h" fact="0.3308"/>
              <dgm:constr type="w" for="ch" forName="Child3" refType="w" fact="0.3196"/>
              <dgm:constr type="h" for="ch" forName="Child3" refType="h" fact="0.0908"/>
              <dgm:constr type="l" for="ch" forName="Child4" refType="w" fact="0.5348"/>
              <dgm:constr type="t" for="ch" forName="Child4" refType="h" fact="0.4623"/>
              <dgm:constr type="w" for="ch" forName="Child4" refType="w" fact="0.3196"/>
              <dgm:constr type="h" for="ch" forName="Child4" refType="h" fact="0.0908"/>
              <dgm:constr type="l" for="ch" forName="Accent5" refType="w" fact="0.1481"/>
              <dgm:constr type="t" for="ch" forName="Accent5" refType="h" fact="0.5258"/>
              <dgm:constr type="w" for="ch" forName="Accent5" refType="w" fact="0.5331"/>
              <dgm:constr type="h" for="ch" forName="Accent5" refType="h" fact="0.2284"/>
              <dgm:constr type="l" for="ch" forName="Accent6" refType="w" fact="0"/>
              <dgm:constr type="t" for="ch" forName="Accent6" refType="h" fact="0.6573"/>
              <dgm:constr type="w" for="ch" forName="Accent6" refType="w" fact="0.5331"/>
              <dgm:constr type="h" for="ch" forName="Accent6" refType="h" fact="0.2284"/>
              <dgm:constr type="l" for="ch" forName="Accent7" refType="w" fact="0.186"/>
              <dgm:constr type="t" for="ch" forName="Accent7" refType="h" fact="0.8037"/>
              <dgm:constr type="w" for="ch" forName="Accent7" refType="w" fact="0.458"/>
              <dgm:constr type="h" for="ch" forName="Accent7" refType="h" fact="0.1963"/>
              <dgm:constr type="l" for="ch" forName="Parent5" refType="w" fact="0.2658"/>
              <dgm:constr type="t" for="ch" forName="Parent5" refType="h" fact="0.6085"/>
              <dgm:constr type="w" for="ch" forName="Parent5" refType="w" fact="0.2975"/>
              <dgm:constr type="h" for="ch" forName="Parent5" refType="h" fact="0.0637"/>
              <dgm:constr type="l" for="ch" forName="Parent6" refType="w" fact="0.1171"/>
              <dgm:constr type="t" for="ch" forName="Parent6" refType="h" fact="0.74"/>
              <dgm:constr type="w" for="ch" forName="Parent6" refType="w" fact="0.2975"/>
              <dgm:constr type="h" for="ch" forName="Parent6" refType="h" fact="0.0637"/>
              <dgm:constr type="l" for="ch" forName="Parent7" refType="w" fact="0.2658"/>
              <dgm:constr type="t" for="ch" forName="Parent7" refType="h" fact="0.8715"/>
              <dgm:constr type="w" for="ch" forName="Parent7" refType="w" fact="0.2975"/>
              <dgm:constr type="h" for="ch" forName="Parent7" refType="h" fact="0.0637"/>
              <dgm:constr type="l" for="ch" forName="Child5" refType="w" fact="0.6804"/>
              <dgm:constr type="t" for="ch" forName="Child5" refType="h" fact="0.5936"/>
              <dgm:constr type="w" for="ch" forName="Child5" refType="w" fact="0.3196"/>
              <dgm:constr type="h" for="ch" forName="Child5" refType="h" fact="0.0908"/>
              <dgm:constr type="l" for="ch" forName="Child6" refType="w" fact="0.5348"/>
              <dgm:constr type="t" for="ch" forName="Child6" refType="h" fact="0.7251"/>
              <dgm:constr type="w" for="ch" forName="Child6" refType="w" fact="0.3196"/>
              <dgm:constr type="h" for="ch" forName="Child6" refType="h" fact="0.0908"/>
              <dgm:constr type="l" for="ch" forName="Child7" refType="w" fact="0.6804"/>
              <dgm:constr type="t" for="ch" forName="Child7" refType="h" fact="0.8579"/>
              <dgm:constr type="w" for="ch" forName="Child7" refType="w" fact="0.3196"/>
              <dgm:constr type="h" for="ch" forName="Child7" refType="h" fact="0.0908"/>
            </dgm:constrLst>
          </dgm:else>
        </dgm:choose>
      </dgm:if>
      <dgm:else name="Name11">
        <dgm:choose name="Name12">
          <dgm:if name="Name13" axis="ch" ptType="node" func="cnt" op="equ" val="1">
            <dgm:alg type="composite">
              <dgm:param type="ar" val="1.5999"/>
            </dgm:alg>
            <dgm:constrLst>
              <dgm:constr type="primFontSz" for="des" forName="Child1" val="65"/>
              <dgm:constr type="primFontSz" for="des" forName="Parent1" val="65"/>
              <dgm:constr type="primFontSz" for="des" forName="Child1" refType="primFontSz" refFor="des" refForName="Parent1" op="lte"/>
              <dgm:constr type="l" for="ch" forName="Child1" refType="w" fact="0.625"/>
              <dgm:constr type="t" for="ch" forName="Child1" refType="h" fact="0.2981"/>
              <dgm:constr type="w" for="ch" forName="Child1" refType="w" fact="0.375"/>
              <dgm:constr type="h" for="ch" forName="Child1" refType="h" fact="0.4001"/>
              <dgm:constr type="l" for="ch" forName="Accent1" refType="w" fact="0"/>
              <dgm:constr type="t" for="ch" forName="Accent1" refType="h" fact="0"/>
              <dgm:constr type="w" for="ch" forName="Accent1" refType="w" fact="0.6249"/>
              <dgm:constr type="h" for="ch" forName="Accent1" refType="h"/>
              <dgm:constr type="l" for="ch" forName="Parent1" refType="w" fact="0.138"/>
              <dgm:constr type="t" for="ch" forName="Parent1" refType="h" fact="0.362"/>
              <dgm:constr type="w" for="ch" forName="Parent1" refType="w" fact="0.3487"/>
              <dgm:constr type="h" for="ch" forName="Parent1" refType="h" fact="0.2789"/>
            </dgm:constrLst>
          </dgm:if>
          <dgm:if name="Name14" axis="ch" ptType="node" func="cnt" op="equ" val="2">
            <dgm:alg type="composite">
              <dgm:param type="ar" val="1.2026"/>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Parent2" refType="primFontSz" refFor="des" refForName="Parent1" op="equ"/>
              <dgm:constr type="primFontSz" for="des" forName="Child2" refType="primFontSz" refFor="des" refForName="Child1" op="equ"/>
              <dgm:constr type="l" for="ch" forName="Accent1" refType="w" fact="-0.0407"/>
              <dgm:constr type="t" for="ch" forName="Accent1" refType="h" fact="0"/>
              <dgm:constr type="w" for="ch" forName="Accent1" refType="w" fact="0.5542"/>
              <dgm:constr type="h" for="ch" forName="Accent1" refType="h" fact="0.6665"/>
              <dgm:constr type="l" for="ch" forName="Accent2" refType="w" fact="0.1533"/>
              <dgm:constr type="t" for="ch" forName="Accent2" refType="h" fact="0.4272"/>
              <dgm:constr type="w" for="ch" forName="Accent2" refType="w" fact="0.4761"/>
              <dgm:constr type="h" for="ch" forName="Accent2" refType="h" fact="0.5728"/>
              <dgm:constr type="l" for="ch" forName="Parent1" refType="w" fact="0.0822"/>
              <dgm:constr type="t" for="ch" forName="Parent1" refType="h" fact="0.2413"/>
              <dgm:constr type="w" for="ch" forName="Parent1" refType="w" fact="0.3092"/>
              <dgm:constr type="h" for="ch" forName="Parent1" refType="h" fact="0.1859"/>
              <dgm:constr type="l" for="ch" forName="Parent2" refType="w" fact="0.2368"/>
              <dgm:constr type="t" for="ch" forName="Parent2" refType="h" fact="0.625"/>
              <dgm:constr type="w" for="ch" forName="Parent2" refType="w" fact="0.3092"/>
              <dgm:constr type="h" for="ch" forName="Parent2" refType="h" fact="0.1859"/>
              <dgm:constr type="l" for="ch" forName="Child1" refType="w" fact="0.5164"/>
              <dgm:constr type="t" for="ch" forName="Child1" refType="h" fact="0.1978"/>
              <dgm:constr type="w" for="ch" forName="Child1" refType="w" fact="0.3322"/>
              <dgm:constr type="h" for="ch" forName="Child1" refType="h" fact="0.265"/>
              <dgm:constr type="l" for="ch" forName="Child2" refType="w" fact="0.6678"/>
              <dgm:constr type="t" for="ch" forName="Child2" refType="h" fact="0.5855"/>
              <dgm:constr type="w" for="ch" forName="Child2" refType="w" fact="0.3322"/>
              <dgm:constr type="h" for="ch" forName="Child2" refType="h" fact="0.265"/>
            </dgm:constrLst>
          </dgm:if>
          <dgm:if name="Name15" axis="ch" ptType="node" func="cnt" op="equ" val="3">
            <dgm:alg type="composite">
              <dgm:param type="ar" val="0.9039"/>
            </dgm:alg>
            <dgm:shape xmlns:r="http://schemas.openxmlformats.org/officeDocument/2006/relationships" r:blip="">
              <dgm:adjLst/>
            </dgm:shape>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Parent2" refType="primFontSz" refFor="des" refForName="Parent1" op="equ"/>
              <dgm:constr type="primFontSz" for="des" forName="Parent3" refType="primFontSz" refFor="des" refForName="Parent1" op="equ"/>
              <dgm:constr type="primFontSz" for="des" forName="Child2" refType="primFontSz" refFor="des" refForName="Child1" op="equ"/>
              <dgm:constr type="primFontSz" for="des" forName="Child3" refType="primFontSz" refFor="des" refForName="Child1" op="equ"/>
              <dgm:constr type="l" for="ch" forName="Accent1" refType="w" fact="0"/>
              <dgm:constr type="t" for="ch" forName="Accent1" refType="h" fact="0"/>
              <dgm:constr type="w" for="ch" forName="Accent1" refType="w" fact="0.5325"/>
              <dgm:constr type="h" for="ch" forName="Accent1" refType="h" fact="0.4814"/>
              <dgm:constr type="l" for="ch" forName="Accent2" refType="w" fact="0.1479"/>
              <dgm:constr type="t" for="ch" forName="Accent2" refType="h" fact="0.2766"/>
              <dgm:constr type="w" for="ch" forName="Accent2" refType="w" fact="0.5325"/>
              <dgm:constr type="h" for="ch" forName="Accent2" refType="h" fact="0.4814"/>
              <dgm:constr type="l" for="ch" forName="Accent3" refType="w" fact="0.0378"/>
              <dgm:constr type="t" for="ch" forName="Accent3" refType="h" fact="0.5863"/>
              <dgm:constr type="w" for="ch" forName="Accent3" refType="w" fact="0.4575"/>
              <dgm:constr type="h" for="ch" forName="Accent3" refType="h" fact="0.4137"/>
              <dgm:constr type="l" for="ch" forName="Parent1" refType="w" fact="0.1183"/>
              <dgm:constr type="t" for="ch" forName="Parent1" refType="h" fact="0.1738"/>
              <dgm:constr type="w" for="ch" forName="Parent1" refType="w" fact="0.2959"/>
              <dgm:constr type="h" for="ch" forName="Parent1" refType="h" fact="0.1337"/>
              <dgm:constr type="l" for="ch" forName="Parent2" refType="w" fact="0.2656"/>
              <dgm:constr type="t" for="ch" forName="Parent2" refType="h" fact="0.452"/>
              <dgm:constr type="w" for="ch" forName="Parent2" refType="w" fact="0.2959"/>
              <dgm:constr type="h" for="ch" forName="Parent2" refType="h" fact="0.1337"/>
              <dgm:constr type="l" for="ch" forName="Parent3" refType="w" fact="0.1183"/>
              <dgm:constr type="t" for="ch" forName="Parent3" refType="h" fact="0.7306"/>
              <dgm:constr type="w" for="ch" forName="Parent3" refType="w" fact="0.2959"/>
              <dgm:constr type="h" for="ch" forName="Parent3" refType="h" fact="0.1337"/>
              <dgm:constr type="l" for="ch" forName="Child1" refType="w" fact="0.5325"/>
              <dgm:constr type="t" for="ch" forName="Child1" refType="h" fact="0.1435"/>
              <dgm:constr type="w" for="ch" forName="Child1" refType="w" fact="0.3195"/>
              <dgm:constr type="h" for="ch" forName="Child1" refType="h" fact="0.1926"/>
              <dgm:constr type="l" for="ch" forName="Child2" refType="w" fact="0.6805"/>
              <dgm:constr type="t" for="ch" forName="Child2" refType="h" fact="0.4217"/>
              <dgm:constr type="w" for="ch" forName="Child2" refType="w" fact="0.3195"/>
              <dgm:constr type="h" for="ch" forName="Child2" refType="h" fact="0.1926"/>
              <dgm:constr type="l" for="ch" forName="Child3" refType="w" fact="0.5325"/>
              <dgm:constr type="t" for="ch" forName="Child3" refType="h" fact="0.6998"/>
              <dgm:constr type="w" for="ch" forName="Child3" refType="w" fact="0.3195"/>
              <dgm:constr type="h" for="ch" forName="Child3" refType="h" fact="0.1926"/>
            </dgm:constrLst>
          </dgm:if>
          <dgm:if name="Name16" axis="ch" ptType="node" func="cnt" op="equ" val="4">
            <dgm:alg type="composite">
              <dgm:param type="ar" val="0.7073"/>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l" for="ch" forName="Accent1" refType="w" fact="0"/>
              <dgm:constr type="t" for="ch" forName="Accent1" refType="h" fact="0"/>
              <dgm:constr type="w" for="ch" forName="Accent1" refType="w" fact="0.5331"/>
              <dgm:constr type="h" for="ch" forName="Accent1" refType="h" fact="0.3771"/>
              <dgm:constr type="l" for="ch" forName="Accent2" refType="w" fact="0.1481"/>
              <dgm:constr type="t" for="ch" forName="Accent2" refType="h" fact="0.2167"/>
              <dgm:constr type="w" for="ch" forName="Accent2" refType="w" fact="0.5331"/>
              <dgm:constr type="h" for="ch" forName="Accent2" refType="h" fact="0.3771"/>
              <dgm:constr type="l" for="ch" forName="Accent3" refType="w" fact="0"/>
              <dgm:constr type="t" for="ch" forName="Accent3" refType="h" fact="0.4342"/>
              <dgm:constr type="w" for="ch" forName="Accent3" refType="w" fact="0.5331"/>
              <dgm:constr type="h" for="ch" forName="Accent3" refType="h" fact="0.3771"/>
              <dgm:constr type="l" for="ch" forName="Accent4" refType="w" fact="0.186"/>
              <dgm:constr type="t" for="ch" forName="Accent4" refType="h" fact="0.6759"/>
              <dgm:constr type="w" for="ch" forName="Accent4" refType="w" fact="0.458"/>
              <dgm:constr type="h" for="ch" forName="Accent4" refType="h" fact="0.3241"/>
              <dgm:constr type="l" for="ch" forName="Parent1" refType="w" fact="0.1171"/>
              <dgm:constr type="t" for="ch" forName="Parent1" refType="h" fact="0.1365"/>
              <dgm:constr type="w" for="ch" forName="Parent1" refType="w" fact="0.2975"/>
              <dgm:constr type="h" for="ch" forName="Parent1" refType="h" fact="0.1052"/>
              <dgm:constr type="l" for="ch" forName="Parent2" refType="w" fact="0.2658"/>
              <dgm:constr type="t" for="ch" forName="Parent2" refType="h" fact="0.3536"/>
              <dgm:constr type="w" for="ch" forName="Parent2" refType="w" fact="0.2975"/>
              <dgm:constr type="h" for="ch" forName="Parent2" refType="h" fact="0.1052"/>
              <dgm:constr type="l" for="ch" forName="Parent3" refType="w" fact="0.1171"/>
              <dgm:constr type="t" for="ch" forName="Parent3" refType="h" fact="0.5707"/>
              <dgm:constr type="w" for="ch" forName="Parent3" refType="w" fact="0.2975"/>
              <dgm:constr type="h" for="ch" forName="Parent3" refType="h" fact="0.1052"/>
              <dgm:constr type="l" for="ch" forName="Parent4" refType="w" fact="0.2658"/>
              <dgm:constr type="t" for="ch" forName="Parent4" refType="h" fact="0.7878"/>
              <dgm:constr type="w" for="ch" forName="Parent4" refType="w" fact="0.2975"/>
              <dgm:constr type="h" for="ch" forName="Parent4" refType="h" fact="0.1052"/>
              <dgm:constr type="l" for="ch" forName="Child1" refType="w" fact="0.5348"/>
              <dgm:constr type="t" for="ch" forName="Child1" refType="h" fact="0.1119"/>
              <dgm:constr type="w" for="ch" forName="Child1" refType="w" fact="0.3196"/>
              <dgm:constr type="h" for="ch" forName="Child1" refType="h" fact="0.15"/>
              <dgm:constr type="l" for="ch" forName="Child2" refType="w" fact="0.6804"/>
              <dgm:constr type="t" for="ch" forName="Child2" refType="h" fact="0.3312"/>
              <dgm:constr type="w" for="ch" forName="Child2" refType="w" fact="0.3196"/>
              <dgm:constr type="h" for="ch" forName="Child2" refType="h" fact="0.15"/>
              <dgm:constr type="l" for="ch" forName="Child3" refType="w" fact="0.5348"/>
              <dgm:constr type="t" for="ch" forName="Child3" refType="h" fact="0.5461"/>
              <dgm:constr type="w" for="ch" forName="Child3" refType="w" fact="0.3196"/>
              <dgm:constr type="h" for="ch" forName="Child3" refType="h" fact="0.15"/>
              <dgm:constr type="l" for="ch" forName="Child4" refType="w" fact="0.6804"/>
              <dgm:constr type="t" for="ch" forName="Child4" refType="h" fact="0.7632"/>
              <dgm:constr type="w" for="ch" forName="Child4" refType="w" fact="0.3196"/>
              <dgm:constr type="h" for="ch" forName="Child4" refType="h" fact="0.15"/>
            </dgm:constrLst>
          </dgm:if>
          <dgm:if name="Name17" axis="ch" ptType="node" func="cnt" op="equ" val="5">
            <dgm:alg type="composite">
              <dgm:param type="ar" val="0.5811"/>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l" for="ch" forName="Accent1" refType="w" fact="0"/>
              <dgm:constr type="t" for="ch" forName="Accent1" refType="h" fact="0"/>
              <dgm:constr type="w" for="ch" forName="Accent1" refType="w" fact="0.5331"/>
              <dgm:constr type="h" for="ch" forName="Accent1" refType="h" fact="0.3098"/>
              <dgm:constr type="l" for="ch" forName="Accent2" refType="w" fact="0.1481"/>
              <dgm:constr type="t" for="ch" forName="Accent2" refType="h" fact="0.178"/>
              <dgm:constr type="w" for="ch" forName="Accent2" refType="w" fact="0.5331"/>
              <dgm:constr type="h" for="ch" forName="Accent2" refType="h" fact="0.3098"/>
              <dgm:constr type="l" for="ch" forName="Accent3" refType="w" fact="0"/>
              <dgm:constr type="t" for="ch" forName="Accent3" refType="h" fact="0.3568"/>
              <dgm:constr type="w" for="ch" forName="Accent3" refType="w" fact="0.5331"/>
              <dgm:constr type="h" for="ch" forName="Accent3" refType="h" fact="0.3098"/>
              <dgm:constr type="l" for="ch" forName="Accent4" refType="w" fact="0.1481"/>
              <dgm:constr type="t" for="ch" forName="Accent4" refType="h" fact="0.5351"/>
              <dgm:constr type="w" for="ch" forName="Accent4" refType="w" fact="0.5331"/>
              <dgm:constr type="h" for="ch" forName="Accent4" refType="h" fact="0.3098"/>
              <dgm:constr type="l" for="ch" forName="Accent5" refType="w" fact="0.0378"/>
              <dgm:constr type="t" for="ch" forName="Accent5" refType="h" fact="0.7337"/>
              <dgm:constr type="w" for="ch" forName="Accent5" refType="w" fact="0.458"/>
              <dgm:constr type="h" for="ch" forName="Accent5" refType="h" fact="0.2663"/>
              <dgm:constr type="l" for="ch" forName="Parent1" refType="w" fact="0.1171"/>
              <dgm:constr type="t" for="ch" forName="Parent1" refType="h" fact="0.1122"/>
              <dgm:constr type="w" for="ch" forName="Parent1" refType="w" fact="0.2975"/>
              <dgm:constr type="h" for="ch" forName="Parent1" refType="h" fact="0.0864"/>
              <dgm:constr type="l" for="ch" forName="Parent2" refType="w" fact="0.2658"/>
              <dgm:constr type="t" for="ch" forName="Parent2" refType="h" fact="0.2906"/>
              <dgm:constr type="w" for="ch" forName="Parent2" refType="w" fact="0.2975"/>
              <dgm:constr type="h" for="ch" forName="Parent2" refType="h" fact="0.0864"/>
              <dgm:constr type="l" for="ch" forName="Parent3" refType="w" fact="0.1171"/>
              <dgm:constr type="t" for="ch" forName="Parent3" refType="h" fact="0.4689"/>
              <dgm:constr type="w" for="ch" forName="Parent3" refType="w" fact="0.2975"/>
              <dgm:constr type="h" for="ch" forName="Parent3" refType="h" fact="0.0864"/>
              <dgm:constr type="l" for="ch" forName="Parent4" refType="w" fact="0.2658"/>
              <dgm:constr type="t" for="ch" forName="Parent4" refType="h" fact="0.6473"/>
              <dgm:constr type="w" for="ch" forName="Parent4" refType="w" fact="0.2975"/>
              <dgm:constr type="h" for="ch" forName="Parent4" refType="h" fact="0.0864"/>
              <dgm:constr type="l" for="ch" forName="Parent5" refType="w" fact="0.1171"/>
              <dgm:constr type="t" for="ch" forName="Parent5" refType="h" fact="0.8257"/>
              <dgm:constr type="w" for="ch" forName="Parent5" refType="w" fact="0.2975"/>
              <dgm:constr type="h" for="ch" forName="Parent5" refType="h" fact="0.0864"/>
              <dgm:constr type="l" for="ch" forName="Child1" refType="w" fact="0.5348"/>
              <dgm:constr type="t" for="ch" forName="Child1" refType="h" fact="0.0919"/>
              <dgm:constr type="w" for="ch" forName="Child1" refType="w" fact="0.3196"/>
              <dgm:constr type="h" for="ch" forName="Child1" refType="h" fact="0.1232"/>
              <dgm:constr type="l" for="ch" forName="Child2" refType="w" fact="0.6804"/>
              <dgm:constr type="t" for="ch" forName="Child2" refType="h" fact="0.2722"/>
              <dgm:constr type="w" for="ch" forName="Child2" refType="w" fact="0.3196"/>
              <dgm:constr type="h" for="ch" forName="Child2" refType="h" fact="0.1232"/>
              <dgm:constr type="l" for="ch" forName="Child3" refType="w" fact="0.5348"/>
              <dgm:constr type="t" for="ch" forName="Child3" refType="h" fact="0.4487"/>
              <dgm:constr type="w" for="ch" forName="Child3" refType="w" fact="0.3196"/>
              <dgm:constr type="h" for="ch" forName="Child3" refType="h" fact="0.1232"/>
              <dgm:constr type="l" for="ch" forName="Child4" refType="w" fact="0.6804"/>
              <dgm:constr type="t" for="ch" forName="Child4" refType="h" fact="0.6271"/>
              <dgm:constr type="w" for="ch" forName="Child4" refType="w" fact="0.3196"/>
              <dgm:constr type="h" for="ch" forName="Child4" refType="h" fact="0.1232"/>
              <dgm:constr type="l" for="ch" forName="Child5" refType="w" fact="0.5348"/>
              <dgm:constr type="t" for="ch" forName="Child5" refType="h" fact="0.8073"/>
              <dgm:constr type="w" for="ch" forName="Child5" refType="w" fact="0.3196"/>
              <dgm:constr type="h" for="ch" forName="Child5" refType="h" fact="0.1232"/>
            </dgm:constrLst>
          </dgm:if>
          <dgm:if name="Name18" axis="ch" ptType="node" func="cnt" op="equ" val="6">
            <dgm:alg type="composite">
              <dgm:param type="ar" val="0.4931"/>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6"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6"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6"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6"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Child6" refType="primFontSz" refFor="des" refForName="Parent5" op="lte"/>
              <dgm:constr type="primFontSz" for="des" forName="Child1" refType="primFontSz" refFor="des" refForName="Parent6" op="lte"/>
              <dgm:constr type="primFontSz" for="des" forName="Child2" refType="primFontSz" refFor="des" refForName="Parent6" op="lte"/>
              <dgm:constr type="primFontSz" for="des" forName="Child3" refType="primFontSz" refFor="des" refForName="Parent6" op="lte"/>
              <dgm:constr type="primFontSz" for="des" forName="Child4" refType="primFontSz" refFor="des" refForName="Parent6" op="lte"/>
              <dgm:constr type="primFontSz" for="des" forName="Child5" refType="primFontSz" refFor="des" refForName="Parent6" op="lte"/>
              <dgm:constr type="primFontSz" for="des" forName="Child6" refType="primFontSz" refFor="des" refForName="Parent6"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Parent6"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primFontSz" for="des" forName="Child6" refType="primFontSz" refFor="des" refForName="Child1" op="equ"/>
              <dgm:constr type="l" for="ch" forName="Accent1" refType="w" fact="0"/>
              <dgm:constr type="t" for="ch" forName="Accent1" refType="h" fact="0"/>
              <dgm:constr type="w" for="ch" forName="Accent1" refType="w" fact="0.5331"/>
              <dgm:constr type="h" for="ch" forName="Accent1" refType="h" fact="0.2629"/>
              <dgm:constr type="l" for="ch" forName="Accent2" refType="w" fact="0.1481"/>
              <dgm:constr type="t" for="ch" forName="Accent2" refType="h" fact="0.1511"/>
              <dgm:constr type="w" for="ch" forName="Accent2" refType="w" fact="0.5331"/>
              <dgm:constr type="h" for="ch" forName="Accent2" refType="h" fact="0.2629"/>
              <dgm:constr type="l" for="ch" forName="Accent3" refType="w" fact="0"/>
              <dgm:constr type="t" for="ch" forName="Accent3" refType="h" fact="0.3027"/>
              <dgm:constr type="w" for="ch" forName="Accent3" refType="w" fact="0.5331"/>
              <dgm:constr type="h" for="ch" forName="Accent3" refType="h" fact="0.2629"/>
              <dgm:constr type="l" for="ch" forName="Accent4" refType="w" fact="0.1481"/>
              <dgm:constr type="t" for="ch" forName="Accent4" refType="h" fact="0.4541"/>
              <dgm:constr type="w" for="ch" forName="Accent4" refType="w" fact="0.5331"/>
              <dgm:constr type="h" for="ch" forName="Accent4" refType="h" fact="0.2629"/>
              <dgm:constr type="l" for="ch" forName="Accent5" refType="w" fact="0"/>
              <dgm:constr type="t" for="ch" forName="Accent5" refType="h" fact="0.6053"/>
              <dgm:constr type="w" for="ch" forName="Accent5" refType="w" fact="0.5331"/>
              <dgm:constr type="h" for="ch" forName="Accent5" refType="h" fact="0.2629"/>
              <dgm:constr type="l" for="ch" forName="Accent6" refType="w" fact="0.186"/>
              <dgm:constr type="t" for="ch" forName="Accent6" refType="h" fact="0.774"/>
              <dgm:constr type="w" for="ch" forName="Accent6" refType="w" fact="0.458"/>
              <dgm:constr type="h" for="ch" forName="Accent6" refType="h" fact="0.226"/>
              <dgm:constr type="l" for="ch" forName="Parent1" refType="w" fact="0.1171"/>
              <dgm:constr type="t" for="ch" forName="Parent1" refType="h" fact="0.0952"/>
              <dgm:constr type="w" for="ch" forName="Parent1" refType="w" fact="0.2975"/>
              <dgm:constr type="h" for="ch" forName="Parent1" refType="h" fact="0.0733"/>
              <dgm:constr type="l" for="ch" forName="Parent2" refType="w" fact="0.2658"/>
              <dgm:constr type="t" for="ch" forName="Parent2" refType="h" fact="0.2466"/>
              <dgm:constr type="w" for="ch" forName="Parent2" refType="w" fact="0.2975"/>
              <dgm:constr type="h" for="ch" forName="Parent2" refType="h" fact="0.0733"/>
              <dgm:constr type="l" for="ch" forName="Parent3" refType="w" fact="0.1171"/>
              <dgm:constr type="t" for="ch" forName="Parent3" refType="h" fact="0.3979"/>
              <dgm:constr type="w" for="ch" forName="Parent3" refType="w" fact="0.2975"/>
              <dgm:constr type="h" for="ch" forName="Parent3" refType="h" fact="0.0733"/>
              <dgm:constr type="l" for="ch" forName="Parent4" refType="w" fact="0.2658"/>
              <dgm:constr type="t" for="ch" forName="Parent4" refType="h" fact="0.5493"/>
              <dgm:constr type="w" for="ch" forName="Parent4" refType="w" fact="0.2975"/>
              <dgm:constr type="h" for="ch" forName="Parent4" refType="h" fact="0.0733"/>
              <dgm:constr type="l" for="ch" forName="Parent5" refType="w" fact="0.1171"/>
              <dgm:constr type="t" for="ch" forName="Parent5" refType="h" fact="0.7005"/>
              <dgm:constr type="w" for="ch" forName="Parent5" refType="w" fact="0.2975"/>
              <dgm:constr type="h" for="ch" forName="Parent5" refType="h" fact="0.0733"/>
              <dgm:constr type="l" for="ch" forName="Parent6" refType="w" fact="0.2658"/>
              <dgm:constr type="t" for="ch" forName="Parent6" refType="h" fact="0.8519"/>
              <dgm:constr type="w" for="ch" forName="Parent6" refType="w" fact="0.2975"/>
              <dgm:constr type="h" for="ch" forName="Parent6" refType="h" fact="0.0733"/>
              <dgm:constr type="l" for="ch" forName="Child1" refType="w" fact="0.5348"/>
              <dgm:constr type="t" for="ch" forName="Child1" refType="h" fact="0.078"/>
              <dgm:constr type="w" for="ch" forName="Child1" refType="w" fact="0.3196"/>
              <dgm:constr type="h" for="ch" forName="Child1" refType="h" fact="0.1046"/>
              <dgm:constr type="l" for="ch" forName="Child2" refType="w" fact="0.6804"/>
              <dgm:constr type="t" for="ch" forName="Child2" refType="h" fact="0.231"/>
              <dgm:constr type="w" for="ch" forName="Child2" refType="w" fact="0.3196"/>
              <dgm:constr type="h" for="ch" forName="Child2" refType="h" fact="0.1046"/>
              <dgm:constr type="l" for="ch" forName="Child3" refType="w" fact="0.5348"/>
              <dgm:constr type="t" for="ch" forName="Child3" refType="h" fact="0.3808"/>
              <dgm:constr type="w" for="ch" forName="Child3" refType="w" fact="0.3196"/>
              <dgm:constr type="h" for="ch" forName="Child3" refType="h" fact="0.1046"/>
              <dgm:constr type="l" for="ch" forName="Child4" refType="w" fact="0.6804"/>
              <dgm:constr type="t" for="ch" forName="Child4" refType="h" fact="0.5322"/>
              <dgm:constr type="w" for="ch" forName="Child4" refType="w" fact="0.3196"/>
              <dgm:constr type="h" for="ch" forName="Child4" refType="h" fact="0.1046"/>
              <dgm:constr type="l" for="ch" forName="Child5" refType="w" fact="0.5348"/>
              <dgm:constr type="t" for="ch" forName="Child5" refType="h" fact="0.6833"/>
              <dgm:constr type="w" for="ch" forName="Child5" refType="w" fact="0.3196"/>
              <dgm:constr type="h" for="ch" forName="Child5" refType="h" fact="0.1046"/>
              <dgm:constr type="l" for="ch" forName="Child6" refType="w" fact="0.6804"/>
              <dgm:constr type="t" for="ch" forName="Child6" refType="h" fact="0.8347"/>
              <dgm:constr type="w" for="ch" forName="Child6" refType="w" fact="0.3196"/>
              <dgm:constr type="h" for="ch" forName="Child6" refType="h" fact="0.1046"/>
            </dgm:constrLst>
          </dgm:if>
          <dgm:else name="Name19">
            <dgm:alg type="composite">
              <dgm:param type="ar" val="0.4284"/>
            </dgm:alg>
            <dgm:constrLst>
              <dgm:constr type="primFontSz" for="des" forName="Child1" val="65"/>
              <dgm:constr type="primFontSz" for="des" forName="Parent1" val="65"/>
              <dgm:constr type="primFontSz" for="des" forName="Child1" refType="primFontSz" refFor="des" refForName="Parent1" op="lte"/>
              <dgm:constr type="primFontSz" for="des" forName="Child2" refType="primFontSz" refFor="des" refForName="Parent1" op="lte"/>
              <dgm:constr type="primFontSz" for="des" forName="Child3" refType="primFontSz" refFor="des" refForName="Parent1" op="lte"/>
              <dgm:constr type="primFontSz" for="des" forName="Child4" refType="primFontSz" refFor="des" refForName="Parent1" op="lte"/>
              <dgm:constr type="primFontSz" for="des" forName="Child5" refType="primFontSz" refFor="des" refForName="Parent1" op="lte"/>
              <dgm:constr type="primFontSz" for="des" forName="Child6" refType="primFontSz" refFor="des" refForName="Parent1" op="lte"/>
              <dgm:constr type="primFontSz" for="des" forName="Child7" refType="primFontSz" refFor="des" refForName="Parent1" op="lte"/>
              <dgm:constr type="primFontSz" for="des" forName="Child1" refType="primFontSz" refFor="des" refForName="Parent2" op="lte"/>
              <dgm:constr type="primFontSz" for="des" forName="Child2" refType="primFontSz" refFor="des" refForName="Parent2" op="lte"/>
              <dgm:constr type="primFontSz" for="des" forName="Child3" refType="primFontSz" refFor="des" refForName="Parent2" op="lte"/>
              <dgm:constr type="primFontSz" for="des" forName="Child4" refType="primFontSz" refFor="des" refForName="Parent2" op="lte"/>
              <dgm:constr type="primFontSz" for="des" forName="Child5" refType="primFontSz" refFor="des" refForName="Parent2" op="lte"/>
              <dgm:constr type="primFontSz" for="des" forName="Child6" refType="primFontSz" refFor="des" refForName="Parent2" op="lte"/>
              <dgm:constr type="primFontSz" for="des" forName="Child7" refType="primFontSz" refFor="des" refForName="Parent2" op="lte"/>
              <dgm:constr type="primFontSz" for="des" forName="Child1" refType="primFontSz" refFor="des" refForName="Parent3" op="lte"/>
              <dgm:constr type="primFontSz" for="des" forName="Child2" refType="primFontSz" refFor="des" refForName="Parent3" op="lte"/>
              <dgm:constr type="primFontSz" for="des" forName="Child3" refType="primFontSz" refFor="des" refForName="Parent3" op="lte"/>
              <dgm:constr type="primFontSz" for="des" forName="Child4" refType="primFontSz" refFor="des" refForName="Parent3" op="lte"/>
              <dgm:constr type="primFontSz" for="des" forName="Child5" refType="primFontSz" refFor="des" refForName="Parent3" op="lte"/>
              <dgm:constr type="primFontSz" for="des" forName="Child6" refType="primFontSz" refFor="des" refForName="Parent3" op="lte"/>
              <dgm:constr type="primFontSz" for="des" forName="Child7" refType="primFontSz" refFor="des" refForName="Parent3" op="lte"/>
              <dgm:constr type="primFontSz" for="des" forName="Child1" refType="primFontSz" refFor="des" refForName="Parent4" op="lte"/>
              <dgm:constr type="primFontSz" for="des" forName="Child2" refType="primFontSz" refFor="des" refForName="Parent4" op="lte"/>
              <dgm:constr type="primFontSz" for="des" forName="Child3" refType="primFontSz" refFor="des" refForName="Parent4" op="lte"/>
              <dgm:constr type="primFontSz" for="des" forName="Child4" refType="primFontSz" refFor="des" refForName="Parent4" op="lte"/>
              <dgm:constr type="primFontSz" for="des" forName="Child5" refType="primFontSz" refFor="des" refForName="Parent4" op="lte"/>
              <dgm:constr type="primFontSz" for="des" forName="Child6" refType="primFontSz" refFor="des" refForName="Parent4" op="lte"/>
              <dgm:constr type="primFontSz" for="des" forName="Child7" refType="primFontSz" refFor="des" refForName="Parent4" op="lte"/>
              <dgm:constr type="primFontSz" for="des" forName="Child1" refType="primFontSz" refFor="des" refForName="Parent5" op="lte"/>
              <dgm:constr type="primFontSz" for="des" forName="Child2" refType="primFontSz" refFor="des" refForName="Parent5" op="lte"/>
              <dgm:constr type="primFontSz" for="des" forName="Child3" refType="primFontSz" refFor="des" refForName="Parent5" op="lte"/>
              <dgm:constr type="primFontSz" for="des" forName="Child4" refType="primFontSz" refFor="des" refForName="Parent5" op="lte"/>
              <dgm:constr type="primFontSz" for="des" forName="Child5" refType="primFontSz" refFor="des" refForName="Parent5" op="lte"/>
              <dgm:constr type="primFontSz" for="des" forName="Child6" refType="primFontSz" refFor="des" refForName="Parent5" op="lte"/>
              <dgm:constr type="primFontSz" for="des" forName="Child7" refType="primFontSz" refFor="des" refForName="Parent5" op="lte"/>
              <dgm:constr type="primFontSz" for="des" forName="Child1" refType="primFontSz" refFor="des" refForName="Parent6" op="lte"/>
              <dgm:constr type="primFontSz" for="des" forName="Child2" refType="primFontSz" refFor="des" refForName="Parent6" op="lte"/>
              <dgm:constr type="primFontSz" for="des" forName="Child3" refType="primFontSz" refFor="des" refForName="Parent6" op="lte"/>
              <dgm:constr type="primFontSz" for="des" forName="Child4" refType="primFontSz" refFor="des" refForName="Parent6" op="lte"/>
              <dgm:constr type="primFontSz" for="des" forName="Child5" refType="primFontSz" refFor="des" refForName="Parent6" op="lte"/>
              <dgm:constr type="primFontSz" for="des" forName="Child6" refType="primFontSz" refFor="des" refForName="Parent6" op="lte"/>
              <dgm:constr type="primFontSz" for="des" forName="Child7" refType="primFontSz" refFor="des" refForName="Parent6" op="lte"/>
              <dgm:constr type="primFontSz" for="des" forName="Child1" refType="primFontSz" refFor="des" refForName="Parent7" op="lte"/>
              <dgm:constr type="primFontSz" for="des" forName="Child2" refType="primFontSz" refFor="des" refForName="Parent7" op="lte"/>
              <dgm:constr type="primFontSz" for="des" forName="Child3" refType="primFontSz" refFor="des" refForName="Parent7" op="lte"/>
              <dgm:constr type="primFontSz" for="des" forName="Child4" refType="primFontSz" refFor="des" refForName="Parent7" op="lte"/>
              <dgm:constr type="primFontSz" for="des" forName="Child5" refType="primFontSz" refFor="des" refForName="Parent7" op="lte"/>
              <dgm:constr type="primFontSz" for="des" forName="Child6" refType="primFontSz" refFor="des" refForName="Parent7" op="lte"/>
              <dgm:constr type="primFontSz" for="des" forName="Child7" refType="primFontSz" refFor="des" refForName="Parent7" op="lte"/>
              <dgm:constr type="primFontSz" for="des" forName="Parent2" refType="primFontSz" refFor="des" refForName="Parent1" op="equ"/>
              <dgm:constr type="primFontSz" for="des" forName="Parent3" refType="primFontSz" refFor="des" refForName="Parent1" op="equ"/>
              <dgm:constr type="primFontSz" for="des" forName="Parent4" refType="primFontSz" refFor="des" refForName="Parent1" op="equ"/>
              <dgm:constr type="primFontSz" for="des" forName="Parent5" refType="primFontSz" refFor="des" refForName="Parent1" op="equ"/>
              <dgm:constr type="primFontSz" for="des" forName="Parent6" refType="primFontSz" refFor="des" refForName="Parent1" op="equ"/>
              <dgm:constr type="primFontSz" for="des" forName="Parent7" refType="primFontSz" refFor="des" refForName="Parent1" op="equ"/>
              <dgm:constr type="primFontSz" for="des" forName="Child2" refType="primFontSz" refFor="des" refForName="Child1" op="equ"/>
              <dgm:constr type="primFontSz" for="des" forName="Child3" refType="primFontSz" refFor="des" refForName="Child1" op="equ"/>
              <dgm:constr type="primFontSz" for="des" forName="Child4" refType="primFontSz" refFor="des" refForName="Child1" op="equ"/>
              <dgm:constr type="primFontSz" for="des" forName="Child5" refType="primFontSz" refFor="des" refForName="Child1" op="equ"/>
              <dgm:constr type="primFontSz" for="des" forName="Child6" refType="primFontSz" refFor="des" refForName="Child1" op="equ"/>
              <dgm:constr type="primFontSz" for="des" forName="Child7" refType="primFontSz" refFor="des" refForName="Child1" op="equ"/>
              <dgm:constr type="l" for="ch" forName="Accent1" refType="w" fact="0"/>
              <dgm:constr type="t" for="ch" forName="Accent1" refType="h" fact="0"/>
              <dgm:constr type="w" for="ch" forName="Accent1" refType="w" fact="0.5331"/>
              <dgm:constr type="h" for="ch" forName="Accent1" refType="h" fact="0.2284"/>
              <dgm:constr type="l" for="ch" forName="Accent2" refType="w" fact="0.1481"/>
              <dgm:constr type="t" for="ch" forName="Accent2" refType="h" fact="0.1312"/>
              <dgm:constr type="w" for="ch" forName="Accent2" refType="w" fact="0.5331"/>
              <dgm:constr type="h" for="ch" forName="Accent2" refType="h" fact="0.2284"/>
              <dgm:constr type="l" for="ch" forName="Accent3" refType="w" fact="0"/>
              <dgm:constr type="t" for="ch" forName="Accent3" refType="h" fact="0.263"/>
              <dgm:constr type="w" for="ch" forName="Accent3" refType="w" fact="0.5331"/>
              <dgm:constr type="h" for="ch" forName="Accent3" refType="h" fact="0.2284"/>
              <dgm:constr type="l" for="ch" forName="Accent4" refType="w" fact="0.1481"/>
              <dgm:constr type="t" for="ch" forName="Accent4" refType="h" fact="0.3945"/>
              <dgm:constr type="w" for="ch" forName="Accent4" refType="w" fact="0.5331"/>
              <dgm:constr type="h" for="ch" forName="Accent4" refType="h" fact="0.2284"/>
              <dgm:constr type="l" for="ch" forName="Accent5" refType="w" fact="0"/>
              <dgm:constr type="t" for="ch" forName="Accent5" refType="h" fact="0.5258"/>
              <dgm:constr type="w" for="ch" forName="Accent5" refType="w" fact="0.5331"/>
              <dgm:constr type="h" for="ch" forName="Accent5" refType="h" fact="0.2284"/>
              <dgm:constr type="l" for="ch" forName="Accent6" refType="w" fact="0.1481"/>
              <dgm:constr type="t" for="ch" forName="Accent6" refType="h" fact="0.6573"/>
              <dgm:constr type="w" for="ch" forName="Accent6" refType="w" fact="0.5331"/>
              <dgm:constr type="h" for="ch" forName="Accent6" refType="h" fact="0.2284"/>
              <dgm:constr type="l" for="ch" forName="Accent7" refType="w" fact="0.0378"/>
              <dgm:constr type="t" for="ch" forName="Accent7" refType="h" fact="0.8037"/>
              <dgm:constr type="w" for="ch" forName="Accent7" refType="w" fact="0.458"/>
              <dgm:constr type="h" for="ch" forName="Accent7" refType="h" fact="0.1963"/>
              <dgm:constr type="l" for="ch" forName="Parent1" refType="w" fact="0.1171"/>
              <dgm:constr type="t" for="ch" forName="Parent1" refType="h" fact="0.0827"/>
              <dgm:constr type="w" for="ch" forName="Parent1" refType="w" fact="0.2975"/>
              <dgm:constr type="h" for="ch" forName="Parent1" refType="h" fact="0.0637"/>
              <dgm:constr type="l" for="ch" forName="Parent2" refType="w" fact="0.2658"/>
              <dgm:constr type="t" for="ch" forName="Parent2" refType="h" fact="0.2142"/>
              <dgm:constr type="w" for="ch" forName="Parent2" refType="w" fact="0.2975"/>
              <dgm:constr type="h" for="ch" forName="Parent2" refType="h" fact="0.0637"/>
              <dgm:constr type="l" for="ch" forName="Parent3" refType="w" fact="0.1171"/>
              <dgm:constr type="t" for="ch" forName="Parent3" refType="h" fact="0.3457"/>
              <dgm:constr type="w" for="ch" forName="Parent3" refType="w" fact="0.2975"/>
              <dgm:constr type="h" for="ch" forName="Parent3" refType="h" fact="0.0637"/>
              <dgm:constr type="l" for="ch" forName="Parent4" refType="w" fact="0.2658"/>
              <dgm:constr type="t" for="ch" forName="Parent4" refType="h" fact="0.4772"/>
              <dgm:constr type="w" for="ch" forName="Parent4" refType="w" fact="0.2975"/>
              <dgm:constr type="h" for="ch" forName="Parent4" refType="h" fact="0.0637"/>
              <dgm:constr type="l" for="ch" forName="Parent5" refType="w" fact="0.1171"/>
              <dgm:constr type="t" for="ch" forName="Parent5" refType="h" fact="0.6085"/>
              <dgm:constr type="w" for="ch" forName="Parent5" refType="w" fact="0.2975"/>
              <dgm:constr type="h" for="ch" forName="Parent5" refType="h" fact="0.0637"/>
              <dgm:constr type="l" for="ch" forName="Parent6" refType="w" fact="0.2658"/>
              <dgm:constr type="t" for="ch" forName="Parent6" refType="h" fact="0.74"/>
              <dgm:constr type="w" for="ch" forName="Parent6" refType="w" fact="0.2975"/>
              <dgm:constr type="h" for="ch" forName="Parent6" refType="h" fact="0.0637"/>
              <dgm:constr type="l" for="ch" forName="Parent7" refType="w" fact="0.1171"/>
              <dgm:constr type="t" for="ch" forName="Parent7" refType="h" fact="0.8715"/>
              <dgm:constr type="w" for="ch" forName="Parent7" refType="w" fact="0.2975"/>
              <dgm:constr type="h" for="ch" forName="Parent7" refType="h" fact="0.0637"/>
              <dgm:constr type="l" for="ch" forName="Child1" refType="w" fact="0.5348"/>
              <dgm:constr type="t" for="ch" forName="Child1" refType="h" fact="0.0678"/>
              <dgm:constr type="w" for="ch" forName="Child1" refType="w" fact="0.3196"/>
              <dgm:constr type="h" for="ch" forName="Child1" refType="h" fact="0.0908"/>
              <dgm:constr type="l" for="ch" forName="Child2" refType="w" fact="0.6804"/>
              <dgm:constr type="t" for="ch" forName="Child2" refType="h" fact="0.2006"/>
              <dgm:constr type="w" for="ch" forName="Child2" refType="w" fact="0.3196"/>
              <dgm:constr type="h" for="ch" forName="Child2" refType="h" fact="0.0908"/>
              <dgm:constr type="l" for="ch" forName="Child3" refType="w" fact="0.5348"/>
              <dgm:constr type="t" for="ch" forName="Child3" refType="h" fact="0.3308"/>
              <dgm:constr type="w" for="ch" forName="Child3" refType="w" fact="0.3196"/>
              <dgm:constr type="h" for="ch" forName="Child3" refType="h" fact="0.0908"/>
              <dgm:constr type="l" for="ch" forName="Child4" refType="w" fact="0.6804"/>
              <dgm:constr type="t" for="ch" forName="Child4" refType="h" fact="0.4623"/>
              <dgm:constr type="w" for="ch" forName="Child4" refType="w" fact="0.3196"/>
              <dgm:constr type="h" for="ch" forName="Child4" refType="h" fact="0.0908"/>
              <dgm:constr type="l" for="ch" forName="Child5" refType="w" fact="0.5348"/>
              <dgm:constr type="t" for="ch" forName="Child5" refType="h" fact="0.5936"/>
              <dgm:constr type="w" for="ch" forName="Child5" refType="w" fact="0.3196"/>
              <dgm:constr type="h" for="ch" forName="Child5" refType="h" fact="0.0908"/>
              <dgm:constr type="l" for="ch" forName="Child6" refType="w" fact="0.6804"/>
              <dgm:constr type="t" for="ch" forName="Child6" refType="h" fact="0.7251"/>
              <dgm:constr type="w" for="ch" forName="Child6" refType="w" fact="0.3196"/>
              <dgm:constr type="h" for="ch" forName="Child6" refType="h" fact="0.0908"/>
              <dgm:constr type="l" for="ch" forName="Child7" refType="w" fact="0.5348"/>
              <dgm:constr type="t" for="ch" forName="Child7" refType="h" fact="0.8579"/>
              <dgm:constr type="w" for="ch" forName="Child7" refType="w" fact="0.3196"/>
              <dgm:constr type="h" for="ch" forName="Child7" refType="h" fact="0.0908"/>
            </dgm:constrLst>
          </dgm:else>
        </dgm:choose>
      </dgm:else>
    </dgm:choose>
    <dgm:forEach name="wrapper" axis="self" ptType="parTrans">
      <dgm:forEach name="accentRepeat" axis="self">
        <dgm:layoutNode name="Accent" styleLbl="node1">
          <dgm:alg type="sp"/>
          <dgm:choose name="Name20">
            <dgm:if name="Name21" func="var" arg="dir" op="equ" val="norm">
              <dgm:choose name="Name22">
                <dgm:if name="Name23" axis="precedSib" ptType="node" func="cnt" op="equ" val="0">
                  <dgm:choose name="Name24">
                    <dgm:if name="Name25" axis="followSib" ptType="node" func="cnt" op="equ" val="0">
                      <dgm:shape xmlns:r="http://schemas.openxmlformats.org/officeDocument/2006/relationships" type="circularArrow" r:blip="">
                        <dgm:adjLst>
                          <dgm:adj idx="1" val="0.1098"/>
                          <dgm:adj idx="2" val="19.0387"/>
                          <dgm:adj idx="3" val="150"/>
                          <dgm:adj idx="4" val="180"/>
                          <dgm:adj idx="5" val="0.125"/>
                        </dgm:adjLst>
                      </dgm:shape>
                    </dgm:if>
                    <dgm:else name="Name26">
                      <dgm:shape xmlns:r="http://schemas.openxmlformats.org/officeDocument/2006/relationships" type="circularArrow" r:blip="">
                        <dgm:adjLst>
                          <dgm:adj idx="1" val="0.1098"/>
                          <dgm:adj idx="2" val="19.0387"/>
                          <dgm:adj idx="3" val="75"/>
                          <dgm:adj idx="4" val="180"/>
                          <dgm:adj idx="5" val="0.125"/>
                        </dgm:adjLst>
                      </dgm:shape>
                    </dgm:else>
                  </dgm:choose>
                </dgm:if>
                <dgm:else name="Name27">
                  <dgm:choose name="Name28">
                    <dgm:if name="Name29" axis="followSib" ptType="node" func="cnt" op="equ" val="0">
                      <dgm:choose name="Name30">
                        <dgm:if name="Name31" axis="precedSib" ptType="node" func="cnt" op="equ" val="1">
                          <dgm:shape xmlns:r="http://schemas.openxmlformats.org/officeDocument/2006/relationships" type="blockArc" r:blip="">
                            <dgm:adjLst>
                              <dgm:adj idx="1" val="0"/>
                              <dgm:adj idx="2" val="-45"/>
                              <dgm:adj idx="3" val="0.1274"/>
                            </dgm:adjLst>
                          </dgm:shape>
                        </dgm:if>
                        <dgm:if name="Name32" axis="precedSib" ptType="node" func="cnt" op="equ" val="2">
                          <dgm:shape xmlns:r="http://schemas.openxmlformats.org/officeDocument/2006/relationships" type="blockArc" r:blip="">
                            <dgm:adjLst>
                              <dgm:adj idx="1" val="-135"/>
                              <dgm:adj idx="2" val="180"/>
                              <dgm:adj idx="3" val="0.1274"/>
                            </dgm:adjLst>
                          </dgm:shape>
                        </dgm:if>
                        <dgm:if name="Name33" axis="precedSib" ptType="node" func="cnt" op="equ" val="3">
                          <dgm:shape xmlns:r="http://schemas.openxmlformats.org/officeDocument/2006/relationships" type="blockArc" r:blip="">
                            <dgm:adjLst>
                              <dgm:adj idx="1" val="0"/>
                              <dgm:adj idx="2" val="-45"/>
                              <dgm:adj idx="3" val="0.1274"/>
                            </dgm:adjLst>
                          </dgm:shape>
                        </dgm:if>
                        <dgm:if name="Name34" axis="precedSib" ptType="node" func="cnt" op="equ" val="4">
                          <dgm:shape xmlns:r="http://schemas.openxmlformats.org/officeDocument/2006/relationships" type="blockArc" r:blip="">
                            <dgm:adjLst>
                              <dgm:adj idx="1" val="-135"/>
                              <dgm:adj idx="2" val="180"/>
                              <dgm:adj idx="3" val="0.1274"/>
                            </dgm:adjLst>
                          </dgm:shape>
                        </dgm:if>
                        <dgm:if name="Name35" axis="precedSib" ptType="node" func="cnt" op="equ" val="5">
                          <dgm:shape xmlns:r="http://schemas.openxmlformats.org/officeDocument/2006/relationships" type="blockArc" r:blip="">
                            <dgm:adjLst>
                              <dgm:adj idx="1" val="0"/>
                              <dgm:adj idx="2" val="-45"/>
                              <dgm:adj idx="3" val="0.1274"/>
                            </dgm:adjLst>
                          </dgm:shape>
                        </dgm:if>
                        <dgm:if name="Name36" axis="precedSib" ptType="node" func="cnt" op="equ" val="6">
                          <dgm:shape xmlns:r="http://schemas.openxmlformats.org/officeDocument/2006/relationships" type="blockArc" r:blip="">
                            <dgm:adjLst>
                              <dgm:adj idx="1" val="-135"/>
                              <dgm:adj idx="2" val="180"/>
                              <dgm:adj idx="3" val="0.1274"/>
                            </dgm:adjLst>
                          </dgm:shape>
                        </dgm:if>
                        <dgm:else name="Name37"/>
                      </dgm:choose>
                    </dgm:if>
                    <dgm:else name="Name38">
                      <dgm:choose name="Name39">
                        <dgm:if name="Name40" axis="precedSib" ptType="node" func="cnt" op="equ" val="0">
                          <dgm:shape xmlns:r="http://schemas.openxmlformats.org/officeDocument/2006/relationships" type="blockArc" r:blip="">
                            <dgm:adjLst>
                              <dgm:adj idx="1" val="-133.1632"/>
                              <dgm:adj idx="2" val="65"/>
                              <dgm:adj idx="3" val="0.13"/>
                            </dgm:adjLst>
                          </dgm:shape>
                        </dgm:if>
                        <dgm:if name="Name41" axis="precedSib" ptType="node" func="cnt" op="equ" val="1">
                          <dgm:shape xmlns:r="http://schemas.openxmlformats.org/officeDocument/2006/relationships" type="leftCircularArrow" r:blip="">
                            <dgm:adjLst>
                              <dgm:adj idx="1" val="0.1098"/>
                              <dgm:adj idx="2" val="19.0387"/>
                              <dgm:adj idx="3" val="105"/>
                              <dgm:adj idx="4" val="-45"/>
                              <dgm:adj idx="5" val="0.125"/>
                            </dgm:adjLst>
                          </dgm:shape>
                        </dgm:if>
                        <dgm:if name="Name42" axis="precedSib" ptType="node" func="cnt" op="equ" val="2">
                          <dgm:shape xmlns:r="http://schemas.openxmlformats.org/officeDocument/2006/relationships" type="circularArrow" r:blip="">
                            <dgm:adjLst>
                              <dgm:adj idx="1" val="0.1098"/>
                              <dgm:adj idx="2" val="19.0387"/>
                              <dgm:adj idx="3" val="75"/>
                              <dgm:adj idx="4" val="-135"/>
                              <dgm:adj idx="5" val="0.125"/>
                            </dgm:adjLst>
                          </dgm:shape>
                        </dgm:if>
                        <dgm:if name="Name43" axis="precedSib" ptType="node" func="cnt" op="equ" val="3">
                          <dgm:shape xmlns:r="http://schemas.openxmlformats.org/officeDocument/2006/relationships" type="leftCircularArrow" r:blip="">
                            <dgm:adjLst>
                              <dgm:adj idx="1" val="0.1098"/>
                              <dgm:adj idx="2" val="19.0387"/>
                              <dgm:adj idx="3" val="105"/>
                              <dgm:adj idx="4" val="-45"/>
                              <dgm:adj idx="5" val="0.125"/>
                            </dgm:adjLst>
                          </dgm:shape>
                        </dgm:if>
                        <dgm:if name="Name44" axis="precedSib" ptType="node" func="cnt" op="equ" val="4">
                          <dgm:shape xmlns:r="http://schemas.openxmlformats.org/officeDocument/2006/relationships" type="circularArrow" r:blip="">
                            <dgm:adjLst>
                              <dgm:adj idx="1" val="0.1098"/>
                              <dgm:adj idx="2" val="19.0387"/>
                              <dgm:adj idx="3" val="75"/>
                              <dgm:adj idx="4" val="-135"/>
                              <dgm:adj idx="5" val="0.125"/>
                            </dgm:adjLst>
                          </dgm:shape>
                        </dgm:if>
                        <dgm:if name="Name45" axis="precedSib" ptType="node" func="cnt" op="equ" val="5">
                          <dgm:shape xmlns:r="http://schemas.openxmlformats.org/officeDocument/2006/relationships" type="leftCircularArrow" r:blip="">
                            <dgm:adjLst>
                              <dgm:adj idx="1" val="0.1098"/>
                              <dgm:adj idx="2" val="19.0387"/>
                              <dgm:adj idx="3" val="105"/>
                              <dgm:adj idx="4" val="-45"/>
                              <dgm:adj idx="5" val="0.125"/>
                            </dgm:adjLst>
                          </dgm:shape>
                        </dgm:if>
                        <dgm:if name="Name46" axis="precedSib" ptType="node" func="cnt" op="equ" val="6">
                          <dgm:shape xmlns:r="http://schemas.openxmlformats.org/officeDocument/2006/relationships" type="blockArc" r:blip="">
                            <dgm:adjLst>
                              <dgm:adj idx="1" val="-135"/>
                              <dgm:adj idx="2" val="180"/>
                              <dgm:adj idx="3" val="0.1274"/>
                            </dgm:adjLst>
                          </dgm:shape>
                        </dgm:if>
                        <dgm:else name="Name47"/>
                      </dgm:choose>
                    </dgm:else>
                  </dgm:choose>
                </dgm:else>
              </dgm:choose>
            </dgm:if>
            <dgm:else name="Name48">
              <dgm:choose name="Name49">
                <dgm:if name="Name50" axis="precedSib" ptType="node" func="cnt" op="equ" val="0">
                  <dgm:choose name="Name51">
                    <dgm:if name="Name52" axis="followSib" ptType="node" func="cnt" op="equ" val="0">
                      <dgm:shape xmlns:r="http://schemas.openxmlformats.org/officeDocument/2006/relationships" type="leftCircularArrow" r:blip="">
                        <dgm:adjLst>
                          <dgm:adj idx="1" val="0.1098"/>
                          <dgm:adj idx="2" val="19.0387"/>
                          <dgm:adj idx="3" val="30"/>
                          <dgm:adj idx="4" val="0"/>
                          <dgm:adj idx="5" val="0.125"/>
                        </dgm:adjLst>
                      </dgm:shape>
                    </dgm:if>
                    <dgm:else name="Name53">
                      <dgm:shape xmlns:r="http://schemas.openxmlformats.org/officeDocument/2006/relationships" type="leftCircularArrow" r:blip="">
                        <dgm:adjLst>
                          <dgm:adj idx="1" val="0.1098"/>
                          <dgm:adj idx="2" val="19.0387"/>
                          <dgm:adj idx="3" val="105"/>
                          <dgm:adj idx="4" val="0"/>
                          <dgm:adj idx="5" val="0.125"/>
                        </dgm:adjLst>
                      </dgm:shape>
                    </dgm:else>
                  </dgm:choose>
                </dgm:if>
                <dgm:else name="Name54">
                  <dgm:choose name="Name55">
                    <dgm:if name="Name56" axis="followSib" ptType="node" func="cnt" op="equ" val="0">
                      <dgm:choose name="Name57">
                        <dgm:if name="Name58" axis="precedSib" ptType="node" func="cnt" op="equ" val="1">
                          <dgm:shape xmlns:r="http://schemas.openxmlformats.org/officeDocument/2006/relationships" type="blockArc" r:blip="">
                            <dgm:adjLst>
                              <dgm:adj idx="1" val="-135"/>
                              <dgm:adj idx="2" val="180"/>
                              <dgm:adj idx="3" val="0.1274"/>
                            </dgm:adjLst>
                          </dgm:shape>
                        </dgm:if>
                        <dgm:if name="Name59" axis="precedSib" ptType="node" func="cnt" op="equ" val="2">
                          <dgm:shape xmlns:r="http://schemas.openxmlformats.org/officeDocument/2006/relationships" type="blockArc" r:blip="">
                            <dgm:adjLst>
                              <dgm:adj idx="1" val="0"/>
                              <dgm:adj idx="2" val="-45"/>
                              <dgm:adj idx="3" val="0.1274"/>
                            </dgm:adjLst>
                          </dgm:shape>
                        </dgm:if>
                        <dgm:if name="Name60" axis="precedSib" ptType="node" func="cnt" op="equ" val="3">
                          <dgm:shape xmlns:r="http://schemas.openxmlformats.org/officeDocument/2006/relationships" type="blockArc" r:blip="">
                            <dgm:adjLst>
                              <dgm:adj idx="1" val="-135"/>
                              <dgm:adj idx="2" val="180"/>
                              <dgm:adj idx="3" val="0.1274"/>
                            </dgm:adjLst>
                          </dgm:shape>
                        </dgm:if>
                        <dgm:if name="Name61" axis="precedSib" ptType="node" func="cnt" op="equ" val="4">
                          <dgm:shape xmlns:r="http://schemas.openxmlformats.org/officeDocument/2006/relationships" type="blockArc" r:blip="">
                            <dgm:adjLst>
                              <dgm:adj idx="1" val="0"/>
                              <dgm:adj idx="2" val="-45"/>
                              <dgm:adj idx="3" val="0.1274"/>
                            </dgm:adjLst>
                          </dgm:shape>
                        </dgm:if>
                        <dgm:if name="Name62" axis="precedSib" ptType="node" func="cnt" op="equ" val="5">
                          <dgm:shape xmlns:r="http://schemas.openxmlformats.org/officeDocument/2006/relationships" type="blockArc" r:blip="">
                            <dgm:adjLst>
                              <dgm:adj idx="1" val="-135"/>
                              <dgm:adj idx="2" val="180"/>
                              <dgm:adj idx="3" val="0.1274"/>
                            </dgm:adjLst>
                          </dgm:shape>
                        </dgm:if>
                        <dgm:if name="Name63" axis="precedSib" ptType="node" func="cnt" op="equ" val="6">
                          <dgm:shape xmlns:r="http://schemas.openxmlformats.org/officeDocument/2006/relationships" type="blockArc" r:blip="">
                            <dgm:adjLst>
                              <dgm:adj idx="1" val="0"/>
                              <dgm:adj idx="2" val="-45"/>
                              <dgm:adj idx="3" val="0.1274"/>
                            </dgm:adjLst>
                          </dgm:shape>
                        </dgm:if>
                        <dgm:else name="Name64"/>
                      </dgm:choose>
                    </dgm:if>
                    <dgm:else name="Name65">
                      <dgm:choose name="Name66">
                        <dgm:if name="Name67" axis="precedSib" ptType="node" func="cnt" op="equ" val="0">
                          <dgm:shape xmlns:r="http://schemas.openxmlformats.org/officeDocument/2006/relationships" type="blockArc" r:blip="">
                            <dgm:adjLst>
                              <dgm:adj idx="1" val="-133.1632"/>
                              <dgm:adj idx="2" val="65"/>
                              <dgm:adj idx="3" val="0.13"/>
                            </dgm:adjLst>
                          </dgm:shape>
                        </dgm:if>
                        <dgm:if name="Name68" axis="precedSib" ptType="node" func="cnt" op="equ" val="1">
                          <dgm:shape xmlns:r="http://schemas.openxmlformats.org/officeDocument/2006/relationships" type="circularArrow" r:blip="">
                            <dgm:adjLst>
                              <dgm:adj idx="1" val="0.1098"/>
                              <dgm:adj idx="2" val="19.0387"/>
                              <dgm:adj idx="3" val="75"/>
                              <dgm:adj idx="4" val="-135"/>
                              <dgm:adj idx="5" val="0.125"/>
                            </dgm:adjLst>
                          </dgm:shape>
                        </dgm:if>
                        <dgm:if name="Name69" axis="precedSib" ptType="node" func="cnt" op="equ" val="2">
                          <dgm:shape xmlns:r="http://schemas.openxmlformats.org/officeDocument/2006/relationships" type="leftCircularArrow" r:blip="">
                            <dgm:adjLst>
                              <dgm:adj idx="1" val="0.1098"/>
                              <dgm:adj idx="2" val="19.0387"/>
                              <dgm:adj idx="3" val="105"/>
                              <dgm:adj idx="4" val="-45"/>
                              <dgm:adj idx="5" val="0.125"/>
                            </dgm:adjLst>
                          </dgm:shape>
                        </dgm:if>
                        <dgm:if name="Name70" axis="precedSib" ptType="node" func="cnt" op="equ" val="3">
                          <dgm:shape xmlns:r="http://schemas.openxmlformats.org/officeDocument/2006/relationships" type="circularArrow" r:blip="">
                            <dgm:adjLst>
                              <dgm:adj idx="1" val="0.1098"/>
                              <dgm:adj idx="2" val="19.0387"/>
                              <dgm:adj idx="3" val="75"/>
                              <dgm:adj idx="4" val="-135"/>
                              <dgm:adj idx="5" val="0.125"/>
                            </dgm:adjLst>
                          </dgm:shape>
                        </dgm:if>
                        <dgm:if name="Name71" axis="precedSib" ptType="node" func="cnt" op="equ" val="4">
                          <dgm:shape xmlns:r="http://schemas.openxmlformats.org/officeDocument/2006/relationships" type="leftCircularArrow" r:blip="">
                            <dgm:adjLst>
                              <dgm:adj idx="1" val="0.1098"/>
                              <dgm:adj idx="2" val="19.0387"/>
                              <dgm:adj idx="3" val="105"/>
                              <dgm:adj idx="4" val="-45"/>
                              <dgm:adj idx="5" val="0.125"/>
                            </dgm:adjLst>
                          </dgm:shape>
                        </dgm:if>
                        <dgm:if name="Name72" axis="precedSib" ptType="node" func="cnt" op="equ" val="5">
                          <dgm:shape xmlns:r="http://schemas.openxmlformats.org/officeDocument/2006/relationships" type="circularArrow" r:blip="">
                            <dgm:adjLst>
                              <dgm:adj idx="1" val="0.1098"/>
                              <dgm:adj idx="2" val="19.0387"/>
                              <dgm:adj idx="3" val="75"/>
                              <dgm:adj idx="4" val="-135"/>
                              <dgm:adj idx="5" val="0.125"/>
                            </dgm:adjLst>
                          </dgm:shape>
                        </dgm:if>
                        <dgm:if name="Name73" axis="precedSib" ptType="node" func="cnt" op="equ" val="6">
                          <dgm:shape xmlns:r="http://schemas.openxmlformats.org/officeDocument/2006/relationships" type="blockArc" r:blip="">
                            <dgm:adjLst>
                              <dgm:adj idx="1" val="0"/>
                              <dgm:adj idx="2" val="-45"/>
                              <dgm:adj idx="3" val="0.1274"/>
                            </dgm:adjLst>
                          </dgm:shape>
                        </dgm:if>
                        <dgm:else name="Name74"/>
                      </dgm:choose>
                    </dgm:else>
                  </dgm:choose>
                </dgm:else>
              </dgm:choose>
            </dgm:else>
          </dgm:choose>
          <dgm:presOf/>
        </dgm:layoutNode>
      </dgm:forEach>
    </dgm:forEach>
    <dgm:forEach name="Name75" axis="ch" ptType="node" cnt="1">
      <dgm:layoutNode name="Accent1">
        <dgm:alg type="sp"/>
        <dgm:shape xmlns:r="http://schemas.openxmlformats.org/officeDocument/2006/relationships" r:blip="">
          <dgm:adjLst/>
        </dgm:shape>
        <dgm:presOf/>
        <dgm:constrLst/>
        <dgm:forEach name="Name76" ref="accentRepeat"/>
      </dgm:layoutNode>
      <dgm:choose name="Name77">
        <dgm:if name="Name78" axis="ch" ptType="node" func="cnt" op="gte" val="1">
          <dgm:layoutNode name="Child1"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79"/>
      </dgm:choose>
      <dgm:layoutNode name="Parent1"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80" axis="ch" ptType="node" st="2" cnt="1">
      <dgm:layoutNode name="Accent2">
        <dgm:alg type="sp"/>
        <dgm:shape xmlns:r="http://schemas.openxmlformats.org/officeDocument/2006/relationships" r:blip="">
          <dgm:adjLst/>
        </dgm:shape>
        <dgm:presOf/>
        <dgm:constrLst/>
        <dgm:forEach name="Name81" ref="accentRepeat"/>
      </dgm:layoutNode>
      <dgm:choose name="Name82">
        <dgm:if name="Name83" axis="ch" ptType="node" func="cnt" op="gte" val="1">
          <dgm:layoutNode name="Child2"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84"/>
      </dgm:choose>
      <dgm:layoutNode name="Parent2"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85" axis="ch" ptType="node" st="3" cnt="1">
      <dgm:layoutNode name="Accent3">
        <dgm:alg type="sp"/>
        <dgm:shape xmlns:r="http://schemas.openxmlformats.org/officeDocument/2006/relationships" r:blip="">
          <dgm:adjLst/>
        </dgm:shape>
        <dgm:presOf/>
        <dgm:constrLst/>
        <dgm:forEach name="Name86" ref="accentRepeat"/>
      </dgm:layoutNode>
      <dgm:choose name="Name87">
        <dgm:if name="Name88" axis="ch" ptType="node" func="cnt" op="gte" val="1">
          <dgm:layoutNode name="Child3"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89"/>
      </dgm:choose>
      <dgm:layoutNode name="Parent3"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90" axis="ch" ptType="node" st="4" cnt="1">
      <dgm:layoutNode name="Accent4">
        <dgm:alg type="sp"/>
        <dgm:shape xmlns:r="http://schemas.openxmlformats.org/officeDocument/2006/relationships" r:blip="">
          <dgm:adjLst/>
        </dgm:shape>
        <dgm:presOf/>
        <dgm:constrLst/>
        <dgm:forEach name="Name91" ref="accentRepeat"/>
      </dgm:layoutNode>
      <dgm:choose name="Name92">
        <dgm:if name="Name93" axis="ch" ptType="node" func="cnt" op="gte" val="1">
          <dgm:layoutNode name="Child4"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94"/>
      </dgm:choose>
      <dgm:layoutNode name="Parent4"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95" axis="ch" ptType="node" st="5" cnt="1">
      <dgm:layoutNode name="Accent5">
        <dgm:alg type="sp"/>
        <dgm:shape xmlns:r="http://schemas.openxmlformats.org/officeDocument/2006/relationships" r:blip="">
          <dgm:adjLst/>
        </dgm:shape>
        <dgm:presOf/>
        <dgm:constrLst/>
        <dgm:forEach name="Name96" ref="accentRepeat"/>
      </dgm:layoutNode>
      <dgm:choose name="Name97">
        <dgm:if name="Name98" axis="ch" ptType="node" func="cnt" op="gte" val="1">
          <dgm:layoutNode name="Child5"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99"/>
      </dgm:choose>
      <dgm:layoutNode name="Parent5"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100" axis="ch" ptType="node" st="6" cnt="1">
      <dgm:layoutNode name="Accent6">
        <dgm:alg type="sp"/>
        <dgm:shape xmlns:r="http://schemas.openxmlformats.org/officeDocument/2006/relationships" r:blip="">
          <dgm:adjLst/>
        </dgm:shape>
        <dgm:presOf/>
        <dgm:constrLst/>
        <dgm:forEach name="Name101" ref="accentRepeat"/>
      </dgm:layoutNode>
      <dgm:choose name="Name102">
        <dgm:if name="Name103" axis="ch" ptType="node" func="cnt" op="gte" val="1">
          <dgm:layoutNode name="Child6"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104"/>
      </dgm:choose>
      <dgm:layoutNode name="Parent6"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forEach name="Name105" axis="ch" ptType="node" st="7" cnt="1">
      <dgm:layoutNode name="Accent7">
        <dgm:alg type="sp"/>
        <dgm:shape xmlns:r="http://schemas.openxmlformats.org/officeDocument/2006/relationships" r:blip="">
          <dgm:adjLst/>
        </dgm:shape>
        <dgm:presOf/>
        <dgm:constrLst/>
        <dgm:forEach name="Name106" ref="accentRepeat"/>
      </dgm:layoutNode>
      <dgm:choose name="Name107">
        <dgm:if name="Name108" axis="ch" ptType="node" func="cnt" op="gte" val="1">
          <dgm:layoutNode name="Child7" styleLbl="revTx">
            <dgm:varLst>
              <dgm:chMax val="0"/>
              <dgm:chPref val="0"/>
              <dgm:bulletEnabled val="1"/>
            </dgm:varLst>
            <dgm:alg type="tx">
              <dgm:param type="stBulletLvl" val="1"/>
              <dgm:param type="parTxLTRAlign" val="l"/>
              <dgm:param type="txAnchorVertCh" val="mid"/>
            </dgm:alg>
            <dgm:shape xmlns:r="http://schemas.openxmlformats.org/officeDocument/2006/relationships" type="rect" r:blip="">
              <dgm:adjLst/>
            </dgm:shape>
            <dgm:presOf axis="des"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if>
        <dgm:else name="Name109"/>
      </dgm:choose>
      <dgm:layoutNode name="Parent7" styleLbl="revTx">
        <dgm:varLst>
          <dgm:chMax val="1"/>
          <dgm:chPref val="1"/>
          <dgm:bulletEnabled val="1"/>
        </dgm:varLst>
        <dgm:alg type="tx">
          <dgm:param type="shpTxLTRAlignCh" val="ctr"/>
          <dgm:param type="txAnchorVertCh" val="mid"/>
        </dgm:alg>
        <dgm:shape xmlns:r="http://schemas.openxmlformats.org/officeDocument/2006/relationships" type="rect"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5">
  <dgm:title val=""/>
  <dgm:desc val=""/>
  <dgm:catLst>
    <dgm:cat type="3D" pri="11500"/>
  </dgm:catLst>
  <dgm:scene3d>
    <a:camera prst="isometricOffAxis2Left" zoom="95000"/>
    <a:lightRig rig="flat" dir="t"/>
  </dgm:scene3d>
  <dgm:styleLbl name="node0">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extrusionH="381000" contourW="38100" prstMaterial="matte">
      <a:contourClr>
        <a:schemeClr val="lt1"/>
      </a:contourClr>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z="5715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alignImgPlace1">
    <dgm:scene3d>
      <a:camera prst="orthographicFront"/>
      <a:lightRig rig="threePt" dir="t"/>
    </dgm:scene3d>
    <dgm:sp3d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bgImgPlace1">
    <dgm:scene3d>
      <a:camera prst="orthographicFront"/>
      <a:lightRig rig="threePt" dir="t"/>
    </dgm:scene3d>
    <dgm:sp3d z="-3810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threePt" dir="t"/>
    </dgm:scene3d>
    <dgm:sp3d z="-52400" extrusionH="1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z="57150" extrusionH="63500" contourW="12700" prstMaterial="matte">
      <a:contourClr>
        <a:schemeClr val="dk1">
          <a:tint val="20000"/>
        </a:schemeClr>
      </a:contourClr>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z="-381000" extrusionH="63500" contourW="12700" prstMaterial="matte">
      <a:contourClr>
        <a:schemeClr val="dk1">
          <a:tint val="20000"/>
        </a:schemeClr>
      </a:contourClr>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z="52400"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z="52400"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z="60000" prstMaterial="flat">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threePt" dir="t"/>
    </dgm:scene3d>
    <dgm:sp3d z="60000" prstMaterial="flat">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z="57150" extrusionH="63500" prstMaterial="matte"/>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z="-60000" extrusionH="63500" prstMaterial="matte"/>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z="-60000" extrusionH="63500" prstMaterial="matte"/>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extrusionH="381000" prstMaterial="matte"/>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z="-400500" extrusionH="63500" prstMaterial="matte"/>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z="57150" extrusionH="12700" prstMaterial="flat">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extrusionH="12700" prstMaterial="flat">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threePt" dir="t"/>
    </dgm:scene3d>
    <dgm:sp3d z="-63500" extrusionH="63500" prstMaterial="matte"/>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z="57150" extrusionH="63500" contourW="12700" prstMaterial="matte">
      <a:contourClr>
        <a:schemeClr val="dk1">
          <a:tint val="20000"/>
        </a:schemeClr>
      </a:contourClr>
    </dgm:sp3d>
    <dgm:txPr/>
    <dgm:style>
      <a:lnRef idx="0">
        <a:scrgbClr r="0" g="0" b="0"/>
      </a:lnRef>
      <a:fillRef idx="1">
        <a:scrgbClr r="0" g="0" b="0"/>
      </a:fillRef>
      <a:effectRef idx="0">
        <a:scrgbClr r="0" g="0" b="0"/>
      </a:effectRef>
      <a:fontRef idx="minor"/>
    </dgm:style>
  </dgm:styleLbl>
  <dgm:styleLbl name="alignAccFollowNode1">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dgm:style>
  </dgm:styleLbl>
  <dgm:styleLbl name="bgAccFollowNode1">
    <dgm:scene3d>
      <a:camera prst="orthographicFront"/>
      <a:lightRig rig="threePt" dir="t"/>
    </dgm:scene3d>
    <dgm:sp3d z="-400500" extrusionH="63500" contourW="12700" prstMaterial="matte">
      <a:contourClr>
        <a:schemeClr val="lt1"/>
      </a:contourClr>
    </dgm:sp3d>
    <dgm:txPr/>
    <dgm:style>
      <a:lnRef idx="0">
        <a:scrgbClr r="0" g="0" b="0"/>
      </a:lnRef>
      <a:fillRef idx="1">
        <a:scrgbClr r="0" g="0" b="0"/>
      </a:fillRef>
      <a:effectRef idx="2">
        <a:scrgbClr r="0" g="0" b="0"/>
      </a:effectRef>
      <a:fontRef idx="minor"/>
    </dgm:style>
  </dgm:styleLbl>
  <dgm:styleLbl name="fgAcc0">
    <dgm:scene3d>
      <a:camera prst="orthographicFront"/>
      <a:lightRig rig="threePt" dir="t"/>
    </dgm:scene3d>
    <dgm:sp3d z="57150" extrusionH="63500" prstMaterial="matte"/>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z="57150" extrusionH="63500" prstMaterial="matte"/>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z="57150" extrusionH="63500" prstMaterial="matte"/>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z="57150" extrusionH="63500" prstMaterial="matte"/>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z="-400500" extrusionH="63500" contourW="12700" prstMaterial="matte">
      <a:contourClr>
        <a:schemeClr val="lt1">
          <a:tint val="50000"/>
        </a:schemeClr>
      </a:contourClr>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extrusionH="381000" contourW="38100" prstMaterial="matte">
      <a:contourClr>
        <a:schemeClr val="lt1"/>
      </a:contourClr>
    </dgm:sp3d>
    <dgm:txPr/>
    <dgm:style>
      <a:lnRef idx="0">
        <a:scrgbClr r="0" g="0" b="0"/>
      </a:lnRef>
      <a:fillRef idx="1">
        <a:scrgbClr r="0" g="0" b="0"/>
      </a:fillRef>
      <a:effectRef idx="0">
        <a:scrgbClr r="0" g="0" b="0"/>
      </a:effectRef>
      <a:fontRef idx="minor">
        <a:schemeClr val="lt1"/>
      </a:fontRef>
    </dgm:style>
  </dgm:styleLbl>
  <dgm:styleLbl name="trBgShp">
    <dgm:scene3d>
      <a:camera prst="orthographicFront"/>
      <a:lightRig rig="threePt" dir="t"/>
    </dgm:scene3d>
    <dgm:sp3d z="-400500" prstMaterial="matte"/>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z="57150" extrusionH="63500" contourW="12700" prstMaterial="matte">
      <a:contourClr>
        <a:schemeClr val="lt1">
          <a:tint val="50000"/>
        </a:schemeClr>
      </a:contourClr>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drawing1.xml><?xml version="1.0" encoding="utf-8"?>
<xdr:wsDr xmlns:xdr="http://schemas.openxmlformats.org/drawingml/2006/spreadsheetDrawing" xmlns:a="http://schemas.openxmlformats.org/drawingml/2006/main">
  <xdr:twoCellAnchor>
    <xdr:from>
      <xdr:col>1</xdr:col>
      <xdr:colOff>19050</xdr:colOff>
      <xdr:row>6</xdr:row>
      <xdr:rowOff>114301</xdr:rowOff>
    </xdr:from>
    <xdr:to>
      <xdr:col>12</xdr:col>
      <xdr:colOff>638175</xdr:colOff>
      <xdr:row>25</xdr:row>
      <xdr:rowOff>152401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257174</xdr:colOff>
      <xdr:row>6</xdr:row>
      <xdr:rowOff>142875</xdr:rowOff>
    </xdr:from>
    <xdr:to>
      <xdr:col>19</xdr:col>
      <xdr:colOff>476250</xdr:colOff>
      <xdr:row>25</xdr:row>
      <xdr:rowOff>142874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476250</xdr:colOff>
      <xdr:row>51</xdr:row>
      <xdr:rowOff>38100</xdr:rowOff>
    </xdr:from>
    <xdr:to>
      <xdr:col>13</xdr:col>
      <xdr:colOff>304800</xdr:colOff>
      <xdr:row>70</xdr:row>
      <xdr:rowOff>123826</xdr:rowOff>
    </xdr:to>
    <xdr:graphicFrame macro="">
      <xdr:nvGraphicFramePr>
        <xdr:cNvPr id="4" name="Chart 3">
          <a:extLst>
            <a:ext uri="{FF2B5EF4-FFF2-40B4-BE49-F238E27FC236}">
              <a16:creationId xmlns:a16="http://schemas.microsoft.com/office/drawing/2014/main" id="{E9EDFFBC-568F-49E7-9E22-DC6787C6AE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447674</xdr:colOff>
      <xdr:row>51</xdr:row>
      <xdr:rowOff>47625</xdr:rowOff>
    </xdr:from>
    <xdr:to>
      <xdr:col>19</xdr:col>
      <xdr:colOff>666750</xdr:colOff>
      <xdr:row>70</xdr:row>
      <xdr:rowOff>76199</xdr:rowOff>
    </xdr:to>
    <xdr:graphicFrame macro="">
      <xdr:nvGraphicFramePr>
        <xdr:cNvPr id="5" name="Chart 4">
          <a:extLst>
            <a:ext uri="{FF2B5EF4-FFF2-40B4-BE49-F238E27FC236}">
              <a16:creationId xmlns:a16="http://schemas.microsoft.com/office/drawing/2014/main" id="{823D051F-176A-40A2-8290-11CC5BC895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9526</xdr:colOff>
      <xdr:row>195</xdr:row>
      <xdr:rowOff>133350</xdr:rowOff>
    </xdr:from>
    <xdr:to>
      <xdr:col>7</xdr:col>
      <xdr:colOff>123825</xdr:colOff>
      <xdr:row>212</xdr:row>
      <xdr:rowOff>114300</xdr:rowOff>
    </xdr:to>
    <xdr:graphicFrame macro="">
      <xdr:nvGraphicFramePr>
        <xdr:cNvPr id="7" name="Chart 1">
          <a:extLst>
            <a:ext uri="{FF2B5EF4-FFF2-40B4-BE49-F238E27FC236}">
              <a16:creationId xmlns:a16="http://schemas.microsoft.com/office/drawing/2014/main" id="{1BF9B404-25A5-415E-B8C3-ED35B6A746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95251</xdr:colOff>
      <xdr:row>195</xdr:row>
      <xdr:rowOff>133350</xdr:rowOff>
    </xdr:from>
    <xdr:to>
      <xdr:col>21</xdr:col>
      <xdr:colOff>609601</xdr:colOff>
      <xdr:row>212</xdr:row>
      <xdr:rowOff>114300</xdr:rowOff>
    </xdr:to>
    <xdr:graphicFrame macro="">
      <xdr:nvGraphicFramePr>
        <xdr:cNvPr id="8" name="Chart 1">
          <a:extLst>
            <a:ext uri="{FF2B5EF4-FFF2-40B4-BE49-F238E27FC236}">
              <a16:creationId xmlns:a16="http://schemas.microsoft.com/office/drawing/2014/main" id="{7EA77AA1-22B6-4C70-90A1-D2CE73464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476250</xdr:colOff>
      <xdr:row>98</xdr:row>
      <xdr:rowOff>38100</xdr:rowOff>
    </xdr:from>
    <xdr:to>
      <xdr:col>13</xdr:col>
      <xdr:colOff>304800</xdr:colOff>
      <xdr:row>117</xdr:row>
      <xdr:rowOff>123826</xdr:rowOff>
    </xdr:to>
    <xdr:graphicFrame macro="">
      <xdr:nvGraphicFramePr>
        <xdr:cNvPr id="9" name="Chart 8">
          <a:extLst>
            <a:ext uri="{FF2B5EF4-FFF2-40B4-BE49-F238E27FC236}">
              <a16:creationId xmlns:a16="http://schemas.microsoft.com/office/drawing/2014/main" id="{ECF4D699-7C4E-461F-81CF-ADCF7AB298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447674</xdr:colOff>
      <xdr:row>98</xdr:row>
      <xdr:rowOff>47625</xdr:rowOff>
    </xdr:from>
    <xdr:to>
      <xdr:col>19</xdr:col>
      <xdr:colOff>666750</xdr:colOff>
      <xdr:row>117</xdr:row>
      <xdr:rowOff>76199</xdr:rowOff>
    </xdr:to>
    <xdr:graphicFrame macro="">
      <xdr:nvGraphicFramePr>
        <xdr:cNvPr id="10" name="Chart 9">
          <a:extLst>
            <a:ext uri="{FF2B5EF4-FFF2-40B4-BE49-F238E27FC236}">
              <a16:creationId xmlns:a16="http://schemas.microsoft.com/office/drawing/2014/main" id="{081F5232-5485-4CD5-B276-9D0B615F31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476250</xdr:colOff>
      <xdr:row>145</xdr:row>
      <xdr:rowOff>38100</xdr:rowOff>
    </xdr:from>
    <xdr:to>
      <xdr:col>13</xdr:col>
      <xdr:colOff>304800</xdr:colOff>
      <xdr:row>164</xdr:row>
      <xdr:rowOff>123826</xdr:rowOff>
    </xdr:to>
    <xdr:graphicFrame macro="">
      <xdr:nvGraphicFramePr>
        <xdr:cNvPr id="11" name="Chart 10">
          <a:extLst>
            <a:ext uri="{FF2B5EF4-FFF2-40B4-BE49-F238E27FC236}">
              <a16:creationId xmlns:a16="http://schemas.microsoft.com/office/drawing/2014/main" id="{C9A27370-D2AA-4482-B7A0-46FE431A6C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447674</xdr:colOff>
      <xdr:row>145</xdr:row>
      <xdr:rowOff>47625</xdr:rowOff>
    </xdr:from>
    <xdr:to>
      <xdr:col>19</xdr:col>
      <xdr:colOff>666750</xdr:colOff>
      <xdr:row>164</xdr:row>
      <xdr:rowOff>76199</xdr:rowOff>
    </xdr:to>
    <xdr:graphicFrame macro="">
      <xdr:nvGraphicFramePr>
        <xdr:cNvPr id="12" name="Chart 11">
          <a:extLst>
            <a:ext uri="{FF2B5EF4-FFF2-40B4-BE49-F238E27FC236}">
              <a16:creationId xmlns:a16="http://schemas.microsoft.com/office/drawing/2014/main" id="{A6D86FF3-2194-4E0F-BA28-C0340D3914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180976</xdr:colOff>
      <xdr:row>195</xdr:row>
      <xdr:rowOff>123825</xdr:rowOff>
    </xdr:from>
    <xdr:to>
      <xdr:col>14</xdr:col>
      <xdr:colOff>666751</xdr:colOff>
      <xdr:row>212</xdr:row>
      <xdr:rowOff>114301</xdr:rowOff>
    </xdr:to>
    <xdr:graphicFrame macro="">
      <xdr:nvGraphicFramePr>
        <xdr:cNvPr id="13" name="Chart 1">
          <a:extLst>
            <a:ext uri="{FF2B5EF4-FFF2-40B4-BE49-F238E27FC236}">
              <a16:creationId xmlns:a16="http://schemas.microsoft.com/office/drawing/2014/main" id="{5C545299-9CCD-4479-9B04-69DB9A798B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5</xdr:row>
      <xdr:rowOff>85724</xdr:rowOff>
    </xdr:from>
    <xdr:to>
      <xdr:col>7</xdr:col>
      <xdr:colOff>409575</xdr:colOff>
      <xdr:row>24</xdr:row>
      <xdr:rowOff>133349</xdr:rowOff>
    </xdr:to>
    <xdr:graphicFrame macro="">
      <xdr:nvGraphicFramePr>
        <xdr:cNvPr id="2" name="Diagram 1">
          <a:extLst>
            <a:ext uri="{FF2B5EF4-FFF2-40B4-BE49-F238E27FC236}">
              <a16:creationId xmlns:a16="http://schemas.microsoft.com/office/drawing/2014/main" id="{E5A69597-341A-4421-87BF-0C7990B210D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0</xdr:col>
      <xdr:colOff>261257</xdr:colOff>
      <xdr:row>30</xdr:row>
      <xdr:rowOff>20411</xdr:rowOff>
    </xdr:from>
    <xdr:to>
      <xdr:col>5</xdr:col>
      <xdr:colOff>647700</xdr:colOff>
      <xdr:row>46</xdr:row>
      <xdr:rowOff>104774</xdr:rowOff>
    </xdr:to>
    <xdr:graphicFrame macro="">
      <xdr:nvGraphicFramePr>
        <xdr:cNvPr id="3" name="Diagram 2">
          <a:extLst>
            <a:ext uri="{FF2B5EF4-FFF2-40B4-BE49-F238E27FC236}">
              <a16:creationId xmlns:a16="http://schemas.microsoft.com/office/drawing/2014/main" id="{52DDAE73-3F26-413B-995E-442AA55FB2C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5</xdr:col>
      <xdr:colOff>634093</xdr:colOff>
      <xdr:row>29</xdr:row>
      <xdr:rowOff>220435</xdr:rowOff>
    </xdr:from>
    <xdr:to>
      <xdr:col>10</xdr:col>
      <xdr:colOff>571500</xdr:colOff>
      <xdr:row>48</xdr:row>
      <xdr:rowOff>171450</xdr:rowOff>
    </xdr:to>
    <xdr:sp macro="" textlink="">
      <xdr:nvSpPr>
        <xdr:cNvPr id="4" name="Rectangle: Rounded Corners 3">
          <a:extLst>
            <a:ext uri="{FF2B5EF4-FFF2-40B4-BE49-F238E27FC236}">
              <a16:creationId xmlns:a16="http://schemas.microsoft.com/office/drawing/2014/main" id="{23B06432-B450-42E0-9477-46225C8D751F}"/>
            </a:ext>
          </a:extLst>
        </xdr:cNvPr>
        <xdr:cNvSpPr/>
      </xdr:nvSpPr>
      <xdr:spPr>
        <a:xfrm>
          <a:off x="4672693" y="791935"/>
          <a:ext cx="4233182" cy="4303940"/>
        </a:xfrm>
        <a:prstGeom prst="roundRect">
          <a:avLst/>
        </a:prstGeom>
        <a:solidFill>
          <a:schemeClr val="tx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400" b="1">
              <a:solidFill>
                <a:srgbClr val="0070C0"/>
              </a:solidFill>
              <a:latin typeface="+mn-lt"/>
            </a:rPr>
            <a:t>Business</a:t>
          </a:r>
          <a:r>
            <a:rPr lang="en-PH" sz="1400" b="1" baseline="0">
              <a:solidFill>
                <a:srgbClr val="0070C0"/>
              </a:solidFill>
              <a:latin typeface="+mn-lt"/>
            </a:rPr>
            <a:t> Needs </a:t>
          </a:r>
          <a:r>
            <a:rPr lang="en-PH" sz="1400" b="0" baseline="0">
              <a:solidFill>
                <a:sysClr val="windowText" lastClr="000000"/>
              </a:solidFill>
              <a:latin typeface="+mn-lt"/>
            </a:rPr>
            <a:t>is what the customer wants.</a:t>
          </a:r>
        </a:p>
        <a:p>
          <a:pPr algn="l"/>
          <a:endParaRPr lang="en-PH" sz="1400" b="0">
            <a:solidFill>
              <a:sysClr val="windowText" lastClr="000000"/>
            </a:solidFill>
            <a:latin typeface="+mn-lt"/>
          </a:endParaRPr>
        </a:p>
        <a:p>
          <a:pPr algn="l"/>
          <a:r>
            <a:rPr lang="en-PH" sz="1400" b="1">
              <a:solidFill>
                <a:srgbClr val="0070C0"/>
              </a:solidFill>
              <a:latin typeface="+mn-lt"/>
            </a:rPr>
            <a:t>Features / Functional Requirement </a:t>
          </a:r>
          <a:r>
            <a:rPr lang="en-PH" sz="1400" b="0">
              <a:solidFill>
                <a:sysClr val="windowText" lastClr="000000"/>
              </a:solidFill>
              <a:latin typeface="+mn-lt"/>
            </a:rPr>
            <a:t>states that describes the expected functionality of the system.</a:t>
          </a:r>
          <a:r>
            <a:rPr lang="en-PH" sz="1400" b="0" baseline="0">
              <a:solidFill>
                <a:sysClr val="windowText" lastClr="000000"/>
              </a:solidFill>
              <a:latin typeface="+mn-lt"/>
            </a:rPr>
            <a:t> </a:t>
          </a:r>
        </a:p>
        <a:p>
          <a:pPr algn="l"/>
          <a:endParaRPr lang="en-PH" sz="1400" b="0" baseline="0">
            <a:solidFill>
              <a:sysClr val="windowText" lastClr="000000"/>
            </a:solidFill>
            <a:latin typeface="+mn-lt"/>
          </a:endParaRPr>
        </a:p>
        <a:p>
          <a:pPr algn="l"/>
          <a:r>
            <a:rPr lang="en-PH" sz="1400" b="1">
              <a:solidFill>
                <a:srgbClr val="0070C0"/>
              </a:solidFill>
              <a:latin typeface="+mn-lt"/>
            </a:rPr>
            <a:t>Use case </a:t>
          </a:r>
          <a:r>
            <a:rPr lang="en-PH" sz="1400" b="0">
              <a:solidFill>
                <a:sysClr val="windowText" lastClr="000000"/>
              </a:solidFill>
              <a:latin typeface="+mn-lt"/>
            </a:rPr>
            <a:t>is a description of a system in terms of a sequence of actions.</a:t>
          </a:r>
        </a:p>
        <a:p>
          <a:pPr algn="l"/>
          <a:endParaRPr lang="en-PH" sz="1400" b="0">
            <a:solidFill>
              <a:sysClr val="windowText" lastClr="000000"/>
            </a:solidFill>
            <a:latin typeface="+mn-lt"/>
          </a:endParaRPr>
        </a:p>
        <a:p>
          <a:pPr algn="l"/>
          <a:r>
            <a:rPr lang="en-PH" sz="1400" b="1">
              <a:solidFill>
                <a:srgbClr val="0070C0"/>
              </a:solidFill>
              <a:latin typeface="+mn-lt"/>
            </a:rPr>
            <a:t>Test Scenario </a:t>
          </a:r>
          <a:r>
            <a:rPr lang="en-PH" sz="1400" b="0">
              <a:solidFill>
                <a:sysClr val="windowText" lastClr="000000"/>
              </a:solidFill>
              <a:latin typeface="+mn-lt"/>
            </a:rPr>
            <a:t>is all the possible ways that can happen in the application.</a:t>
          </a:r>
        </a:p>
        <a:p>
          <a:pPr algn="l"/>
          <a:endParaRPr lang="en-PH" sz="1400" b="0">
            <a:solidFill>
              <a:sysClr val="windowText" lastClr="000000"/>
            </a:solidFill>
            <a:latin typeface="+mn-lt"/>
          </a:endParaRPr>
        </a:p>
        <a:p>
          <a:r>
            <a:rPr lang="en-PH" sz="1400" b="1">
              <a:solidFill>
                <a:srgbClr val="0070C0"/>
              </a:solidFill>
              <a:effectLst/>
              <a:latin typeface="+mn-lt"/>
              <a:ea typeface="+mn-ea"/>
              <a:cs typeface="+mn-cs"/>
            </a:rPr>
            <a:t>Test Condition  </a:t>
          </a:r>
          <a:r>
            <a:rPr lang="en-PH" sz="1400" b="0">
              <a:solidFill>
                <a:sysClr val="windowText" lastClr="000000"/>
              </a:solidFill>
              <a:effectLst/>
              <a:latin typeface="+mn-lt"/>
              <a:ea typeface="+mn-ea"/>
              <a:cs typeface="+mn-cs"/>
            </a:rPr>
            <a:t>is all the possible ways that can happen in the application.</a:t>
          </a:r>
          <a:endParaRPr lang="en-PH" sz="1400">
            <a:solidFill>
              <a:sysClr val="windowText" lastClr="000000"/>
            </a:solidFill>
            <a:effectLst/>
            <a:latin typeface="+mn-lt"/>
          </a:endParaRPr>
        </a:p>
        <a:p>
          <a:pPr algn="l"/>
          <a:endParaRPr lang="en-PH" sz="1400" b="0">
            <a:solidFill>
              <a:sysClr val="windowText" lastClr="000000"/>
            </a:solidFill>
            <a:latin typeface="+mn-lt"/>
          </a:endParaRPr>
        </a:p>
        <a:p>
          <a:pPr algn="l"/>
          <a:r>
            <a:rPr lang="en-PH" sz="1400" b="0">
              <a:solidFill>
                <a:sysClr val="windowText" lastClr="000000"/>
              </a:solidFill>
              <a:latin typeface="+mn-lt"/>
            </a:rPr>
            <a:t>A </a:t>
          </a:r>
          <a:r>
            <a:rPr lang="en-PH" sz="1400" b="1">
              <a:solidFill>
                <a:srgbClr val="0070C0"/>
              </a:solidFill>
              <a:latin typeface="+mn-lt"/>
            </a:rPr>
            <a:t>Test Case </a:t>
          </a:r>
          <a:r>
            <a:rPr lang="en-PH" sz="1400" b="0">
              <a:solidFill>
                <a:sysClr val="windowText" lastClr="000000"/>
              </a:solidFill>
              <a:latin typeface="+mn-lt"/>
            </a:rPr>
            <a:t>is a set of steps to be executed by the tester in order to validate the scenario.</a:t>
          </a:r>
        </a:p>
      </xdr:txBody>
    </xdr:sp>
    <xdr:clientData/>
  </xdr:twoCellAnchor>
  <xdr:twoCellAnchor>
    <xdr:from>
      <xdr:col>10</xdr:col>
      <xdr:colOff>666750</xdr:colOff>
      <xdr:row>30</xdr:row>
      <xdr:rowOff>142875</xdr:rowOff>
    </xdr:from>
    <xdr:to>
      <xdr:col>10</xdr:col>
      <xdr:colOff>1181100</xdr:colOff>
      <xdr:row>32</xdr:row>
      <xdr:rowOff>66675</xdr:rowOff>
    </xdr:to>
    <xdr:sp macro="" textlink="">
      <xdr:nvSpPr>
        <xdr:cNvPr id="5" name="Arrow: Chevron 4">
          <a:extLst>
            <a:ext uri="{FF2B5EF4-FFF2-40B4-BE49-F238E27FC236}">
              <a16:creationId xmlns:a16="http://schemas.microsoft.com/office/drawing/2014/main" id="{2FE5D5E3-E251-4EBD-BD35-D4EA03F8FE8E}"/>
            </a:ext>
          </a:extLst>
        </xdr:cNvPr>
        <xdr:cNvSpPr/>
      </xdr:nvSpPr>
      <xdr:spPr>
        <a:xfrm>
          <a:off x="9001125" y="952500"/>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10</xdr:col>
      <xdr:colOff>657225</xdr:colOff>
      <xdr:row>33</xdr:row>
      <xdr:rowOff>209550</xdr:rowOff>
    </xdr:from>
    <xdr:to>
      <xdr:col>10</xdr:col>
      <xdr:colOff>1171575</xdr:colOff>
      <xdr:row>35</xdr:row>
      <xdr:rowOff>38100</xdr:rowOff>
    </xdr:to>
    <xdr:sp macro="" textlink="">
      <xdr:nvSpPr>
        <xdr:cNvPr id="6" name="Arrow: Chevron 5">
          <a:extLst>
            <a:ext uri="{FF2B5EF4-FFF2-40B4-BE49-F238E27FC236}">
              <a16:creationId xmlns:a16="http://schemas.microsoft.com/office/drawing/2014/main" id="{444AE667-1B75-45BB-8F81-F2EEB1AC84A5}"/>
            </a:ext>
          </a:extLst>
        </xdr:cNvPr>
        <xdr:cNvSpPr/>
      </xdr:nvSpPr>
      <xdr:spPr>
        <a:xfrm>
          <a:off x="8991600" y="1590675"/>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10</xdr:col>
      <xdr:colOff>676275</xdr:colOff>
      <xdr:row>37</xdr:row>
      <xdr:rowOff>19050</xdr:rowOff>
    </xdr:from>
    <xdr:to>
      <xdr:col>10</xdr:col>
      <xdr:colOff>1190625</xdr:colOff>
      <xdr:row>38</xdr:row>
      <xdr:rowOff>85725</xdr:rowOff>
    </xdr:to>
    <xdr:sp macro="" textlink="">
      <xdr:nvSpPr>
        <xdr:cNvPr id="7" name="Arrow: Chevron 6">
          <a:extLst>
            <a:ext uri="{FF2B5EF4-FFF2-40B4-BE49-F238E27FC236}">
              <a16:creationId xmlns:a16="http://schemas.microsoft.com/office/drawing/2014/main" id="{5C78B9C9-BC3E-4EF5-83F0-1B039110FCE0}"/>
            </a:ext>
          </a:extLst>
        </xdr:cNvPr>
        <xdr:cNvSpPr/>
      </xdr:nvSpPr>
      <xdr:spPr>
        <a:xfrm>
          <a:off x="9010650" y="2352675"/>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10</xdr:col>
      <xdr:colOff>685800</xdr:colOff>
      <xdr:row>39</xdr:row>
      <xdr:rowOff>200025</xdr:rowOff>
    </xdr:from>
    <xdr:to>
      <xdr:col>10</xdr:col>
      <xdr:colOff>1200150</xdr:colOff>
      <xdr:row>41</xdr:row>
      <xdr:rowOff>57150</xdr:rowOff>
    </xdr:to>
    <xdr:sp macro="" textlink="">
      <xdr:nvSpPr>
        <xdr:cNvPr id="8" name="Arrow: Chevron 7">
          <a:extLst>
            <a:ext uri="{FF2B5EF4-FFF2-40B4-BE49-F238E27FC236}">
              <a16:creationId xmlns:a16="http://schemas.microsoft.com/office/drawing/2014/main" id="{9FC23776-4109-4487-9155-733987BEBDF3}"/>
            </a:ext>
          </a:extLst>
        </xdr:cNvPr>
        <xdr:cNvSpPr/>
      </xdr:nvSpPr>
      <xdr:spPr>
        <a:xfrm>
          <a:off x="9020175" y="3009900"/>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10</xdr:col>
      <xdr:colOff>657225</xdr:colOff>
      <xdr:row>43</xdr:row>
      <xdr:rowOff>57150</xdr:rowOff>
    </xdr:from>
    <xdr:to>
      <xdr:col>10</xdr:col>
      <xdr:colOff>1171575</xdr:colOff>
      <xdr:row>44</xdr:row>
      <xdr:rowOff>123825</xdr:rowOff>
    </xdr:to>
    <xdr:sp macro="" textlink="">
      <xdr:nvSpPr>
        <xdr:cNvPr id="9" name="Arrow: Chevron 8">
          <a:extLst>
            <a:ext uri="{FF2B5EF4-FFF2-40B4-BE49-F238E27FC236}">
              <a16:creationId xmlns:a16="http://schemas.microsoft.com/office/drawing/2014/main" id="{869C431C-BFE7-4BF5-A15C-A0EBF4DDAC49}"/>
            </a:ext>
          </a:extLst>
        </xdr:cNvPr>
        <xdr:cNvSpPr/>
      </xdr:nvSpPr>
      <xdr:spPr>
        <a:xfrm>
          <a:off x="8991600" y="3790950"/>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10</xdr:col>
      <xdr:colOff>676275</xdr:colOff>
      <xdr:row>46</xdr:row>
      <xdr:rowOff>28575</xdr:rowOff>
    </xdr:from>
    <xdr:to>
      <xdr:col>10</xdr:col>
      <xdr:colOff>1190625</xdr:colOff>
      <xdr:row>47</xdr:row>
      <xdr:rowOff>95250</xdr:rowOff>
    </xdr:to>
    <xdr:sp macro="" textlink="">
      <xdr:nvSpPr>
        <xdr:cNvPr id="10" name="Arrow: Chevron 9">
          <a:extLst>
            <a:ext uri="{FF2B5EF4-FFF2-40B4-BE49-F238E27FC236}">
              <a16:creationId xmlns:a16="http://schemas.microsoft.com/office/drawing/2014/main" id="{BE2FE9E7-2135-4E40-B744-D2C800A326B9}"/>
            </a:ext>
          </a:extLst>
        </xdr:cNvPr>
        <xdr:cNvSpPr/>
      </xdr:nvSpPr>
      <xdr:spPr>
        <a:xfrm>
          <a:off x="9010650" y="4476750"/>
          <a:ext cx="514350" cy="304800"/>
        </a:xfrm>
        <a:prstGeom prst="chevron">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H" sz="1100">
            <a:solidFill>
              <a:schemeClr val="tx1"/>
            </a:solidFill>
          </a:endParaRPr>
        </a:p>
      </xdr:txBody>
    </xdr:sp>
    <xdr:clientData/>
  </xdr:twoCellAnchor>
  <xdr:twoCellAnchor>
    <xdr:from>
      <xdr:col>4</xdr:col>
      <xdr:colOff>390526</xdr:colOff>
      <xdr:row>73</xdr:row>
      <xdr:rowOff>38099</xdr:rowOff>
    </xdr:from>
    <xdr:to>
      <xdr:col>7</xdr:col>
      <xdr:colOff>266700</xdr:colOff>
      <xdr:row>106</xdr:row>
      <xdr:rowOff>0</xdr:rowOff>
    </xdr:to>
    <xdr:graphicFrame macro="">
      <xdr:nvGraphicFramePr>
        <xdr:cNvPr id="17" name="Diagram 16">
          <a:extLst>
            <a:ext uri="{FF2B5EF4-FFF2-40B4-BE49-F238E27FC236}">
              <a16:creationId xmlns:a16="http://schemas.microsoft.com/office/drawing/2014/main" id="{B8CA2B41-0379-4650-ABBC-EFE9B8A5501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2</xdr:col>
      <xdr:colOff>428625</xdr:colOff>
      <xdr:row>78</xdr:row>
      <xdr:rowOff>171450</xdr:rowOff>
    </xdr:from>
    <xdr:to>
      <xdr:col>4</xdr:col>
      <xdr:colOff>304801</xdr:colOff>
      <xdr:row>82</xdr:row>
      <xdr:rowOff>114300</xdr:rowOff>
    </xdr:to>
    <xdr:sp macro="" textlink="">
      <xdr:nvSpPr>
        <xdr:cNvPr id="16" name="Double Bracket 15">
          <a:extLst>
            <a:ext uri="{FF2B5EF4-FFF2-40B4-BE49-F238E27FC236}">
              <a16:creationId xmlns:a16="http://schemas.microsoft.com/office/drawing/2014/main" id="{9383E04A-DCCE-4F29-889E-8454928A62CC}"/>
            </a:ext>
          </a:extLst>
        </xdr:cNvPr>
        <xdr:cNvSpPr/>
      </xdr:nvSpPr>
      <xdr:spPr>
        <a:xfrm>
          <a:off x="2105025" y="16030575"/>
          <a:ext cx="1371601" cy="714375"/>
        </a:xfrm>
        <a:prstGeom prst="bracketPair">
          <a:avLst/>
        </a:prstGeom>
      </xdr:spPr>
      <xdr:style>
        <a:lnRef idx="3">
          <a:schemeClr val="accent5"/>
        </a:lnRef>
        <a:fillRef idx="0">
          <a:schemeClr val="accent5"/>
        </a:fillRef>
        <a:effectRef idx="2">
          <a:schemeClr val="accent5"/>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304801</xdr:colOff>
      <xdr:row>80</xdr:row>
      <xdr:rowOff>147638</xdr:rowOff>
    </xdr:from>
    <xdr:to>
      <xdr:col>5</xdr:col>
      <xdr:colOff>34291</xdr:colOff>
      <xdr:row>81</xdr:row>
      <xdr:rowOff>152400</xdr:rowOff>
    </xdr:to>
    <xdr:cxnSp macro="">
      <xdr:nvCxnSpPr>
        <xdr:cNvPr id="19" name="Straight Connector 18">
          <a:extLst>
            <a:ext uri="{FF2B5EF4-FFF2-40B4-BE49-F238E27FC236}">
              <a16:creationId xmlns:a16="http://schemas.microsoft.com/office/drawing/2014/main" id="{AC4E6398-B388-4EC1-A037-2E6D2E8B70E8}"/>
            </a:ext>
          </a:extLst>
        </xdr:cNvPr>
        <xdr:cNvCxnSpPr>
          <a:endCxn id="16" idx="3"/>
        </xdr:cNvCxnSpPr>
      </xdr:nvCxnSpPr>
      <xdr:spPr>
        <a:xfrm flipH="1" flipV="1">
          <a:off x="3476626" y="16387763"/>
          <a:ext cx="548640" cy="195262"/>
        </a:xfrm>
        <a:prstGeom prst="line">
          <a:avLst/>
        </a:prstGeom>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600075</xdr:colOff>
      <xdr:row>78</xdr:row>
      <xdr:rowOff>152400</xdr:rowOff>
    </xdr:from>
    <xdr:to>
      <xdr:col>4</xdr:col>
      <xdr:colOff>95249</xdr:colOff>
      <xdr:row>80</xdr:row>
      <xdr:rowOff>161925</xdr:rowOff>
    </xdr:to>
    <xdr:grpSp>
      <xdr:nvGrpSpPr>
        <xdr:cNvPr id="22" name="Group 21">
          <a:extLst>
            <a:ext uri="{FF2B5EF4-FFF2-40B4-BE49-F238E27FC236}">
              <a16:creationId xmlns:a16="http://schemas.microsoft.com/office/drawing/2014/main" id="{22120F97-CBA2-4883-A9A1-98B3862E7C45}"/>
            </a:ext>
          </a:extLst>
        </xdr:cNvPr>
        <xdr:cNvGrpSpPr/>
      </xdr:nvGrpSpPr>
      <xdr:grpSpPr>
        <a:xfrm>
          <a:off x="2276475" y="16021050"/>
          <a:ext cx="1228724" cy="390525"/>
          <a:chOff x="951755" y="953348"/>
          <a:chExt cx="771525" cy="332830"/>
        </a:xfrm>
      </xdr:grpSpPr>
      <xdr:sp macro="" textlink="">
        <xdr:nvSpPr>
          <xdr:cNvPr id="23" name="Rectangle 22">
            <a:extLst>
              <a:ext uri="{FF2B5EF4-FFF2-40B4-BE49-F238E27FC236}">
                <a16:creationId xmlns:a16="http://schemas.microsoft.com/office/drawing/2014/main" id="{A87EE1BE-B91D-4C8D-AE9B-E4B6FDA22EF0}"/>
              </a:ext>
            </a:extLst>
          </xdr:cNvPr>
          <xdr:cNvSpPr/>
        </xdr:nvSpPr>
        <xdr:spPr>
          <a:xfrm>
            <a:off x="951756" y="953348"/>
            <a:ext cx="665916" cy="332830"/>
          </a:xfrm>
          <a:prstGeom prst="rect">
            <a:avLst/>
          </a:prstGeom>
        </xdr:spPr>
        <xdr:style>
          <a:lnRef idx="0">
            <a:schemeClr val="dk1">
              <a:alpha val="0"/>
              <a:hueOff val="0"/>
              <a:satOff val="0"/>
              <a:lumOff val="0"/>
              <a:alphaOff val="0"/>
            </a:schemeClr>
          </a:lnRef>
          <a:fillRef idx="0">
            <a:schemeClr val="lt1">
              <a:alpha val="0"/>
              <a:hueOff val="0"/>
              <a:satOff val="0"/>
              <a:lumOff val="0"/>
              <a:alphaOff val="0"/>
            </a:schemeClr>
          </a:fillRef>
          <a:effectRef idx="0">
            <a:schemeClr val="lt1">
              <a:alpha val="0"/>
              <a:hueOff val="0"/>
              <a:satOff val="0"/>
              <a:lumOff val="0"/>
              <a:alphaOff val="0"/>
            </a:schemeClr>
          </a:effectRef>
          <a:fontRef idx="minor">
            <a:schemeClr val="tx1">
              <a:hueOff val="0"/>
              <a:satOff val="0"/>
              <a:lumOff val="0"/>
              <a:alphaOff val="0"/>
            </a:schemeClr>
          </a:fontRef>
        </xdr:style>
      </xdr:sp>
      <xdr:sp macro="" textlink="">
        <xdr:nvSpPr>
          <xdr:cNvPr id="24" name="TextBox 23">
            <a:extLst>
              <a:ext uri="{FF2B5EF4-FFF2-40B4-BE49-F238E27FC236}">
                <a16:creationId xmlns:a16="http://schemas.microsoft.com/office/drawing/2014/main" id="{986FE9F4-6212-42FC-B4E1-9362472960C8}"/>
              </a:ext>
            </a:extLst>
          </xdr:cNvPr>
          <xdr:cNvSpPr txBox="1"/>
        </xdr:nvSpPr>
        <xdr:spPr>
          <a:xfrm>
            <a:off x="951755" y="953348"/>
            <a:ext cx="771525" cy="332830"/>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DEFFERED</a:t>
            </a:r>
          </a:p>
        </xdr:txBody>
      </xdr:sp>
    </xdr:grpSp>
    <xdr:clientData/>
  </xdr:twoCellAnchor>
  <xdr:twoCellAnchor>
    <xdr:from>
      <xdr:col>2</xdr:col>
      <xdr:colOff>609600</xdr:colOff>
      <xdr:row>80</xdr:row>
      <xdr:rowOff>152400</xdr:rowOff>
    </xdr:from>
    <xdr:to>
      <xdr:col>4</xdr:col>
      <xdr:colOff>104774</xdr:colOff>
      <xdr:row>82</xdr:row>
      <xdr:rowOff>152400</xdr:rowOff>
    </xdr:to>
    <xdr:sp macro="" textlink="">
      <xdr:nvSpPr>
        <xdr:cNvPr id="25" name="TextBox 24">
          <a:extLst>
            <a:ext uri="{FF2B5EF4-FFF2-40B4-BE49-F238E27FC236}">
              <a16:creationId xmlns:a16="http://schemas.microsoft.com/office/drawing/2014/main" id="{D425C3E5-B02E-427C-8C90-85E5811CD3F6}"/>
            </a:ext>
          </a:extLst>
        </xdr:cNvPr>
        <xdr:cNvSpPr txBox="1"/>
      </xdr:nvSpPr>
      <xdr:spPr>
        <a:xfrm>
          <a:off x="2286000" y="16392525"/>
          <a:ext cx="990599" cy="390525"/>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DROPPED</a:t>
          </a:r>
        </a:p>
      </xdr:txBody>
    </xdr:sp>
    <xdr:clientData/>
  </xdr:twoCellAnchor>
  <xdr:twoCellAnchor>
    <xdr:from>
      <xdr:col>2</xdr:col>
      <xdr:colOff>247651</xdr:colOff>
      <xdr:row>86</xdr:row>
      <xdr:rowOff>123825</xdr:rowOff>
    </xdr:from>
    <xdr:to>
      <xdr:col>4</xdr:col>
      <xdr:colOff>285752</xdr:colOff>
      <xdr:row>91</xdr:row>
      <xdr:rowOff>19050</xdr:rowOff>
    </xdr:to>
    <xdr:sp macro="" textlink="">
      <xdr:nvSpPr>
        <xdr:cNvPr id="26" name="Double Bracket 25">
          <a:extLst>
            <a:ext uri="{FF2B5EF4-FFF2-40B4-BE49-F238E27FC236}">
              <a16:creationId xmlns:a16="http://schemas.microsoft.com/office/drawing/2014/main" id="{0BEBE998-F195-4EA8-8D93-E37AE2ADD72E}"/>
            </a:ext>
          </a:extLst>
        </xdr:cNvPr>
        <xdr:cNvSpPr/>
      </xdr:nvSpPr>
      <xdr:spPr>
        <a:xfrm>
          <a:off x="1924051" y="17840325"/>
          <a:ext cx="1533526" cy="1038225"/>
        </a:xfrm>
        <a:prstGeom prst="bracketPair">
          <a:avLst/>
        </a:prstGeom>
        <a:ln>
          <a:solidFill>
            <a:schemeClr val="accent6">
              <a:lumMod val="60000"/>
              <a:lumOff val="40000"/>
            </a:schemeClr>
          </a:solidFill>
        </a:ln>
      </xdr:spPr>
      <xdr:style>
        <a:lnRef idx="3">
          <a:schemeClr val="accent5"/>
        </a:lnRef>
        <a:fillRef idx="0">
          <a:schemeClr val="accent5"/>
        </a:fillRef>
        <a:effectRef idx="2">
          <a:schemeClr val="accent5"/>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333376</xdr:colOff>
      <xdr:row>89</xdr:row>
      <xdr:rowOff>233364</xdr:rowOff>
    </xdr:from>
    <xdr:to>
      <xdr:col>5</xdr:col>
      <xdr:colOff>457200</xdr:colOff>
      <xdr:row>92</xdr:row>
      <xdr:rowOff>38100</xdr:rowOff>
    </xdr:to>
    <xdr:cxnSp macro="">
      <xdr:nvCxnSpPr>
        <xdr:cNvPr id="27" name="Straight Connector 26">
          <a:extLst>
            <a:ext uri="{FF2B5EF4-FFF2-40B4-BE49-F238E27FC236}">
              <a16:creationId xmlns:a16="http://schemas.microsoft.com/office/drawing/2014/main" id="{843A1C98-4E4D-4D49-8A16-4F7FAE9867D9}"/>
            </a:ext>
          </a:extLst>
        </xdr:cNvPr>
        <xdr:cNvCxnSpPr/>
      </xdr:nvCxnSpPr>
      <xdr:spPr>
        <a:xfrm flipH="1" flipV="1">
          <a:off x="3505201" y="18664239"/>
          <a:ext cx="942974" cy="423861"/>
        </a:xfrm>
        <a:prstGeom prst="line">
          <a:avLst/>
        </a:prstGeom>
        <a:ln>
          <a:solidFill>
            <a:schemeClr val="accent6">
              <a:lumMod val="60000"/>
              <a:lumOff val="40000"/>
            </a:schemeClr>
          </a:solidFill>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485776</xdr:colOff>
      <xdr:row>87</xdr:row>
      <xdr:rowOff>95250</xdr:rowOff>
    </xdr:from>
    <xdr:to>
      <xdr:col>4</xdr:col>
      <xdr:colOff>85725</xdr:colOff>
      <xdr:row>89</xdr:row>
      <xdr:rowOff>152400</xdr:rowOff>
    </xdr:to>
    <xdr:sp macro="" textlink="">
      <xdr:nvSpPr>
        <xdr:cNvPr id="29" name="TextBox 28">
          <a:extLst>
            <a:ext uri="{FF2B5EF4-FFF2-40B4-BE49-F238E27FC236}">
              <a16:creationId xmlns:a16="http://schemas.microsoft.com/office/drawing/2014/main" id="{4F3A8C14-6CAA-4093-AA4D-29BBAC9CEF62}"/>
            </a:ext>
          </a:extLst>
        </xdr:cNvPr>
        <xdr:cNvSpPr txBox="1"/>
      </xdr:nvSpPr>
      <xdr:spPr>
        <a:xfrm>
          <a:off x="2162176" y="18049875"/>
          <a:ext cx="1095374" cy="533400"/>
        </a:xfrm>
        <a:prstGeom prst="rect">
          <a:avLst/>
        </a:prstGeom>
      </xdr:spPr>
      <xdr:style>
        <a:lnRef idx="0">
          <a:scrgbClr r="0" g="0" b="0"/>
        </a:lnRef>
        <a:fillRef idx="0">
          <a:scrgbClr r="0" g="0" b="0"/>
        </a:fillRef>
        <a:effectRef idx="0">
          <a:scrgbClr r="0" g="0" b="0"/>
        </a:effectRef>
        <a:fontRef idx="minor">
          <a:schemeClr val="tx1">
            <a:hueOff val="0"/>
            <a:satOff val="0"/>
            <a:lumOff val="0"/>
            <a:alphaOff val="0"/>
          </a:schemeClr>
        </a:fontRef>
      </xdr:style>
      <xdr: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en-US" sz="1800" b="1" kern="1200"/>
            <a:t>REOPENED</a:t>
          </a:r>
        </a:p>
      </xdr:txBody>
    </xdr:sp>
    <xdr:clientData/>
  </xdr:twoCellAnchor>
</xdr:wsDr>
</file>

<file path=xl/tables/table1.xml><?xml version="1.0" encoding="utf-8"?>
<table xmlns="http://schemas.openxmlformats.org/spreadsheetml/2006/main" id="1" name="Table1" displayName="Table1" ref="C9:S14" totalsRowShown="0" headerRowDxfId="345" dataDxfId="343" headerRowBorderDxfId="344">
  <tableColumns count="17">
    <tableColumn id="1" name="Test Scenario Description" dataDxfId="342">
      <calculatedColumnFormula>"Vaalidate "&amp;'Traceability  Matrix'!G15</calculatedColumnFormula>
    </tableColumn>
    <tableColumn id="2" name="Test Steps " dataDxfId="341"/>
    <tableColumn id="3" name="Expected Result" dataDxfId="340">
      <calculatedColumnFormula>'Traceability  Matrix'!G15</calculatedColumnFormula>
    </tableColumn>
    <tableColumn id="7" name="Scripting" dataDxfId="339"/>
    <tableColumn id="8" name="Review" dataDxfId="338"/>
    <tableColumn id="9" name="Deployed?" dataDxfId="337"/>
    <tableColumn id="15" name="Date/Time" dataDxfId="336"/>
    <tableColumn id="14" name=" " dataDxfId="335"/>
    <tableColumn id="4" name="Account Type " dataDxfId="334"/>
    <tableColumn id="5" name="Browser " dataDxfId="333"/>
    <tableColumn id="6" name="Status" dataDxfId="332"/>
    <tableColumn id="18" name="Date/Time  " dataDxfId="331"/>
    <tableColumn id="10" name="  " dataDxfId="330"/>
    <tableColumn id="11" name="Account Type  " dataDxfId="329"/>
    <tableColumn id="12" name="Browser  " dataDxfId="328"/>
    <tableColumn id="16" name="Status  " dataDxfId="327"/>
    <tableColumn id="13" name="Date/Time  2" dataDxfId="3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firstcarbon.atlassian.net/browse/ZDHC-556"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0"/>
  <sheetViews>
    <sheetView topLeftCell="B1" workbookViewId="0">
      <selection activeCell="B5" sqref="B5"/>
    </sheetView>
  </sheetViews>
  <sheetFormatPr defaultColWidth="9.125" defaultRowHeight="12.75" outlineLevelRow="2" outlineLevelCol="1"/>
  <cols>
    <col min="1" max="1" width="40.375" style="175" customWidth="1"/>
    <col min="2" max="2" width="10.875" style="175" customWidth="1"/>
    <col min="3" max="3" width="21" style="211" customWidth="1"/>
    <col min="4" max="4" width="12.625" style="211" customWidth="1"/>
    <col min="5" max="5" width="3.125" style="368" customWidth="1"/>
    <col min="6" max="19" width="8.625" style="175" hidden="1" customWidth="1" outlineLevel="1"/>
    <col min="20" max="20" width="28.375" style="244" customWidth="1" collapsed="1"/>
    <col min="21" max="21" width="23.25" style="175" customWidth="1"/>
    <col min="22" max="16384" width="9.125" style="175"/>
  </cols>
  <sheetData>
    <row r="1" spans="1:21" ht="15">
      <c r="A1" s="198" t="s">
        <v>171</v>
      </c>
      <c r="B1" s="198" t="s">
        <v>172</v>
      </c>
      <c r="C1" s="207" t="s">
        <v>176</v>
      </c>
      <c r="D1" s="208" t="s">
        <v>177</v>
      </c>
      <c r="E1" s="193"/>
      <c r="F1" s="443" t="s">
        <v>170</v>
      </c>
      <c r="G1" s="444"/>
      <c r="H1" s="444"/>
      <c r="I1" s="444"/>
      <c r="J1" s="444"/>
      <c r="K1" s="444"/>
      <c r="L1" s="444"/>
      <c r="M1" s="444"/>
      <c r="N1" s="444"/>
      <c r="O1" s="444"/>
      <c r="P1" s="444"/>
      <c r="Q1" s="444"/>
      <c r="R1" s="444"/>
      <c r="S1" s="444"/>
      <c r="T1" s="442" t="s">
        <v>173</v>
      </c>
      <c r="U1" s="198" t="s">
        <v>174</v>
      </c>
    </row>
    <row r="2" spans="1:21" ht="15" customHeight="1">
      <c r="A2" s="185" t="s">
        <v>178</v>
      </c>
      <c r="B2" s="186">
        <f>NETWORKDAYS(C2,D2)</f>
        <v>10</v>
      </c>
      <c r="C2" s="187">
        <v>42372</v>
      </c>
      <c r="D2" s="189">
        <v>42386</v>
      </c>
      <c r="E2" s="194"/>
      <c r="F2" s="523"/>
      <c r="G2" s="445"/>
      <c r="H2" s="445"/>
      <c r="I2" s="445"/>
      <c r="J2" s="445"/>
      <c r="K2" s="445"/>
      <c r="L2" s="445"/>
      <c r="M2" s="445"/>
      <c r="N2" s="445"/>
      <c r="O2" s="445"/>
      <c r="P2" s="445"/>
      <c r="Q2" s="445"/>
      <c r="R2" s="445"/>
      <c r="S2" s="503"/>
      <c r="T2" s="509"/>
      <c r="U2" s="183"/>
    </row>
    <row r="3" spans="1:21">
      <c r="A3" s="177"/>
      <c r="B3" s="178"/>
      <c r="C3" s="184"/>
      <c r="D3" s="204"/>
      <c r="E3" s="195"/>
      <c r="F3" s="190">
        <v>42370</v>
      </c>
      <c r="G3" s="188">
        <v>42371</v>
      </c>
      <c r="H3" s="188">
        <v>42372</v>
      </c>
      <c r="I3" s="188">
        <v>42373</v>
      </c>
      <c r="J3" s="188">
        <v>42374</v>
      </c>
      <c r="K3" s="188">
        <v>42375</v>
      </c>
      <c r="L3" s="188">
        <v>42376</v>
      </c>
      <c r="M3" s="188">
        <v>42377</v>
      </c>
      <c r="N3" s="188">
        <v>42378</v>
      </c>
      <c r="O3" s="188">
        <v>42379</v>
      </c>
      <c r="P3" s="188">
        <v>42380</v>
      </c>
      <c r="Q3" s="188">
        <v>42381</v>
      </c>
      <c r="R3" s="188">
        <v>42382</v>
      </c>
      <c r="S3" s="504">
        <v>42383</v>
      </c>
      <c r="T3" s="510"/>
      <c r="U3" s="179"/>
    </row>
    <row r="4" spans="1:21" ht="15">
      <c r="A4" s="361" t="s">
        <v>179</v>
      </c>
      <c r="B4" s="362">
        <f>NETWORKDAYS(C4,D4)</f>
        <v>11</v>
      </c>
      <c r="C4" s="363">
        <v>42738</v>
      </c>
      <c r="D4" s="364">
        <v>42752</v>
      </c>
      <c r="E4" s="196"/>
      <c r="F4" s="191"/>
      <c r="G4" s="181"/>
      <c r="H4" s="181"/>
      <c r="I4" s="181"/>
      <c r="J4" s="181"/>
      <c r="K4" s="181"/>
      <c r="L4" s="181"/>
      <c r="M4" s="181"/>
      <c r="N4" s="181"/>
      <c r="O4" s="181"/>
      <c r="P4" s="181"/>
      <c r="Q4" s="181"/>
      <c r="R4" s="181"/>
      <c r="S4" s="505"/>
      <c r="T4" s="511"/>
      <c r="U4" s="176"/>
    </row>
    <row r="5" spans="1:21" ht="15" outlineLevel="1">
      <c r="A5" s="231" t="s">
        <v>181</v>
      </c>
      <c r="B5" s="232">
        <f t="shared" ref="B5:B6" si="0">NETWORKDAYS(C5,D5)</f>
        <v>1</v>
      </c>
      <c r="C5" s="233">
        <v>42738</v>
      </c>
      <c r="D5" s="234">
        <v>42738</v>
      </c>
      <c r="E5" s="195"/>
      <c r="F5" s="192"/>
      <c r="G5" s="178"/>
      <c r="H5" s="178"/>
      <c r="I5" s="178"/>
      <c r="J5" s="178"/>
      <c r="K5" s="178"/>
      <c r="L5" s="178"/>
      <c r="M5" s="178"/>
      <c r="N5" s="178"/>
      <c r="O5" s="178"/>
      <c r="P5" s="178"/>
      <c r="Q5" s="178"/>
      <c r="R5" s="178"/>
      <c r="S5" s="506"/>
      <c r="T5" s="512" t="s">
        <v>215</v>
      </c>
      <c r="U5" s="179"/>
    </row>
    <row r="6" spans="1:21" ht="15" outlineLevel="1">
      <c r="A6" s="231" t="s">
        <v>180</v>
      </c>
      <c r="B6" s="232">
        <f t="shared" si="0"/>
        <v>11</v>
      </c>
      <c r="C6" s="233">
        <v>42738</v>
      </c>
      <c r="D6" s="234">
        <v>42752</v>
      </c>
      <c r="E6" s="196"/>
      <c r="F6" s="191"/>
      <c r="G6" s="181"/>
      <c r="H6" s="181"/>
      <c r="I6" s="181"/>
      <c r="J6" s="181"/>
      <c r="K6" s="181"/>
      <c r="L6" s="181"/>
      <c r="M6" s="181"/>
      <c r="N6" s="181"/>
      <c r="O6" s="181"/>
      <c r="P6" s="181"/>
      <c r="Q6" s="181"/>
      <c r="R6" s="181"/>
      <c r="S6" s="505"/>
      <c r="T6" s="512" t="s">
        <v>208</v>
      </c>
      <c r="U6" s="179"/>
    </row>
    <row r="7" spans="1:21">
      <c r="A7" s="177"/>
      <c r="B7" s="178"/>
      <c r="C7" s="184"/>
      <c r="D7" s="204"/>
      <c r="E7" s="195"/>
      <c r="F7" s="192"/>
      <c r="G7" s="178"/>
      <c r="H7" s="178"/>
      <c r="I7" s="178"/>
      <c r="J7" s="178"/>
      <c r="K7" s="178"/>
      <c r="L7" s="178"/>
      <c r="M7" s="178"/>
      <c r="N7" s="178"/>
      <c r="O7" s="178"/>
      <c r="P7" s="178"/>
      <c r="Q7" s="178"/>
      <c r="R7" s="178"/>
      <c r="S7" s="506"/>
      <c r="T7" s="510"/>
      <c r="U7" s="179"/>
    </row>
    <row r="8" spans="1:21" ht="15">
      <c r="A8" s="361" t="s">
        <v>182</v>
      </c>
      <c r="B8" s="362">
        <f>NETWORKDAYS(C8,D8)</f>
        <v>11</v>
      </c>
      <c r="C8" s="363">
        <v>42738</v>
      </c>
      <c r="D8" s="364">
        <v>42752</v>
      </c>
      <c r="E8" s="196"/>
      <c r="F8" s="191"/>
      <c r="G8" s="181"/>
      <c r="H8" s="181"/>
      <c r="I8" s="181"/>
      <c r="J8" s="181"/>
      <c r="K8" s="181"/>
      <c r="L8" s="181"/>
      <c r="M8" s="181"/>
      <c r="N8" s="181"/>
      <c r="O8" s="181"/>
      <c r="P8" s="181"/>
      <c r="Q8" s="181"/>
      <c r="R8" s="181"/>
      <c r="S8" s="505"/>
      <c r="T8" s="511"/>
      <c r="U8" s="176"/>
    </row>
    <row r="9" spans="1:21" ht="15" outlineLevel="1">
      <c r="A9" s="231" t="s">
        <v>185</v>
      </c>
      <c r="B9" s="232">
        <f t="shared" ref="B9:B13" si="1">NETWORKDAYS(C9,D9)</f>
        <v>1</v>
      </c>
      <c r="C9" s="233">
        <v>42738</v>
      </c>
      <c r="D9" s="234">
        <v>42738</v>
      </c>
      <c r="E9" s="195"/>
      <c r="F9" s="192"/>
      <c r="G9" s="178"/>
      <c r="H9" s="178"/>
      <c r="I9" s="178"/>
      <c r="J9" s="178"/>
      <c r="K9" s="178"/>
      <c r="L9" s="178"/>
      <c r="M9" s="178"/>
      <c r="N9" s="178"/>
      <c r="O9" s="178"/>
      <c r="P9" s="178"/>
      <c r="Q9" s="178"/>
      <c r="R9" s="178"/>
      <c r="S9" s="505"/>
      <c r="T9" s="512" t="s">
        <v>211</v>
      </c>
      <c r="U9" s="179"/>
    </row>
    <row r="10" spans="1:21" ht="15" outlineLevel="1">
      <c r="A10" s="235" t="s">
        <v>183</v>
      </c>
      <c r="B10" s="232">
        <f t="shared" si="1"/>
        <v>6</v>
      </c>
      <c r="C10" s="233">
        <v>42738</v>
      </c>
      <c r="D10" s="234">
        <v>42745</v>
      </c>
      <c r="E10" s="196"/>
      <c r="F10" s="191"/>
      <c r="G10" s="181"/>
      <c r="H10" s="181"/>
      <c r="I10" s="181"/>
      <c r="J10" s="181"/>
      <c r="K10" s="181"/>
      <c r="L10" s="181"/>
      <c r="M10" s="181"/>
      <c r="N10" s="181"/>
      <c r="O10" s="181"/>
      <c r="P10" s="181"/>
      <c r="Q10" s="181"/>
      <c r="R10" s="181"/>
      <c r="S10" s="505"/>
      <c r="T10" s="512" t="s">
        <v>212</v>
      </c>
      <c r="U10" s="179"/>
    </row>
    <row r="11" spans="1:21" ht="15" outlineLevel="1">
      <c r="A11" s="180" t="s">
        <v>184</v>
      </c>
      <c r="B11" s="232">
        <f t="shared" si="1"/>
        <v>6</v>
      </c>
      <c r="C11" s="233">
        <v>42738</v>
      </c>
      <c r="D11" s="234">
        <v>42745</v>
      </c>
      <c r="E11" s="195"/>
      <c r="F11" s="192"/>
      <c r="G11" s="178"/>
      <c r="H11" s="178"/>
      <c r="I11" s="178"/>
      <c r="J11" s="178"/>
      <c r="K11" s="178"/>
      <c r="L11" s="178"/>
      <c r="M11" s="178"/>
      <c r="N11" s="178"/>
      <c r="O11" s="178"/>
      <c r="P11" s="178"/>
      <c r="Q11" s="178"/>
      <c r="R11" s="178"/>
      <c r="S11" s="505"/>
      <c r="T11" s="512" t="s">
        <v>212</v>
      </c>
      <c r="U11" s="179"/>
    </row>
    <row r="12" spans="1:21" ht="15" outlineLevel="1">
      <c r="A12" s="180" t="s">
        <v>189</v>
      </c>
      <c r="B12" s="232">
        <f t="shared" si="1"/>
        <v>1</v>
      </c>
      <c r="C12" s="233">
        <v>42746</v>
      </c>
      <c r="D12" s="234">
        <v>42746</v>
      </c>
      <c r="E12" s="196"/>
      <c r="F12" s="191"/>
      <c r="G12" s="181"/>
      <c r="H12" s="181"/>
      <c r="I12" s="181"/>
      <c r="J12" s="181"/>
      <c r="K12" s="181"/>
      <c r="L12" s="181"/>
      <c r="M12" s="181"/>
      <c r="N12" s="181"/>
      <c r="O12" s="181"/>
      <c r="P12" s="181"/>
      <c r="Q12" s="181"/>
      <c r="R12" s="181"/>
      <c r="S12" s="505"/>
      <c r="T12" s="512" t="s">
        <v>211</v>
      </c>
      <c r="U12" s="179"/>
    </row>
    <row r="13" spans="1:21" ht="25.5" outlineLevel="1">
      <c r="A13" s="180" t="s">
        <v>202</v>
      </c>
      <c r="B13" s="232">
        <f t="shared" si="1"/>
        <v>1</v>
      </c>
      <c r="C13" s="233">
        <v>42746</v>
      </c>
      <c r="D13" s="234">
        <v>42746</v>
      </c>
      <c r="E13" s="196"/>
      <c r="F13" s="191"/>
      <c r="G13" s="181"/>
      <c r="H13" s="181"/>
      <c r="I13" s="181"/>
      <c r="J13" s="181"/>
      <c r="K13" s="181"/>
      <c r="L13" s="181"/>
      <c r="M13" s="181"/>
      <c r="N13" s="181"/>
      <c r="O13" s="181"/>
      <c r="P13" s="181"/>
      <c r="Q13" s="181"/>
      <c r="R13" s="181"/>
      <c r="S13" s="505"/>
      <c r="T13" s="512" t="s">
        <v>210</v>
      </c>
      <c r="U13" s="179"/>
    </row>
    <row r="14" spans="1:21">
      <c r="A14" s="180"/>
      <c r="B14" s="181"/>
      <c r="C14" s="205"/>
      <c r="D14" s="206"/>
      <c r="E14" s="196"/>
      <c r="F14" s="191"/>
      <c r="G14" s="181"/>
      <c r="H14" s="181"/>
      <c r="I14" s="181"/>
      <c r="J14" s="181"/>
      <c r="K14" s="181"/>
      <c r="L14" s="181"/>
      <c r="M14" s="181"/>
      <c r="N14" s="181"/>
      <c r="O14" s="181"/>
      <c r="P14" s="181"/>
      <c r="Q14" s="181"/>
      <c r="R14" s="181"/>
      <c r="S14" s="505"/>
      <c r="U14" s="179"/>
    </row>
    <row r="15" spans="1:21" ht="15">
      <c r="A15" s="361" t="s">
        <v>18</v>
      </c>
      <c r="B15" s="362">
        <f>NETWORKDAYS(C15,D15)</f>
        <v>10</v>
      </c>
      <c r="C15" s="363">
        <v>42738</v>
      </c>
      <c r="D15" s="364">
        <v>42751</v>
      </c>
      <c r="E15" s="196"/>
      <c r="F15" s="191"/>
      <c r="G15" s="181"/>
      <c r="H15" s="181"/>
      <c r="I15" s="181"/>
      <c r="J15" s="181"/>
      <c r="K15" s="181"/>
      <c r="L15" s="181"/>
      <c r="M15" s="181"/>
      <c r="N15" s="181"/>
      <c r="O15" s="181"/>
      <c r="P15" s="181"/>
      <c r="Q15" s="181"/>
      <c r="R15" s="181"/>
      <c r="S15" s="507"/>
      <c r="T15" s="511"/>
      <c r="U15" s="176"/>
    </row>
    <row r="16" spans="1:21" ht="15.75" outlineLevel="1">
      <c r="A16" s="236" t="s">
        <v>186</v>
      </c>
      <c r="B16" s="237">
        <f>NETWORKDAYS(C16,D16)</f>
        <v>6</v>
      </c>
      <c r="C16" s="238">
        <v>42738</v>
      </c>
      <c r="D16" s="239">
        <v>42745</v>
      </c>
      <c r="E16" s="196"/>
      <c r="F16" s="191"/>
      <c r="G16" s="181"/>
      <c r="H16" s="181"/>
      <c r="I16" s="181"/>
      <c r="J16" s="181"/>
      <c r="K16" s="181"/>
      <c r="L16" s="181"/>
      <c r="M16" s="181"/>
      <c r="N16" s="181"/>
      <c r="O16" s="181"/>
      <c r="P16" s="181"/>
      <c r="Q16" s="181"/>
      <c r="R16" s="181"/>
      <c r="S16" s="507"/>
      <c r="T16" s="513"/>
      <c r="U16" s="242"/>
    </row>
    <row r="17" spans="1:21" ht="15" outlineLevel="2">
      <c r="A17" s="231" t="s">
        <v>185</v>
      </c>
      <c r="B17" s="232">
        <f t="shared" ref="B17:B24" si="2">NETWORKDAYS(C17,D17)</f>
        <v>1</v>
      </c>
      <c r="C17" s="233">
        <v>42738</v>
      </c>
      <c r="D17" s="234">
        <v>42738</v>
      </c>
      <c r="E17" s="196"/>
      <c r="F17" s="191"/>
      <c r="G17" s="181"/>
      <c r="H17" s="181"/>
      <c r="I17" s="181"/>
      <c r="J17" s="181"/>
      <c r="K17" s="181"/>
      <c r="L17" s="181"/>
      <c r="M17" s="181"/>
      <c r="N17" s="181"/>
      <c r="O17" s="181"/>
      <c r="P17" s="181"/>
      <c r="Q17" s="181"/>
      <c r="R17" s="181"/>
      <c r="S17" s="507"/>
      <c r="T17" s="512" t="s">
        <v>213</v>
      </c>
      <c r="U17" s="179"/>
    </row>
    <row r="18" spans="1:21" ht="15" outlineLevel="2">
      <c r="A18" s="231" t="s">
        <v>186</v>
      </c>
      <c r="B18" s="232">
        <f t="shared" si="2"/>
        <v>4</v>
      </c>
      <c r="C18" s="233">
        <v>42739</v>
      </c>
      <c r="D18" s="234">
        <v>42744</v>
      </c>
      <c r="E18" s="196"/>
      <c r="F18" s="191"/>
      <c r="G18" s="181"/>
      <c r="H18" s="181"/>
      <c r="I18" s="181"/>
      <c r="J18" s="181"/>
      <c r="K18" s="181"/>
      <c r="L18" s="181"/>
      <c r="M18" s="181"/>
      <c r="N18" s="181"/>
      <c r="O18" s="181"/>
      <c r="P18" s="181"/>
      <c r="Q18" s="181"/>
      <c r="R18" s="181"/>
      <c r="S18" s="505"/>
      <c r="T18" s="512" t="s">
        <v>214</v>
      </c>
      <c r="U18" s="179"/>
    </row>
    <row r="19" spans="1:21" ht="15" outlineLevel="2">
      <c r="A19" s="180" t="s">
        <v>187</v>
      </c>
      <c r="B19" s="232">
        <f t="shared" si="2"/>
        <v>2</v>
      </c>
      <c r="C19" s="233">
        <v>42744</v>
      </c>
      <c r="D19" s="521">
        <v>42745</v>
      </c>
      <c r="E19" s="196"/>
      <c r="F19" s="191"/>
      <c r="G19" s="181"/>
      <c r="H19" s="181"/>
      <c r="I19" s="181"/>
      <c r="J19" s="181"/>
      <c r="K19" s="181"/>
      <c r="L19" s="181"/>
      <c r="M19" s="181"/>
      <c r="N19" s="181"/>
      <c r="O19" s="181"/>
      <c r="P19" s="181"/>
      <c r="Q19" s="181"/>
      <c r="R19" s="181"/>
      <c r="S19" s="505"/>
      <c r="T19" s="512" t="s">
        <v>213</v>
      </c>
      <c r="U19" s="179"/>
    </row>
    <row r="20" spans="1:21" ht="15.75" outlineLevel="1">
      <c r="A20" s="236" t="s">
        <v>206</v>
      </c>
      <c r="B20" s="237">
        <f>NETWORKDAYS(C20,D20)</f>
        <v>4</v>
      </c>
      <c r="C20" s="238">
        <v>42745</v>
      </c>
      <c r="D20" s="239">
        <v>42748</v>
      </c>
      <c r="E20" s="196"/>
      <c r="F20" s="191"/>
      <c r="G20" s="181"/>
      <c r="H20" s="181"/>
      <c r="I20" s="181"/>
      <c r="J20" s="181"/>
      <c r="K20" s="181"/>
      <c r="L20" s="181"/>
      <c r="M20" s="181"/>
      <c r="N20" s="181"/>
      <c r="O20" s="181"/>
      <c r="P20" s="181"/>
      <c r="Q20" s="181"/>
      <c r="R20" s="181"/>
      <c r="S20" s="505"/>
      <c r="T20" s="514"/>
      <c r="U20" s="243"/>
    </row>
    <row r="21" spans="1:21" ht="15" outlineLevel="2">
      <c r="A21" s="180" t="s">
        <v>188</v>
      </c>
      <c r="B21" s="232">
        <f t="shared" si="2"/>
        <v>1</v>
      </c>
      <c r="C21" s="233">
        <v>42745</v>
      </c>
      <c r="D21" s="521">
        <v>42745</v>
      </c>
      <c r="E21" s="196"/>
      <c r="F21" s="191"/>
      <c r="G21" s="181"/>
      <c r="H21" s="181"/>
      <c r="I21" s="181"/>
      <c r="J21" s="181"/>
      <c r="K21" s="181"/>
      <c r="L21" s="181"/>
      <c r="M21" s="181"/>
      <c r="N21" s="181"/>
      <c r="O21" s="181"/>
      <c r="P21" s="181"/>
      <c r="Q21" s="181"/>
      <c r="R21" s="181"/>
      <c r="S21" s="505"/>
      <c r="T21" s="512" t="s">
        <v>214</v>
      </c>
      <c r="U21" s="179"/>
    </row>
    <row r="22" spans="1:21" ht="15" outlineLevel="2">
      <c r="A22" s="240" t="s">
        <v>194</v>
      </c>
      <c r="B22" s="232">
        <f t="shared" si="2"/>
        <v>3</v>
      </c>
      <c r="C22" s="233">
        <v>42746</v>
      </c>
      <c r="D22" s="521">
        <v>42748</v>
      </c>
      <c r="E22" s="195"/>
      <c r="F22" s="192"/>
      <c r="G22" s="178"/>
      <c r="H22" s="178"/>
      <c r="I22" s="178"/>
      <c r="J22" s="178"/>
      <c r="K22" s="178"/>
      <c r="L22" s="178"/>
      <c r="M22" s="178"/>
      <c r="N22" s="178"/>
      <c r="O22" s="178"/>
      <c r="P22" s="178"/>
      <c r="Q22" s="178"/>
      <c r="R22" s="178"/>
      <c r="S22" s="505"/>
      <c r="T22" s="512" t="s">
        <v>214</v>
      </c>
      <c r="U22" s="179"/>
    </row>
    <row r="23" spans="1:21" ht="15" outlineLevel="2">
      <c r="A23" s="240" t="s">
        <v>193</v>
      </c>
      <c r="B23" s="232">
        <f t="shared" si="2"/>
        <v>1</v>
      </c>
      <c r="C23" s="233">
        <v>42751</v>
      </c>
      <c r="D23" s="521">
        <v>42751</v>
      </c>
      <c r="E23" s="195"/>
      <c r="F23" s="192"/>
      <c r="G23" s="178"/>
      <c r="H23" s="178"/>
      <c r="I23" s="178"/>
      <c r="J23" s="178"/>
      <c r="K23" s="178"/>
      <c r="L23" s="178"/>
      <c r="M23" s="178"/>
      <c r="N23" s="178"/>
      <c r="O23" s="178"/>
      <c r="P23" s="178"/>
      <c r="Q23" s="178"/>
      <c r="R23" s="178"/>
      <c r="S23" s="505"/>
      <c r="T23" s="512" t="s">
        <v>214</v>
      </c>
      <c r="U23" s="179"/>
    </row>
    <row r="24" spans="1:21" ht="15" outlineLevel="2">
      <c r="A24" s="180" t="s">
        <v>190</v>
      </c>
      <c r="B24" s="232">
        <f t="shared" si="2"/>
        <v>1</v>
      </c>
      <c r="C24" s="233">
        <v>42751</v>
      </c>
      <c r="D24" s="521">
        <v>42751</v>
      </c>
      <c r="E24" s="196"/>
      <c r="F24" s="191"/>
      <c r="G24" s="181"/>
      <c r="H24" s="181"/>
      <c r="I24" s="181"/>
      <c r="J24" s="181"/>
      <c r="K24" s="181"/>
      <c r="L24" s="181"/>
      <c r="M24" s="181"/>
      <c r="N24" s="181"/>
      <c r="O24" s="181"/>
      <c r="P24" s="181"/>
      <c r="Q24" s="181"/>
      <c r="R24" s="181"/>
      <c r="S24" s="505"/>
      <c r="T24" s="512" t="s">
        <v>213</v>
      </c>
      <c r="U24" s="179"/>
    </row>
    <row r="25" spans="1:21" outlineLevel="1">
      <c r="A25" s="182"/>
      <c r="B25" s="181"/>
      <c r="C25" s="205"/>
      <c r="D25" s="206"/>
      <c r="E25" s="196"/>
      <c r="F25" s="191"/>
      <c r="G25" s="181"/>
      <c r="H25" s="181"/>
      <c r="I25" s="181"/>
      <c r="J25" s="181"/>
      <c r="K25" s="181"/>
      <c r="L25" s="181"/>
      <c r="M25" s="181"/>
      <c r="N25" s="181"/>
      <c r="O25" s="181"/>
      <c r="P25" s="181"/>
      <c r="Q25" s="181"/>
      <c r="R25" s="181"/>
      <c r="S25" s="505"/>
      <c r="T25" s="515"/>
      <c r="U25" s="179"/>
    </row>
    <row r="26" spans="1:21">
      <c r="A26" s="199"/>
      <c r="B26" s="181"/>
      <c r="C26" s="205"/>
      <c r="D26" s="206"/>
      <c r="E26" s="196"/>
      <c r="F26" s="191"/>
      <c r="G26" s="181"/>
      <c r="H26" s="181"/>
      <c r="I26" s="181"/>
      <c r="J26" s="181"/>
      <c r="K26" s="181"/>
      <c r="L26" s="181"/>
      <c r="M26" s="181"/>
      <c r="N26" s="181"/>
      <c r="O26" s="181"/>
      <c r="P26" s="181"/>
      <c r="Q26" s="181"/>
      <c r="R26" s="181"/>
      <c r="S26" s="505"/>
      <c r="T26" s="515"/>
      <c r="U26" s="179"/>
    </row>
    <row r="27" spans="1:21" ht="15.75">
      <c r="A27" s="202" t="s">
        <v>191</v>
      </c>
      <c r="B27" s="212">
        <f>NETWORKDAYS(C27,D27)</f>
        <v>3</v>
      </c>
      <c r="C27" s="213">
        <v>42748</v>
      </c>
      <c r="D27" s="214">
        <v>42752</v>
      </c>
      <c r="E27" s="195"/>
      <c r="F27" s="192"/>
      <c r="G27" s="178"/>
      <c r="H27" s="178"/>
      <c r="I27" s="178"/>
      <c r="J27" s="178"/>
      <c r="K27" s="178"/>
      <c r="L27" s="178"/>
      <c r="M27" s="178"/>
      <c r="N27" s="178"/>
      <c r="O27" s="178"/>
      <c r="P27" s="178"/>
      <c r="Q27" s="178"/>
      <c r="R27" s="178"/>
      <c r="S27" s="507"/>
      <c r="T27" s="511"/>
      <c r="U27" s="176"/>
    </row>
    <row r="28" spans="1:21" ht="15" outlineLevel="1">
      <c r="A28" s="231" t="s">
        <v>192</v>
      </c>
      <c r="B28" s="232">
        <f t="shared" ref="B28:B30" si="3">NETWORKDAYS(C28,D28)</f>
        <v>3</v>
      </c>
      <c r="C28" s="233">
        <v>42748</v>
      </c>
      <c r="D28" s="521">
        <v>42752</v>
      </c>
      <c r="E28" s="195"/>
      <c r="F28" s="192"/>
      <c r="G28" s="178"/>
      <c r="H28" s="178"/>
      <c r="I28" s="178"/>
      <c r="J28" s="178"/>
      <c r="K28" s="178"/>
      <c r="L28" s="178"/>
      <c r="M28" s="178"/>
      <c r="N28" s="178"/>
      <c r="O28" s="178"/>
      <c r="P28" s="178"/>
      <c r="Q28" s="178"/>
      <c r="R28" s="178"/>
      <c r="S28" s="507"/>
      <c r="T28" s="512" t="s">
        <v>208</v>
      </c>
      <c r="U28" s="179"/>
    </row>
    <row r="29" spans="1:21" ht="15" outlineLevel="1">
      <c r="A29" s="231" t="s">
        <v>196</v>
      </c>
      <c r="B29" s="232">
        <f t="shared" si="3"/>
        <v>1</v>
      </c>
      <c r="C29" s="233">
        <v>42752</v>
      </c>
      <c r="D29" s="521">
        <v>42752</v>
      </c>
      <c r="E29" s="195"/>
      <c r="F29" s="192"/>
      <c r="G29" s="178"/>
      <c r="H29" s="178"/>
      <c r="I29" s="178"/>
      <c r="J29" s="178"/>
      <c r="K29" s="178"/>
      <c r="L29" s="178"/>
      <c r="M29" s="178"/>
      <c r="N29" s="178"/>
      <c r="O29" s="178"/>
      <c r="P29" s="178"/>
      <c r="Q29" s="178"/>
      <c r="R29" s="178"/>
      <c r="S29" s="505"/>
      <c r="T29" s="512" t="s">
        <v>208</v>
      </c>
      <c r="U29" s="179"/>
    </row>
    <row r="30" spans="1:21" ht="15" outlineLevel="1">
      <c r="A30" s="180" t="s">
        <v>203</v>
      </c>
      <c r="B30" s="232">
        <f t="shared" si="3"/>
        <v>1</v>
      </c>
      <c r="C30" s="233">
        <v>42752</v>
      </c>
      <c r="D30" s="521">
        <v>42752</v>
      </c>
      <c r="E30" s="195"/>
      <c r="F30" s="192"/>
      <c r="G30" s="178"/>
      <c r="H30" s="178"/>
      <c r="I30" s="178"/>
      <c r="J30" s="178"/>
      <c r="K30" s="178"/>
      <c r="L30" s="178"/>
      <c r="M30" s="178"/>
      <c r="N30" s="178"/>
      <c r="O30" s="178"/>
      <c r="P30" s="178"/>
      <c r="Q30" s="178"/>
      <c r="R30" s="178"/>
      <c r="S30" s="507"/>
      <c r="T30" s="512" t="s">
        <v>209</v>
      </c>
      <c r="U30" s="179"/>
    </row>
    <row r="31" spans="1:21">
      <c r="A31" s="180"/>
      <c r="B31" s="181"/>
      <c r="C31" s="205"/>
      <c r="D31" s="206"/>
      <c r="E31" s="195"/>
      <c r="F31" s="192"/>
      <c r="G31" s="178"/>
      <c r="H31" s="178"/>
      <c r="I31" s="178"/>
      <c r="J31" s="178"/>
      <c r="K31" s="178"/>
      <c r="L31" s="178"/>
      <c r="M31" s="178"/>
      <c r="N31" s="178"/>
      <c r="O31" s="178"/>
      <c r="P31" s="178"/>
      <c r="Q31" s="178"/>
      <c r="R31" s="178"/>
      <c r="S31" s="507"/>
      <c r="U31" s="179"/>
    </row>
    <row r="32" spans="1:21" ht="15">
      <c r="A32" s="361" t="s">
        <v>201</v>
      </c>
      <c r="B32" s="362">
        <f>NETWORKDAYS(C32,D32)</f>
        <v>1</v>
      </c>
      <c r="C32" s="363">
        <v>42752</v>
      </c>
      <c r="D32" s="364">
        <v>42752</v>
      </c>
      <c r="E32" s="195"/>
      <c r="F32" s="192"/>
      <c r="G32" s="178"/>
      <c r="H32" s="178"/>
      <c r="I32" s="178"/>
      <c r="J32" s="178"/>
      <c r="K32" s="178"/>
      <c r="L32" s="178"/>
      <c r="M32" s="178"/>
      <c r="N32" s="178"/>
      <c r="O32" s="178"/>
      <c r="P32" s="178"/>
      <c r="Q32" s="178"/>
      <c r="R32" s="178"/>
      <c r="S32" s="506"/>
      <c r="T32" s="516"/>
      <c r="U32" s="176"/>
    </row>
    <row r="33" spans="1:21" ht="15" outlineLevel="1">
      <c r="A33" s="241" t="s">
        <v>195</v>
      </c>
      <c r="B33" s="237">
        <f>NETWORKDAYS(C33,D33)</f>
        <v>1</v>
      </c>
      <c r="C33" s="238">
        <v>42752</v>
      </c>
      <c r="D33" s="239">
        <v>42752</v>
      </c>
      <c r="E33" s="196"/>
      <c r="F33" s="191"/>
      <c r="G33" s="181"/>
      <c r="H33" s="181"/>
      <c r="I33" s="181"/>
      <c r="J33" s="181"/>
      <c r="K33" s="181"/>
      <c r="L33" s="181"/>
      <c r="M33" s="181"/>
      <c r="N33" s="181"/>
      <c r="O33" s="181"/>
      <c r="P33" s="181"/>
      <c r="Q33" s="181"/>
      <c r="R33" s="181"/>
      <c r="S33" s="505"/>
      <c r="T33" s="517" t="s">
        <v>215</v>
      </c>
      <c r="U33" s="243"/>
    </row>
    <row r="34" spans="1:21" outlineLevel="1">
      <c r="A34" s="199"/>
      <c r="B34" s="178"/>
      <c r="C34" s="184"/>
      <c r="D34" s="204"/>
      <c r="E34" s="195"/>
      <c r="F34" s="192"/>
      <c r="G34" s="178"/>
      <c r="H34" s="178"/>
      <c r="I34" s="178"/>
      <c r="J34" s="178"/>
      <c r="K34" s="178"/>
      <c r="L34" s="178"/>
      <c r="M34" s="178"/>
      <c r="N34" s="178"/>
      <c r="O34" s="178"/>
      <c r="P34" s="178"/>
      <c r="Q34" s="178"/>
      <c r="R34" s="178"/>
      <c r="S34" s="505"/>
      <c r="T34" s="515"/>
      <c r="U34" s="179"/>
    </row>
    <row r="35" spans="1:21" ht="15">
      <c r="A35" s="361" t="s">
        <v>197</v>
      </c>
      <c r="B35" s="362">
        <f>NETWORKDAYS(C35,D35)</f>
        <v>1</v>
      </c>
      <c r="C35" s="363">
        <v>42752</v>
      </c>
      <c r="D35" s="364">
        <v>42752</v>
      </c>
      <c r="E35" s="197"/>
      <c r="F35" s="200"/>
      <c r="G35" s="199"/>
      <c r="H35" s="199"/>
      <c r="I35" s="199"/>
      <c r="J35" s="199"/>
      <c r="K35" s="199"/>
      <c r="L35" s="199"/>
      <c r="M35" s="199"/>
      <c r="N35" s="199"/>
      <c r="O35" s="199"/>
      <c r="P35" s="199"/>
      <c r="Q35" s="199"/>
      <c r="R35" s="199"/>
      <c r="S35" s="508"/>
      <c r="T35" s="518"/>
      <c r="U35" s="201"/>
    </row>
    <row r="36" spans="1:21" ht="15" outlineLevel="1">
      <c r="A36" s="366" t="s">
        <v>204</v>
      </c>
      <c r="B36" s="237">
        <f>NETWORKDAYS(C36,D36)</f>
        <v>1</v>
      </c>
      <c r="C36" s="238">
        <v>42752</v>
      </c>
      <c r="D36" s="239">
        <v>42752</v>
      </c>
      <c r="E36" s="197"/>
      <c r="F36" s="200"/>
      <c r="G36" s="199"/>
      <c r="H36" s="199"/>
      <c r="I36" s="199"/>
      <c r="J36" s="199"/>
      <c r="K36" s="199"/>
      <c r="L36" s="199"/>
      <c r="M36" s="199"/>
      <c r="N36" s="199"/>
      <c r="O36" s="199"/>
      <c r="P36" s="199"/>
      <c r="Q36" s="199"/>
      <c r="R36" s="199"/>
      <c r="S36" s="508"/>
      <c r="T36" s="519" t="s">
        <v>214</v>
      </c>
      <c r="U36" s="367"/>
    </row>
    <row r="37" spans="1:21" ht="15.75" outlineLevel="1">
      <c r="A37" s="203"/>
      <c r="B37" s="199"/>
      <c r="C37" s="209"/>
      <c r="D37" s="210"/>
      <c r="E37" s="197"/>
      <c r="F37" s="200"/>
      <c r="G37" s="199"/>
      <c r="H37" s="199"/>
      <c r="I37" s="199"/>
      <c r="J37" s="199"/>
      <c r="K37" s="199"/>
      <c r="L37" s="199"/>
      <c r="M37" s="199"/>
      <c r="N37" s="199"/>
      <c r="O37" s="199"/>
      <c r="P37" s="199"/>
      <c r="Q37" s="199"/>
      <c r="R37" s="199"/>
      <c r="S37" s="508"/>
      <c r="T37" s="520"/>
      <c r="U37" s="199"/>
    </row>
    <row r="38" spans="1:21" ht="15">
      <c r="A38" s="361" t="s">
        <v>198</v>
      </c>
      <c r="B38" s="365" t="s">
        <v>207</v>
      </c>
      <c r="C38" s="365" t="s">
        <v>207</v>
      </c>
      <c r="D38" s="522" t="s">
        <v>207</v>
      </c>
      <c r="E38" s="197"/>
      <c r="F38" s="200"/>
      <c r="G38" s="199"/>
      <c r="H38" s="199"/>
      <c r="I38" s="199"/>
      <c r="J38" s="199"/>
      <c r="K38" s="199"/>
      <c r="L38" s="199"/>
      <c r="M38" s="199"/>
      <c r="N38" s="199"/>
      <c r="O38" s="199"/>
      <c r="P38" s="199"/>
      <c r="Q38" s="199"/>
      <c r="R38" s="199"/>
      <c r="S38" s="508"/>
      <c r="T38" s="516" t="s">
        <v>215</v>
      </c>
      <c r="U38" s="201"/>
    </row>
    <row r="39" spans="1:21" ht="30">
      <c r="A39" s="361" t="s">
        <v>199</v>
      </c>
      <c r="B39" s="365" t="s">
        <v>207</v>
      </c>
      <c r="C39" s="365" t="s">
        <v>207</v>
      </c>
      <c r="D39" s="522" t="s">
        <v>207</v>
      </c>
      <c r="E39" s="197"/>
      <c r="F39" s="200"/>
      <c r="G39" s="199"/>
      <c r="H39" s="199"/>
      <c r="I39" s="199"/>
      <c r="J39" s="199"/>
      <c r="K39" s="199"/>
      <c r="L39" s="199"/>
      <c r="M39" s="199"/>
      <c r="N39" s="199"/>
      <c r="O39" s="199"/>
      <c r="P39" s="199"/>
      <c r="Q39" s="199"/>
      <c r="R39" s="199"/>
      <c r="S39" s="508"/>
      <c r="T39" s="518" t="s">
        <v>210</v>
      </c>
      <c r="U39" s="201"/>
    </row>
    <row r="40" spans="1:21" ht="15">
      <c r="A40" s="361" t="s">
        <v>200</v>
      </c>
      <c r="B40" s="365" t="s">
        <v>207</v>
      </c>
      <c r="C40" s="365" t="s">
        <v>207</v>
      </c>
      <c r="D40" s="522" t="s">
        <v>207</v>
      </c>
      <c r="E40" s="197"/>
      <c r="F40" s="200"/>
      <c r="G40" s="199"/>
      <c r="H40" s="199"/>
      <c r="I40" s="199"/>
      <c r="J40" s="199"/>
      <c r="K40" s="199"/>
      <c r="L40" s="199"/>
      <c r="M40" s="199"/>
      <c r="N40" s="199"/>
      <c r="O40" s="199"/>
      <c r="P40" s="199"/>
      <c r="Q40" s="199"/>
      <c r="R40" s="199"/>
      <c r="S40" s="508"/>
      <c r="T40" s="518" t="s">
        <v>132</v>
      </c>
      <c r="U40" s="201"/>
    </row>
  </sheetData>
  <sheetProtection algorithmName="SHA-512" hashValue="pYeFigL2WC6no0n+37oDHpz5SPLOE71lf1OqB8ICI3bdqOSNU60AIa5xjlpdXn7TM+A1fYHYlsZvVlECIRmQYQ==" saltValue="GVFSacnrvZcX0OFq9Xc86A==" spinCount="100000" sheet="1" objects="1" scenarios="1"/>
  <mergeCells count="2">
    <mergeCell ref="F1:S1"/>
    <mergeCell ref="F2:S2"/>
  </mergeCells>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Z258"/>
  <sheetViews>
    <sheetView zoomScaleNormal="100" workbookViewId="0">
      <selection activeCell="M218" sqref="M218"/>
    </sheetView>
  </sheetViews>
  <sheetFormatPr defaultRowHeight="15" outlineLevelRow="1"/>
  <cols>
    <col min="1" max="1" width="6.375" style="169" customWidth="1"/>
    <col min="2" max="2" width="29.5" style="169" customWidth="1"/>
    <col min="3" max="3" width="9" style="169" customWidth="1"/>
    <col min="4" max="12" width="8.125" style="169" customWidth="1"/>
    <col min="13" max="16" width="9.125" style="169"/>
    <col min="17" max="17" width="12.625" style="169" customWidth="1"/>
    <col min="18" max="256" width="9.125" style="169"/>
    <col min="257" max="257" width="6.375" style="169" customWidth="1"/>
    <col min="258" max="258" width="37.25" style="169" customWidth="1"/>
    <col min="259" max="268" width="8.125" style="169" customWidth="1"/>
    <col min="269" max="512" width="9.125" style="169"/>
    <col min="513" max="513" width="6.375" style="169" customWidth="1"/>
    <col min="514" max="514" width="37.25" style="169" customWidth="1"/>
    <col min="515" max="524" width="8.125" style="169" customWidth="1"/>
    <col min="525" max="768" width="9.125" style="169"/>
    <col min="769" max="769" width="6.375" style="169" customWidth="1"/>
    <col min="770" max="770" width="37.25" style="169" customWidth="1"/>
    <col min="771" max="780" width="8.125" style="169" customWidth="1"/>
    <col min="781" max="1024" width="9.125" style="169"/>
    <col min="1025" max="1025" width="6.375" style="169" customWidth="1"/>
    <col min="1026" max="1026" width="37.25" style="169" customWidth="1"/>
    <col min="1027" max="1036" width="8.125" style="169" customWidth="1"/>
    <col min="1037" max="1280" width="9.125" style="169"/>
    <col min="1281" max="1281" width="6.375" style="169" customWidth="1"/>
    <col min="1282" max="1282" width="37.25" style="169" customWidth="1"/>
    <col min="1283" max="1292" width="8.125" style="169" customWidth="1"/>
    <col min="1293" max="1536" width="9.125" style="169"/>
    <col min="1537" max="1537" width="6.375" style="169" customWidth="1"/>
    <col min="1538" max="1538" width="37.25" style="169" customWidth="1"/>
    <col min="1539" max="1548" width="8.125" style="169" customWidth="1"/>
    <col min="1549" max="1792" width="9.125" style="169"/>
    <col min="1793" max="1793" width="6.375" style="169" customWidth="1"/>
    <col min="1794" max="1794" width="37.25" style="169" customWidth="1"/>
    <col min="1795" max="1804" width="8.125" style="169" customWidth="1"/>
    <col min="1805" max="2048" width="9.125" style="169"/>
    <col min="2049" max="2049" width="6.375" style="169" customWidth="1"/>
    <col min="2050" max="2050" width="37.25" style="169" customWidth="1"/>
    <col min="2051" max="2060" width="8.125" style="169" customWidth="1"/>
    <col min="2061" max="2304" width="9.125" style="169"/>
    <col min="2305" max="2305" width="6.375" style="169" customWidth="1"/>
    <col min="2306" max="2306" width="37.25" style="169" customWidth="1"/>
    <col min="2307" max="2316" width="8.125" style="169" customWidth="1"/>
    <col min="2317" max="2560" width="9.125" style="169"/>
    <col min="2561" max="2561" width="6.375" style="169" customWidth="1"/>
    <col min="2562" max="2562" width="37.25" style="169" customWidth="1"/>
    <col min="2563" max="2572" width="8.125" style="169" customWidth="1"/>
    <col min="2573" max="2816" width="9.125" style="169"/>
    <col min="2817" max="2817" width="6.375" style="169" customWidth="1"/>
    <col min="2818" max="2818" width="37.25" style="169" customWidth="1"/>
    <col min="2819" max="2828" width="8.125" style="169" customWidth="1"/>
    <col min="2829" max="3072" width="9.125" style="169"/>
    <col min="3073" max="3073" width="6.375" style="169" customWidth="1"/>
    <col min="3074" max="3074" width="37.25" style="169" customWidth="1"/>
    <col min="3075" max="3084" width="8.125" style="169" customWidth="1"/>
    <col min="3085" max="3328" width="9.125" style="169"/>
    <col min="3329" max="3329" width="6.375" style="169" customWidth="1"/>
    <col min="3330" max="3330" width="37.25" style="169" customWidth="1"/>
    <col min="3331" max="3340" width="8.125" style="169" customWidth="1"/>
    <col min="3341" max="3584" width="9.125" style="169"/>
    <col min="3585" max="3585" width="6.375" style="169" customWidth="1"/>
    <col min="3586" max="3586" width="37.25" style="169" customWidth="1"/>
    <col min="3587" max="3596" width="8.125" style="169" customWidth="1"/>
    <col min="3597" max="3840" width="9.125" style="169"/>
    <col min="3841" max="3841" width="6.375" style="169" customWidth="1"/>
    <col min="3842" max="3842" width="37.25" style="169" customWidth="1"/>
    <col min="3843" max="3852" width="8.125" style="169" customWidth="1"/>
    <col min="3853" max="4096" width="9.125" style="169"/>
    <col min="4097" max="4097" width="6.375" style="169" customWidth="1"/>
    <col min="4098" max="4098" width="37.25" style="169" customWidth="1"/>
    <col min="4099" max="4108" width="8.125" style="169" customWidth="1"/>
    <col min="4109" max="4352" width="9.125" style="169"/>
    <col min="4353" max="4353" width="6.375" style="169" customWidth="1"/>
    <col min="4354" max="4354" width="37.25" style="169" customWidth="1"/>
    <col min="4355" max="4364" width="8.125" style="169" customWidth="1"/>
    <col min="4365" max="4608" width="9.125" style="169"/>
    <col min="4609" max="4609" width="6.375" style="169" customWidth="1"/>
    <col min="4610" max="4610" width="37.25" style="169" customWidth="1"/>
    <col min="4611" max="4620" width="8.125" style="169" customWidth="1"/>
    <col min="4621" max="4864" width="9.125" style="169"/>
    <col min="4865" max="4865" width="6.375" style="169" customWidth="1"/>
    <col min="4866" max="4866" width="37.25" style="169" customWidth="1"/>
    <col min="4867" max="4876" width="8.125" style="169" customWidth="1"/>
    <col min="4877" max="5120" width="9.125" style="169"/>
    <col min="5121" max="5121" width="6.375" style="169" customWidth="1"/>
    <col min="5122" max="5122" width="37.25" style="169" customWidth="1"/>
    <col min="5123" max="5132" width="8.125" style="169" customWidth="1"/>
    <col min="5133" max="5376" width="9.125" style="169"/>
    <col min="5377" max="5377" width="6.375" style="169" customWidth="1"/>
    <col min="5378" max="5378" width="37.25" style="169" customWidth="1"/>
    <col min="5379" max="5388" width="8.125" style="169" customWidth="1"/>
    <col min="5389" max="5632" width="9.125" style="169"/>
    <col min="5633" max="5633" width="6.375" style="169" customWidth="1"/>
    <col min="5634" max="5634" width="37.25" style="169" customWidth="1"/>
    <col min="5635" max="5644" width="8.125" style="169" customWidth="1"/>
    <col min="5645" max="5888" width="9.125" style="169"/>
    <col min="5889" max="5889" width="6.375" style="169" customWidth="1"/>
    <col min="5890" max="5890" width="37.25" style="169" customWidth="1"/>
    <col min="5891" max="5900" width="8.125" style="169" customWidth="1"/>
    <col min="5901" max="6144" width="9.125" style="169"/>
    <col min="6145" max="6145" width="6.375" style="169" customWidth="1"/>
    <col min="6146" max="6146" width="37.25" style="169" customWidth="1"/>
    <col min="6147" max="6156" width="8.125" style="169" customWidth="1"/>
    <col min="6157" max="6400" width="9.125" style="169"/>
    <col min="6401" max="6401" width="6.375" style="169" customWidth="1"/>
    <col min="6402" max="6402" width="37.25" style="169" customWidth="1"/>
    <col min="6403" max="6412" width="8.125" style="169" customWidth="1"/>
    <col min="6413" max="6656" width="9.125" style="169"/>
    <col min="6657" max="6657" width="6.375" style="169" customWidth="1"/>
    <col min="6658" max="6658" width="37.25" style="169" customWidth="1"/>
    <col min="6659" max="6668" width="8.125" style="169" customWidth="1"/>
    <col min="6669" max="6912" width="9.125" style="169"/>
    <col min="6913" max="6913" width="6.375" style="169" customWidth="1"/>
    <col min="6914" max="6914" width="37.25" style="169" customWidth="1"/>
    <col min="6915" max="6924" width="8.125" style="169" customWidth="1"/>
    <col min="6925" max="7168" width="9.125" style="169"/>
    <col min="7169" max="7169" width="6.375" style="169" customWidth="1"/>
    <col min="7170" max="7170" width="37.25" style="169" customWidth="1"/>
    <col min="7171" max="7180" width="8.125" style="169" customWidth="1"/>
    <col min="7181" max="7424" width="9.125" style="169"/>
    <col min="7425" max="7425" width="6.375" style="169" customWidth="1"/>
    <col min="7426" max="7426" width="37.25" style="169" customWidth="1"/>
    <col min="7427" max="7436" width="8.125" style="169" customWidth="1"/>
    <col min="7437" max="7680" width="9.125" style="169"/>
    <col min="7681" max="7681" width="6.375" style="169" customWidth="1"/>
    <col min="7682" max="7682" width="37.25" style="169" customWidth="1"/>
    <col min="7683" max="7692" width="8.125" style="169" customWidth="1"/>
    <col min="7693" max="7936" width="9.125" style="169"/>
    <col min="7937" max="7937" width="6.375" style="169" customWidth="1"/>
    <col min="7938" max="7938" width="37.25" style="169" customWidth="1"/>
    <col min="7939" max="7948" width="8.125" style="169" customWidth="1"/>
    <col min="7949" max="8192" width="9.125" style="169"/>
    <col min="8193" max="8193" width="6.375" style="169" customWidth="1"/>
    <col min="8194" max="8194" width="37.25" style="169" customWidth="1"/>
    <col min="8195" max="8204" width="8.125" style="169" customWidth="1"/>
    <col min="8205" max="8448" width="9.125" style="169"/>
    <col min="8449" max="8449" width="6.375" style="169" customWidth="1"/>
    <col min="8450" max="8450" width="37.25" style="169" customWidth="1"/>
    <col min="8451" max="8460" width="8.125" style="169" customWidth="1"/>
    <col min="8461" max="8704" width="9.125" style="169"/>
    <col min="8705" max="8705" width="6.375" style="169" customWidth="1"/>
    <col min="8706" max="8706" width="37.25" style="169" customWidth="1"/>
    <col min="8707" max="8716" width="8.125" style="169" customWidth="1"/>
    <col min="8717" max="8960" width="9.125" style="169"/>
    <col min="8961" max="8961" width="6.375" style="169" customWidth="1"/>
    <col min="8962" max="8962" width="37.25" style="169" customWidth="1"/>
    <col min="8963" max="8972" width="8.125" style="169" customWidth="1"/>
    <col min="8973" max="9216" width="9.125" style="169"/>
    <col min="9217" max="9217" width="6.375" style="169" customWidth="1"/>
    <col min="9218" max="9218" width="37.25" style="169" customWidth="1"/>
    <col min="9219" max="9228" width="8.125" style="169" customWidth="1"/>
    <col min="9229" max="9472" width="9.125" style="169"/>
    <col min="9473" max="9473" width="6.375" style="169" customWidth="1"/>
    <col min="9474" max="9474" width="37.25" style="169" customWidth="1"/>
    <col min="9475" max="9484" width="8.125" style="169" customWidth="1"/>
    <col min="9485" max="9728" width="9.125" style="169"/>
    <col min="9729" max="9729" width="6.375" style="169" customWidth="1"/>
    <col min="9730" max="9730" width="37.25" style="169" customWidth="1"/>
    <col min="9731" max="9740" width="8.125" style="169" customWidth="1"/>
    <col min="9741" max="9984" width="9.125" style="169"/>
    <col min="9985" max="9985" width="6.375" style="169" customWidth="1"/>
    <col min="9986" max="9986" width="37.25" style="169" customWidth="1"/>
    <col min="9987" max="9996" width="8.125" style="169" customWidth="1"/>
    <col min="9997" max="10240" width="9.125" style="169"/>
    <col min="10241" max="10241" width="6.375" style="169" customWidth="1"/>
    <col min="10242" max="10242" width="37.25" style="169" customWidth="1"/>
    <col min="10243" max="10252" width="8.125" style="169" customWidth="1"/>
    <col min="10253" max="10496" width="9.125" style="169"/>
    <col min="10497" max="10497" width="6.375" style="169" customWidth="1"/>
    <col min="10498" max="10498" width="37.25" style="169" customWidth="1"/>
    <col min="10499" max="10508" width="8.125" style="169" customWidth="1"/>
    <col min="10509" max="10752" width="9.125" style="169"/>
    <col min="10753" max="10753" width="6.375" style="169" customWidth="1"/>
    <col min="10754" max="10754" width="37.25" style="169" customWidth="1"/>
    <col min="10755" max="10764" width="8.125" style="169" customWidth="1"/>
    <col min="10765" max="11008" width="9.125" style="169"/>
    <col min="11009" max="11009" width="6.375" style="169" customWidth="1"/>
    <col min="11010" max="11010" width="37.25" style="169" customWidth="1"/>
    <col min="11011" max="11020" width="8.125" style="169" customWidth="1"/>
    <col min="11021" max="11264" width="9.125" style="169"/>
    <col min="11265" max="11265" width="6.375" style="169" customWidth="1"/>
    <col min="11266" max="11266" width="37.25" style="169" customWidth="1"/>
    <col min="11267" max="11276" width="8.125" style="169" customWidth="1"/>
    <col min="11277" max="11520" width="9.125" style="169"/>
    <col min="11521" max="11521" width="6.375" style="169" customWidth="1"/>
    <col min="11522" max="11522" width="37.25" style="169" customWidth="1"/>
    <col min="11523" max="11532" width="8.125" style="169" customWidth="1"/>
    <col min="11533" max="11776" width="9.125" style="169"/>
    <col min="11777" max="11777" width="6.375" style="169" customWidth="1"/>
    <col min="11778" max="11778" width="37.25" style="169" customWidth="1"/>
    <col min="11779" max="11788" width="8.125" style="169" customWidth="1"/>
    <col min="11789" max="12032" width="9.125" style="169"/>
    <col min="12033" max="12033" width="6.375" style="169" customWidth="1"/>
    <col min="12034" max="12034" width="37.25" style="169" customWidth="1"/>
    <col min="12035" max="12044" width="8.125" style="169" customWidth="1"/>
    <col min="12045" max="12288" width="9.125" style="169"/>
    <col min="12289" max="12289" width="6.375" style="169" customWidth="1"/>
    <col min="12290" max="12290" width="37.25" style="169" customWidth="1"/>
    <col min="12291" max="12300" width="8.125" style="169" customWidth="1"/>
    <col min="12301" max="12544" width="9.125" style="169"/>
    <col min="12545" max="12545" width="6.375" style="169" customWidth="1"/>
    <col min="12546" max="12546" width="37.25" style="169" customWidth="1"/>
    <col min="12547" max="12556" width="8.125" style="169" customWidth="1"/>
    <col min="12557" max="12800" width="9.125" style="169"/>
    <col min="12801" max="12801" width="6.375" style="169" customWidth="1"/>
    <col min="12802" max="12802" width="37.25" style="169" customWidth="1"/>
    <col min="12803" max="12812" width="8.125" style="169" customWidth="1"/>
    <col min="12813" max="13056" width="9.125" style="169"/>
    <col min="13057" max="13057" width="6.375" style="169" customWidth="1"/>
    <col min="13058" max="13058" width="37.25" style="169" customWidth="1"/>
    <col min="13059" max="13068" width="8.125" style="169" customWidth="1"/>
    <col min="13069" max="13312" width="9.125" style="169"/>
    <col min="13313" max="13313" width="6.375" style="169" customWidth="1"/>
    <col min="13314" max="13314" width="37.25" style="169" customWidth="1"/>
    <col min="13315" max="13324" width="8.125" style="169" customWidth="1"/>
    <col min="13325" max="13568" width="9.125" style="169"/>
    <col min="13569" max="13569" width="6.375" style="169" customWidth="1"/>
    <col min="13570" max="13570" width="37.25" style="169" customWidth="1"/>
    <col min="13571" max="13580" width="8.125" style="169" customWidth="1"/>
    <col min="13581" max="13824" width="9.125" style="169"/>
    <col min="13825" max="13825" width="6.375" style="169" customWidth="1"/>
    <col min="13826" max="13826" width="37.25" style="169" customWidth="1"/>
    <col min="13827" max="13836" width="8.125" style="169" customWidth="1"/>
    <col min="13837" max="14080" width="9.125" style="169"/>
    <col min="14081" max="14081" width="6.375" style="169" customWidth="1"/>
    <col min="14082" max="14082" width="37.25" style="169" customWidth="1"/>
    <col min="14083" max="14092" width="8.125" style="169" customWidth="1"/>
    <col min="14093" max="14336" width="9.125" style="169"/>
    <col min="14337" max="14337" width="6.375" style="169" customWidth="1"/>
    <col min="14338" max="14338" width="37.25" style="169" customWidth="1"/>
    <col min="14339" max="14348" width="8.125" style="169" customWidth="1"/>
    <col min="14349" max="14592" width="9.125" style="169"/>
    <col min="14593" max="14593" width="6.375" style="169" customWidth="1"/>
    <col min="14594" max="14594" width="37.25" style="169" customWidth="1"/>
    <col min="14595" max="14604" width="8.125" style="169" customWidth="1"/>
    <col min="14605" max="14848" width="9.125" style="169"/>
    <col min="14849" max="14849" width="6.375" style="169" customWidth="1"/>
    <col min="14850" max="14850" width="37.25" style="169" customWidth="1"/>
    <col min="14851" max="14860" width="8.125" style="169" customWidth="1"/>
    <col min="14861" max="15104" width="9.125" style="169"/>
    <col min="15105" max="15105" width="6.375" style="169" customWidth="1"/>
    <col min="15106" max="15106" width="37.25" style="169" customWidth="1"/>
    <col min="15107" max="15116" width="8.125" style="169" customWidth="1"/>
    <col min="15117" max="15360" width="9.125" style="169"/>
    <col min="15361" max="15361" width="6.375" style="169" customWidth="1"/>
    <col min="15362" max="15362" width="37.25" style="169" customWidth="1"/>
    <col min="15363" max="15372" width="8.125" style="169" customWidth="1"/>
    <col min="15373" max="15616" width="9.125" style="169"/>
    <col min="15617" max="15617" width="6.375" style="169" customWidth="1"/>
    <col min="15618" max="15618" width="37.25" style="169" customWidth="1"/>
    <col min="15619" max="15628" width="8.125" style="169" customWidth="1"/>
    <col min="15629" max="15872" width="9.125" style="169"/>
    <col min="15873" max="15873" width="6.375" style="169" customWidth="1"/>
    <col min="15874" max="15874" width="37.25" style="169" customWidth="1"/>
    <col min="15875" max="15884" width="8.125" style="169" customWidth="1"/>
    <col min="15885" max="16128" width="9.125" style="169"/>
    <col min="16129" max="16129" width="6.375" style="169" customWidth="1"/>
    <col min="16130" max="16130" width="37.25" style="169" customWidth="1"/>
    <col min="16131" max="16140" width="8.125" style="169" customWidth="1"/>
    <col min="16141" max="16384" width="9.125" style="169"/>
  </cols>
  <sheetData>
    <row r="1" spans="1:26">
      <c r="A1" s="446" t="s">
        <v>205</v>
      </c>
      <c r="B1" s="446"/>
      <c r="C1" s="446"/>
      <c r="D1" s="446"/>
      <c r="E1" s="446"/>
      <c r="F1" s="446"/>
      <c r="G1" s="446"/>
      <c r="H1" s="446"/>
      <c r="I1" s="446"/>
      <c r="J1" s="446"/>
      <c r="K1" s="446"/>
      <c r="L1" s="446"/>
      <c r="M1" s="446"/>
      <c r="N1" s="446"/>
      <c r="O1" s="446"/>
      <c r="P1" s="446"/>
      <c r="Q1" s="446"/>
      <c r="R1" s="446"/>
      <c r="S1" s="446"/>
      <c r="T1" s="446"/>
      <c r="U1" s="446"/>
      <c r="V1" s="446"/>
      <c r="W1" s="446"/>
      <c r="X1" s="446"/>
      <c r="Y1" s="446"/>
    </row>
    <row r="2" spans="1:26">
      <c r="A2" s="446"/>
      <c r="B2" s="446"/>
      <c r="C2" s="446"/>
      <c r="D2" s="446"/>
      <c r="E2" s="446"/>
      <c r="F2" s="446"/>
      <c r="G2" s="446"/>
      <c r="H2" s="446"/>
      <c r="I2" s="446"/>
      <c r="J2" s="446"/>
      <c r="K2" s="446"/>
      <c r="L2" s="446"/>
      <c r="M2" s="446"/>
      <c r="N2" s="446"/>
      <c r="O2" s="446"/>
      <c r="P2" s="446"/>
      <c r="Q2" s="446"/>
      <c r="R2" s="446"/>
      <c r="S2" s="446"/>
      <c r="T2" s="446"/>
      <c r="U2" s="446"/>
      <c r="V2" s="446"/>
      <c r="W2" s="446"/>
      <c r="X2" s="446"/>
      <c r="Y2" s="446"/>
    </row>
    <row r="3" spans="1:26">
      <c r="A3" s="446"/>
      <c r="B3" s="446"/>
      <c r="C3" s="446"/>
      <c r="D3" s="446"/>
      <c r="E3" s="446"/>
      <c r="F3" s="446"/>
      <c r="G3" s="446"/>
      <c r="H3" s="446"/>
      <c r="I3" s="446"/>
      <c r="J3" s="446"/>
      <c r="K3" s="446"/>
      <c r="L3" s="446"/>
      <c r="M3" s="446"/>
      <c r="N3" s="446"/>
      <c r="O3" s="446"/>
      <c r="P3" s="446"/>
      <c r="Q3" s="446"/>
      <c r="R3" s="446"/>
      <c r="S3" s="446"/>
      <c r="T3" s="446"/>
      <c r="U3" s="446"/>
      <c r="V3" s="446"/>
      <c r="W3" s="446"/>
      <c r="X3" s="446"/>
      <c r="Y3" s="446"/>
    </row>
    <row r="4" spans="1:26">
      <c r="A4" s="446"/>
      <c r="B4" s="446"/>
      <c r="C4" s="446"/>
      <c r="D4" s="446"/>
      <c r="E4" s="446"/>
      <c r="F4" s="446"/>
      <c r="G4" s="446"/>
      <c r="H4" s="446"/>
      <c r="I4" s="446"/>
      <c r="J4" s="446"/>
      <c r="K4" s="446"/>
      <c r="L4" s="446"/>
      <c r="M4" s="446"/>
      <c r="N4" s="446"/>
      <c r="O4" s="446"/>
      <c r="P4" s="446"/>
      <c r="Q4" s="446"/>
      <c r="R4" s="446"/>
      <c r="S4" s="446"/>
      <c r="T4" s="446"/>
      <c r="U4" s="446"/>
      <c r="V4" s="446"/>
      <c r="W4" s="446"/>
      <c r="X4" s="446"/>
      <c r="Y4" s="446"/>
    </row>
    <row r="5" spans="1:26">
      <c r="A5" s="79"/>
      <c r="B5" s="79"/>
      <c r="C5" s="79"/>
      <c r="D5" s="79"/>
      <c r="E5" s="79"/>
      <c r="F5" s="79"/>
      <c r="G5" s="79"/>
      <c r="H5" s="79"/>
      <c r="I5" s="79"/>
      <c r="J5" s="79"/>
      <c r="K5" s="79"/>
      <c r="L5" s="79"/>
      <c r="M5" s="79"/>
      <c r="N5" s="79"/>
      <c r="O5" s="79"/>
      <c r="P5" s="79"/>
      <c r="Q5" s="79"/>
      <c r="R5" s="79"/>
      <c r="S5" s="79"/>
      <c r="T5" s="79"/>
      <c r="U5" s="79"/>
      <c r="V5" s="79"/>
      <c r="W5" s="79"/>
      <c r="X5" s="79"/>
      <c r="Y5" s="79"/>
      <c r="Z5" s="79"/>
    </row>
    <row r="6" spans="1:26" ht="21.75" customHeight="1">
      <c r="A6" s="263" t="s">
        <v>217</v>
      </c>
      <c r="B6" s="262"/>
      <c r="C6" s="262"/>
      <c r="D6" s="262"/>
      <c r="E6" s="262"/>
      <c r="F6" s="262"/>
      <c r="G6" s="262"/>
      <c r="H6" s="262"/>
      <c r="I6" s="262"/>
      <c r="J6" s="262"/>
      <c r="K6" s="262"/>
      <c r="L6" s="262"/>
      <c r="M6" s="262"/>
      <c r="N6" s="262"/>
      <c r="O6" s="262"/>
      <c r="P6" s="262"/>
      <c r="Q6" s="262"/>
      <c r="R6" s="262"/>
      <c r="S6" s="262"/>
      <c r="T6" s="262"/>
      <c r="U6" s="262"/>
      <c r="V6" s="262"/>
      <c r="W6" s="79"/>
      <c r="X6" s="79"/>
      <c r="Y6" s="79"/>
      <c r="Z6" s="79"/>
    </row>
    <row r="7" spans="1:26">
      <c r="A7" s="79"/>
      <c r="B7" s="79"/>
      <c r="C7" s="79"/>
      <c r="D7" s="79"/>
      <c r="E7" s="79"/>
      <c r="F7" s="79"/>
      <c r="G7" s="79"/>
      <c r="H7" s="79"/>
      <c r="I7" s="79"/>
      <c r="J7" s="79"/>
      <c r="K7" s="79"/>
      <c r="L7" s="79"/>
      <c r="M7" s="79"/>
      <c r="N7" s="79"/>
      <c r="O7" s="79"/>
      <c r="P7" s="79"/>
      <c r="Q7" s="79"/>
      <c r="R7" s="79"/>
      <c r="S7" s="79"/>
      <c r="T7" s="79"/>
      <c r="U7" s="79"/>
      <c r="V7" s="79"/>
      <c r="W7" s="79"/>
      <c r="X7" s="79"/>
      <c r="Y7" s="79"/>
      <c r="Z7" s="79"/>
    </row>
    <row r="8" spans="1:26">
      <c r="A8" s="79"/>
      <c r="B8" s="79"/>
      <c r="C8" s="79"/>
      <c r="D8" s="79"/>
      <c r="E8" s="79"/>
      <c r="F8" s="79"/>
      <c r="G8" s="79"/>
      <c r="H8" s="79"/>
      <c r="I8" s="79"/>
      <c r="J8" s="79"/>
      <c r="K8" s="79"/>
      <c r="L8" s="79"/>
      <c r="M8" s="79"/>
      <c r="N8" s="79"/>
      <c r="O8" s="79"/>
      <c r="P8" s="79"/>
      <c r="Q8" s="79"/>
      <c r="R8" s="79"/>
      <c r="S8" s="79"/>
      <c r="T8" s="79"/>
      <c r="U8" s="79"/>
      <c r="V8" s="79"/>
      <c r="W8" s="79"/>
      <c r="X8" s="79"/>
      <c r="Y8" s="79"/>
      <c r="Z8" s="79"/>
    </row>
    <row r="9" spans="1:26">
      <c r="A9" s="79"/>
      <c r="B9" s="79"/>
      <c r="C9" s="79"/>
      <c r="D9" s="79"/>
      <c r="E9" s="79"/>
      <c r="F9" s="79"/>
      <c r="G9" s="79"/>
      <c r="H9" s="79"/>
      <c r="I9" s="79"/>
      <c r="J9" s="79"/>
      <c r="K9" s="79"/>
      <c r="L9" s="79"/>
      <c r="M9" s="79"/>
      <c r="N9" s="79"/>
      <c r="O9" s="79"/>
      <c r="P9" s="79"/>
      <c r="Q9" s="79"/>
      <c r="R9" s="79"/>
      <c r="S9" s="79"/>
      <c r="T9" s="79"/>
      <c r="U9" s="79"/>
      <c r="V9" s="79"/>
      <c r="W9" s="79"/>
      <c r="X9" s="79"/>
      <c r="Y9" s="79"/>
      <c r="Z9" s="79"/>
    </row>
    <row r="10" spans="1:26">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row>
    <row r="11" spans="1:26">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row>
    <row r="12" spans="1:26">
      <c r="A12" s="79"/>
      <c r="B12" s="79"/>
      <c r="C12" s="79"/>
      <c r="D12" s="79"/>
      <c r="E12" s="79"/>
      <c r="F12" s="79"/>
      <c r="G12" s="79"/>
      <c r="H12" s="79"/>
      <c r="I12" s="79"/>
      <c r="J12" s="79"/>
      <c r="K12" s="79"/>
      <c r="L12" s="79"/>
      <c r="M12" s="79"/>
      <c r="N12" s="79"/>
      <c r="O12" s="79"/>
      <c r="P12" s="79"/>
      <c r="Q12" s="79"/>
      <c r="R12" s="79"/>
      <c r="S12" s="79"/>
      <c r="T12" s="79"/>
      <c r="U12" s="79"/>
      <c r="V12" s="79"/>
      <c r="W12" s="79"/>
      <c r="X12" s="79"/>
      <c r="Y12" s="79"/>
      <c r="Z12" s="79"/>
    </row>
    <row r="13" spans="1:26">
      <c r="A13" s="79"/>
      <c r="B13" s="79"/>
      <c r="C13" s="79"/>
      <c r="D13" s="79"/>
      <c r="E13" s="79"/>
      <c r="F13" s="79"/>
      <c r="G13" s="79"/>
      <c r="H13" s="79"/>
      <c r="I13" s="79"/>
      <c r="J13" s="79"/>
      <c r="K13" s="79"/>
      <c r="L13" s="79"/>
      <c r="M13" s="79"/>
      <c r="N13" s="79"/>
      <c r="O13" s="79"/>
      <c r="P13" s="79"/>
      <c r="Q13" s="79"/>
      <c r="R13" s="79"/>
      <c r="S13" s="79"/>
      <c r="T13" s="79"/>
      <c r="U13" s="79"/>
      <c r="V13" s="79"/>
      <c r="W13" s="79"/>
      <c r="X13" s="79"/>
      <c r="Y13" s="79"/>
      <c r="Z13" s="79"/>
    </row>
    <row r="14" spans="1:26">
      <c r="A14" s="79"/>
      <c r="B14" s="79"/>
      <c r="C14" s="79"/>
      <c r="D14" s="79"/>
      <c r="E14" s="79"/>
      <c r="F14" s="79"/>
      <c r="G14" s="79"/>
      <c r="H14" s="79"/>
      <c r="I14" s="79"/>
      <c r="J14" s="79"/>
      <c r="K14" s="79"/>
      <c r="L14" s="79"/>
      <c r="M14" s="79"/>
      <c r="N14" s="79"/>
      <c r="O14" s="79"/>
      <c r="P14" s="79"/>
      <c r="Q14" s="79"/>
      <c r="R14" s="79"/>
      <c r="S14" s="79"/>
      <c r="T14" s="79"/>
      <c r="U14" s="79"/>
      <c r="V14" s="79"/>
      <c r="W14" s="79"/>
      <c r="X14" s="79"/>
      <c r="Y14" s="79"/>
      <c r="Z14" s="79"/>
    </row>
    <row r="15" spans="1:26">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row>
    <row r="16" spans="1:26">
      <c r="A16" s="79"/>
      <c r="B16" s="79"/>
      <c r="C16" s="79"/>
      <c r="D16" s="79"/>
      <c r="E16" s="79"/>
      <c r="F16" s="79"/>
      <c r="G16" s="79"/>
      <c r="H16" s="79"/>
      <c r="I16" s="79"/>
      <c r="J16" s="79"/>
      <c r="K16" s="79"/>
      <c r="L16" s="79"/>
      <c r="M16" s="79"/>
      <c r="N16" s="79"/>
      <c r="O16" s="79"/>
      <c r="P16" s="79"/>
      <c r="Q16" s="79"/>
      <c r="R16" s="79"/>
      <c r="S16" s="79"/>
      <c r="T16" s="79"/>
      <c r="U16" s="79"/>
      <c r="V16" s="79"/>
      <c r="W16" s="79"/>
      <c r="X16" s="79"/>
      <c r="Y16" s="79"/>
      <c r="Z16" s="79"/>
    </row>
    <row r="17" spans="1:26">
      <c r="A17" s="79"/>
      <c r="B17" s="79"/>
      <c r="C17" s="79"/>
      <c r="D17" s="79"/>
      <c r="E17" s="79"/>
      <c r="F17" s="79"/>
      <c r="G17" s="79"/>
      <c r="H17" s="79"/>
      <c r="I17" s="79"/>
      <c r="J17" s="79"/>
      <c r="K17" s="79"/>
      <c r="L17" s="79"/>
      <c r="M17" s="79"/>
      <c r="N17" s="79"/>
      <c r="O17" s="79"/>
      <c r="P17" s="79"/>
      <c r="Q17" s="79"/>
      <c r="R17" s="79"/>
      <c r="S17" s="79"/>
      <c r="T17" s="79"/>
      <c r="U17" s="79"/>
      <c r="V17" s="79"/>
      <c r="W17" s="79"/>
      <c r="X17" s="79"/>
      <c r="Y17" s="79"/>
      <c r="Z17" s="79"/>
    </row>
    <row r="18" spans="1:26">
      <c r="A18" s="79"/>
      <c r="B18" s="79"/>
      <c r="C18" s="79"/>
      <c r="D18" s="79"/>
      <c r="E18" s="79"/>
      <c r="F18" s="79"/>
      <c r="G18" s="79"/>
      <c r="H18" s="79"/>
      <c r="I18" s="79"/>
      <c r="J18" s="79"/>
      <c r="K18" s="79"/>
      <c r="L18" s="79"/>
      <c r="M18" s="79"/>
      <c r="N18" s="79"/>
      <c r="O18" s="79"/>
      <c r="P18" s="79"/>
      <c r="Q18" s="79"/>
      <c r="R18" s="79"/>
      <c r="S18" s="79"/>
      <c r="T18" s="79"/>
      <c r="U18" s="79"/>
      <c r="V18" s="79"/>
      <c r="W18" s="79"/>
      <c r="X18" s="79"/>
      <c r="Y18" s="79"/>
      <c r="Z18" s="79"/>
    </row>
    <row r="19" spans="1:26">
      <c r="A19" s="79"/>
      <c r="B19" s="79"/>
      <c r="C19" s="79"/>
      <c r="D19" s="79"/>
      <c r="E19" s="79"/>
      <c r="F19" s="79"/>
      <c r="G19" s="79"/>
      <c r="H19" s="79"/>
      <c r="I19" s="79"/>
      <c r="J19" s="79"/>
      <c r="K19" s="79"/>
      <c r="L19" s="79"/>
      <c r="M19" s="79"/>
      <c r="N19" s="79"/>
      <c r="O19" s="79"/>
      <c r="P19" s="79"/>
      <c r="Q19" s="79"/>
      <c r="R19" s="79"/>
      <c r="S19" s="79"/>
      <c r="T19" s="79"/>
      <c r="U19" s="79"/>
      <c r="V19" s="79"/>
      <c r="W19" s="79"/>
      <c r="X19" s="79"/>
      <c r="Y19" s="79"/>
      <c r="Z19" s="79"/>
    </row>
    <row r="20" spans="1:26">
      <c r="A20" s="79"/>
      <c r="B20" s="79"/>
      <c r="C20" s="79"/>
      <c r="D20" s="79"/>
      <c r="E20" s="79"/>
      <c r="F20" s="79"/>
      <c r="G20" s="79"/>
      <c r="H20" s="87"/>
      <c r="I20" s="87"/>
      <c r="J20" s="79"/>
      <c r="K20" s="79"/>
      <c r="L20" s="79"/>
      <c r="M20" s="79"/>
      <c r="N20" s="79"/>
      <c r="O20" s="79"/>
      <c r="P20" s="79"/>
      <c r="Q20" s="79"/>
      <c r="R20" s="79"/>
      <c r="S20" s="79"/>
      <c r="T20" s="79"/>
      <c r="U20" s="79"/>
      <c r="V20" s="79"/>
      <c r="W20" s="79"/>
      <c r="X20" s="79"/>
      <c r="Y20" s="79"/>
      <c r="Z20" s="79"/>
    </row>
    <row r="21" spans="1:26">
      <c r="A21" s="79"/>
      <c r="B21" s="79"/>
      <c r="C21" s="79"/>
      <c r="D21" s="79"/>
      <c r="E21" s="79"/>
      <c r="F21" s="79"/>
      <c r="G21" s="79"/>
      <c r="H21" s="79"/>
      <c r="I21" s="79"/>
      <c r="J21" s="79"/>
      <c r="K21" s="79"/>
      <c r="L21" s="79"/>
      <c r="M21" s="79"/>
      <c r="N21" s="79"/>
      <c r="O21" s="79"/>
      <c r="P21" s="79"/>
      <c r="Q21" s="79"/>
      <c r="R21" s="79"/>
      <c r="S21" s="79"/>
      <c r="T21" s="79"/>
      <c r="U21" s="79"/>
      <c r="V21" s="79"/>
      <c r="W21" s="79"/>
      <c r="X21" s="79"/>
      <c r="Y21" s="79"/>
      <c r="Z21" s="79"/>
    </row>
    <row r="22" spans="1:26">
      <c r="A22" s="79"/>
      <c r="B22" s="79"/>
      <c r="C22" s="79"/>
      <c r="D22" s="79"/>
      <c r="E22" s="79"/>
      <c r="F22" s="79"/>
      <c r="G22" s="79"/>
      <c r="H22" s="79"/>
      <c r="I22" s="79"/>
      <c r="J22" s="79"/>
      <c r="K22" s="79"/>
      <c r="L22" s="79"/>
      <c r="M22" s="79"/>
      <c r="N22" s="79"/>
      <c r="O22" s="79"/>
      <c r="P22" s="79"/>
      <c r="Q22" s="79"/>
      <c r="R22" s="79"/>
      <c r="S22" s="79"/>
      <c r="T22" s="79"/>
      <c r="U22" s="79"/>
      <c r="V22" s="79"/>
      <c r="W22" s="79"/>
      <c r="X22" s="79"/>
      <c r="Y22" s="79"/>
      <c r="Z22" s="79"/>
    </row>
    <row r="23" spans="1:26">
      <c r="A23" s="79"/>
      <c r="B23" s="79"/>
      <c r="C23" s="79"/>
      <c r="D23" s="79"/>
      <c r="E23" s="79"/>
      <c r="F23" s="79"/>
      <c r="G23" s="79"/>
      <c r="H23" s="79"/>
      <c r="I23" s="79"/>
      <c r="J23" s="79"/>
      <c r="K23" s="79"/>
      <c r="L23" s="79"/>
      <c r="M23" s="79"/>
      <c r="N23" s="79"/>
      <c r="O23" s="79"/>
      <c r="P23" s="79"/>
      <c r="Q23" s="79"/>
      <c r="R23" s="79"/>
      <c r="S23" s="79"/>
      <c r="T23" s="79"/>
      <c r="U23" s="79"/>
      <c r="V23" s="79"/>
      <c r="W23" s="79"/>
      <c r="X23" s="79"/>
      <c r="Y23" s="79"/>
      <c r="Z23" s="79"/>
    </row>
    <row r="24" spans="1:26">
      <c r="A24" s="79"/>
      <c r="B24" s="79"/>
      <c r="C24" s="79"/>
      <c r="D24" s="79"/>
      <c r="E24" s="79"/>
      <c r="F24" s="79"/>
      <c r="G24" s="79"/>
      <c r="H24" s="79"/>
      <c r="I24" s="79"/>
      <c r="J24" s="79"/>
      <c r="K24" s="79"/>
      <c r="L24" s="79"/>
      <c r="M24" s="79"/>
      <c r="N24" s="79"/>
      <c r="O24" s="79"/>
      <c r="P24" s="79"/>
      <c r="Q24" s="79"/>
      <c r="R24" s="79"/>
      <c r="S24" s="79"/>
      <c r="T24" s="79"/>
      <c r="U24" s="79"/>
      <c r="V24" s="79"/>
      <c r="W24" s="79"/>
      <c r="X24" s="79"/>
      <c r="Y24" s="79"/>
      <c r="Z24" s="79"/>
    </row>
    <row r="25" spans="1:26">
      <c r="A25" s="79"/>
      <c r="B25" s="79"/>
      <c r="C25" s="79"/>
      <c r="D25" s="79"/>
      <c r="E25" s="79"/>
      <c r="F25" s="79"/>
      <c r="G25" s="79"/>
      <c r="H25" s="79"/>
      <c r="I25" s="79"/>
      <c r="J25" s="79"/>
      <c r="K25" s="79"/>
      <c r="L25" s="79"/>
      <c r="M25" s="79"/>
      <c r="N25" s="79"/>
      <c r="O25" s="79"/>
      <c r="P25" s="79"/>
      <c r="Q25" s="79"/>
      <c r="R25" s="79"/>
      <c r="S25" s="79"/>
      <c r="T25" s="79"/>
      <c r="U25" s="79"/>
      <c r="V25" s="79"/>
      <c r="W25" s="79"/>
      <c r="X25" s="79"/>
      <c r="Y25" s="79"/>
      <c r="Z25" s="79"/>
    </row>
    <row r="26" spans="1:26">
      <c r="A26" s="79"/>
      <c r="B26" s="79"/>
      <c r="C26" s="79"/>
      <c r="D26" s="79"/>
      <c r="E26" s="79"/>
      <c r="F26" s="79"/>
      <c r="G26" s="79"/>
      <c r="H26" s="79"/>
      <c r="I26" s="79"/>
      <c r="J26" s="79"/>
      <c r="K26" s="79"/>
      <c r="L26" s="79"/>
      <c r="M26" s="79"/>
      <c r="N26" s="79"/>
      <c r="O26" s="79"/>
      <c r="P26" s="79"/>
      <c r="Q26" s="79"/>
      <c r="R26" s="79"/>
      <c r="S26" s="79"/>
      <c r="T26" s="79"/>
      <c r="U26" s="79"/>
      <c r="V26" s="79"/>
      <c r="W26" s="79"/>
      <c r="X26" s="79"/>
      <c r="Y26" s="79"/>
      <c r="Z26" s="79"/>
    </row>
    <row r="27" spans="1:26">
      <c r="A27" s="79"/>
      <c r="B27" s="79"/>
      <c r="C27" s="79"/>
      <c r="D27" s="79"/>
      <c r="E27" s="79"/>
      <c r="F27" s="79"/>
      <c r="G27" s="79"/>
      <c r="H27" s="79"/>
      <c r="I27" s="79"/>
      <c r="J27" s="79"/>
      <c r="K27" s="79"/>
      <c r="L27" s="79"/>
      <c r="M27" s="79"/>
      <c r="N27" s="79"/>
      <c r="O27" s="79"/>
      <c r="P27" s="79"/>
      <c r="Q27" s="79"/>
      <c r="R27" s="79"/>
      <c r="S27" s="79"/>
      <c r="T27" s="79"/>
      <c r="U27" s="79"/>
      <c r="V27" s="79"/>
      <c r="W27" s="79"/>
      <c r="X27" s="79"/>
      <c r="Y27" s="79"/>
      <c r="Z27" s="79"/>
    </row>
    <row r="28" spans="1:26" ht="15.75" hidden="1" outlineLevel="1" thickBot="1">
      <c r="A28" s="79"/>
      <c r="B28" s="79"/>
      <c r="C28" s="79"/>
      <c r="D28" s="79"/>
      <c r="E28" s="79"/>
      <c r="F28" s="79"/>
      <c r="G28" s="79"/>
      <c r="H28" s="79"/>
      <c r="I28" s="79"/>
      <c r="J28" s="79"/>
      <c r="K28" s="79"/>
      <c r="L28" s="79"/>
      <c r="M28" s="79"/>
      <c r="N28" s="79"/>
      <c r="O28" s="79"/>
      <c r="P28" s="79"/>
      <c r="Q28" s="79"/>
      <c r="R28" s="79"/>
      <c r="S28" s="79"/>
      <c r="T28" s="79"/>
      <c r="U28" s="79"/>
      <c r="V28" s="79"/>
      <c r="W28" s="79"/>
      <c r="X28" s="79"/>
      <c r="Y28" s="79"/>
      <c r="Z28" s="79"/>
    </row>
    <row r="29" spans="1:26" ht="15.75" hidden="1" outlineLevel="1" thickBot="1">
      <c r="A29" s="79"/>
      <c r="B29" s="215"/>
      <c r="C29" s="227" t="s">
        <v>168</v>
      </c>
      <c r="D29" s="227">
        <v>42738</v>
      </c>
      <c r="E29" s="227">
        <v>42739</v>
      </c>
      <c r="F29" s="227">
        <v>42740</v>
      </c>
      <c r="G29" s="227">
        <v>42741</v>
      </c>
      <c r="H29" s="227">
        <v>42742</v>
      </c>
      <c r="I29" s="227">
        <v>42743</v>
      </c>
      <c r="J29" s="227">
        <v>42744</v>
      </c>
      <c r="K29" s="227">
        <v>42745</v>
      </c>
      <c r="L29" s="227">
        <v>42746</v>
      </c>
      <c r="M29" s="227">
        <v>42747</v>
      </c>
      <c r="N29" s="227">
        <v>42748</v>
      </c>
      <c r="O29" s="227">
        <v>42749</v>
      </c>
      <c r="P29" s="227">
        <v>42750</v>
      </c>
      <c r="Q29" s="227">
        <v>42751</v>
      </c>
      <c r="R29" s="227">
        <v>42752</v>
      </c>
      <c r="S29" s="227">
        <v>42753</v>
      </c>
      <c r="T29" s="227">
        <v>42754</v>
      </c>
      <c r="U29" s="79"/>
      <c r="V29" s="79"/>
      <c r="W29" s="79"/>
      <c r="X29" s="79"/>
      <c r="Y29" s="79"/>
      <c r="Z29" s="79"/>
    </row>
    <row r="30" spans="1:26" hidden="1" outlineLevel="1">
      <c r="A30" s="79"/>
      <c r="B30" s="216" t="s">
        <v>158</v>
      </c>
      <c r="C30" s="170"/>
      <c r="D30" s="217">
        <v>4</v>
      </c>
      <c r="E30" s="217">
        <v>5</v>
      </c>
      <c r="F30" s="217">
        <v>6</v>
      </c>
      <c r="G30" s="217"/>
      <c r="H30" s="217"/>
      <c r="I30" s="245"/>
      <c r="J30" s="245"/>
      <c r="K30" s="217"/>
      <c r="L30" s="217"/>
      <c r="M30" s="217"/>
      <c r="N30" s="217"/>
      <c r="O30" s="217"/>
      <c r="P30" s="259"/>
      <c r="Q30" s="259"/>
      <c r="R30" s="217"/>
      <c r="S30" s="217"/>
      <c r="T30" s="217"/>
      <c r="U30" s="79"/>
      <c r="V30" s="79"/>
      <c r="W30" s="79"/>
      <c r="X30" s="79"/>
      <c r="Y30" s="79"/>
      <c r="Z30" s="79"/>
    </row>
    <row r="31" spans="1:26" hidden="1" outlineLevel="1">
      <c r="A31" s="79"/>
      <c r="B31" s="218" t="s">
        <v>169</v>
      </c>
      <c r="C31" s="171"/>
      <c r="D31" s="219">
        <v>0</v>
      </c>
      <c r="E31" s="219">
        <v>0</v>
      </c>
      <c r="F31" s="219">
        <v>0</v>
      </c>
      <c r="G31" s="219"/>
      <c r="H31" s="219"/>
      <c r="I31" s="246"/>
      <c r="J31" s="246"/>
      <c r="K31" s="219"/>
      <c r="L31" s="219"/>
      <c r="M31" s="219"/>
      <c r="N31" s="219"/>
      <c r="O31" s="219"/>
      <c r="P31" s="254"/>
      <c r="Q31" s="254"/>
      <c r="R31" s="219"/>
      <c r="S31" s="219"/>
      <c r="T31" s="219"/>
      <c r="U31" s="79"/>
      <c r="V31" s="79"/>
      <c r="W31" s="79"/>
      <c r="X31" s="79"/>
      <c r="Y31" s="79"/>
      <c r="Z31" s="79"/>
    </row>
    <row r="32" spans="1:26" hidden="1" outlineLevel="1">
      <c r="A32" s="79"/>
      <c r="B32" s="250" t="s">
        <v>149</v>
      </c>
      <c r="C32" s="253"/>
      <c r="D32" s="251">
        <v>1</v>
      </c>
      <c r="E32" s="251">
        <v>1</v>
      </c>
      <c r="F32" s="251">
        <v>1</v>
      </c>
      <c r="G32" s="251"/>
      <c r="H32" s="251"/>
      <c r="I32" s="246"/>
      <c r="J32" s="246"/>
      <c r="K32" s="219"/>
      <c r="L32" s="219"/>
      <c r="M32" s="219"/>
      <c r="N32" s="219"/>
      <c r="O32" s="219"/>
      <c r="P32" s="254"/>
      <c r="Q32" s="254"/>
      <c r="R32" s="219"/>
      <c r="S32" s="219"/>
      <c r="T32" s="219"/>
      <c r="U32" s="79"/>
      <c r="V32" s="79"/>
      <c r="W32" s="79"/>
      <c r="X32" s="79"/>
      <c r="Y32" s="79"/>
      <c r="Z32" s="79"/>
    </row>
    <row r="33" spans="1:26" hidden="1" outlineLevel="1">
      <c r="A33" s="79"/>
      <c r="B33" s="250" t="s">
        <v>123</v>
      </c>
      <c r="C33" s="253"/>
      <c r="D33" s="251">
        <v>1</v>
      </c>
      <c r="E33" s="251">
        <v>1</v>
      </c>
      <c r="F33" s="251">
        <v>1</v>
      </c>
      <c r="G33" s="251"/>
      <c r="H33" s="251"/>
      <c r="I33" s="255"/>
      <c r="J33" s="255"/>
      <c r="K33" s="251"/>
      <c r="L33" s="251"/>
      <c r="M33" s="251"/>
      <c r="N33" s="251"/>
      <c r="O33" s="251"/>
      <c r="P33" s="252"/>
      <c r="Q33" s="252"/>
      <c r="R33" s="251"/>
      <c r="S33" s="251"/>
      <c r="T33" s="251"/>
      <c r="U33" s="79"/>
      <c r="V33" s="79"/>
      <c r="W33" s="79"/>
      <c r="X33" s="79"/>
      <c r="Y33" s="79"/>
      <c r="Z33" s="79"/>
    </row>
    <row r="34" spans="1:26" ht="15.75" hidden="1" outlineLevel="1" thickBot="1">
      <c r="A34" s="79"/>
      <c r="B34" s="218" t="s">
        <v>146</v>
      </c>
      <c r="C34" s="171"/>
      <c r="D34" s="219">
        <v>2</v>
      </c>
      <c r="E34" s="219">
        <v>1</v>
      </c>
      <c r="F34" s="219">
        <v>0</v>
      </c>
      <c r="G34" s="219"/>
      <c r="H34" s="219"/>
      <c r="I34" s="254"/>
      <c r="J34" s="254"/>
      <c r="K34" s="219"/>
      <c r="L34" s="219"/>
      <c r="M34" s="219"/>
      <c r="N34" s="219"/>
      <c r="O34" s="219"/>
      <c r="P34" s="254"/>
      <c r="Q34" s="254"/>
      <c r="R34" s="219"/>
      <c r="S34" s="219"/>
      <c r="T34" s="219"/>
      <c r="U34" s="79"/>
      <c r="V34" s="79"/>
      <c r="W34" s="79"/>
      <c r="X34" s="79"/>
      <c r="Y34" s="79"/>
      <c r="Z34" s="79"/>
    </row>
    <row r="35" spans="1:26" hidden="1" outlineLevel="1">
      <c r="A35" s="79"/>
      <c r="B35" s="220" t="s">
        <v>296</v>
      </c>
      <c r="C35" s="172"/>
      <c r="D35" s="221">
        <f>D39-(D30+D32+D33)</f>
        <v>2</v>
      </c>
      <c r="E35" s="221">
        <f t="shared" ref="E35:F35" si="0">E39-(E30+E32+E33)</f>
        <v>1</v>
      </c>
      <c r="F35" s="221">
        <f t="shared" si="0"/>
        <v>0</v>
      </c>
      <c r="G35" s="221">
        <v>0</v>
      </c>
      <c r="H35" s="221">
        <v>0</v>
      </c>
      <c r="I35" s="256">
        <v>0</v>
      </c>
      <c r="J35" s="256">
        <v>0</v>
      </c>
      <c r="K35" s="221"/>
      <c r="L35" s="221"/>
      <c r="M35" s="221"/>
      <c r="N35" s="221"/>
      <c r="O35" s="221"/>
      <c r="P35" s="256"/>
      <c r="Q35" s="256"/>
      <c r="R35" s="221"/>
      <c r="S35" s="221"/>
      <c r="T35" s="221"/>
      <c r="U35" s="79"/>
      <c r="V35" s="79"/>
      <c r="W35" s="79"/>
      <c r="X35" s="79"/>
      <c r="Y35" s="79"/>
      <c r="Z35" s="79"/>
    </row>
    <row r="36" spans="1:26" ht="15.75" hidden="1" outlineLevel="1" thickBot="1">
      <c r="A36" s="79"/>
      <c r="B36" s="222" t="s">
        <v>216</v>
      </c>
      <c r="C36" s="249">
        <v>2</v>
      </c>
      <c r="D36" s="331">
        <v>8</v>
      </c>
      <c r="E36" s="331">
        <v>6</v>
      </c>
      <c r="F36" s="331">
        <v>4</v>
      </c>
      <c r="G36" s="331">
        <v>2</v>
      </c>
      <c r="H36" s="331">
        <v>0</v>
      </c>
      <c r="I36" s="247">
        <v>0</v>
      </c>
      <c r="J36" s="247">
        <v>0</v>
      </c>
      <c r="K36" s="331"/>
      <c r="L36" s="331"/>
      <c r="M36" s="331"/>
      <c r="N36" s="331"/>
      <c r="O36" s="331"/>
      <c r="P36" s="260"/>
      <c r="Q36" s="260"/>
      <c r="R36" s="331"/>
      <c r="S36" s="331"/>
      <c r="T36" s="331"/>
      <c r="U36" s="79"/>
      <c r="V36" s="79"/>
      <c r="W36" s="79"/>
      <c r="X36" s="79"/>
      <c r="Y36" s="79"/>
      <c r="Z36" s="79"/>
    </row>
    <row r="37" spans="1:26" hidden="1" outlineLevel="1">
      <c r="A37" s="79"/>
      <c r="B37" s="223" t="s">
        <v>166</v>
      </c>
      <c r="C37" s="173"/>
      <c r="D37" s="329">
        <f>(D30+D32+D33)/D39</f>
        <v>0.75</v>
      </c>
      <c r="E37" s="329">
        <f t="shared" ref="E37:H37" si="1">(E30+E32+E33)/E39</f>
        <v>0.875</v>
      </c>
      <c r="F37" s="329">
        <f t="shared" si="1"/>
        <v>1</v>
      </c>
      <c r="G37" s="329">
        <f t="shared" si="1"/>
        <v>0</v>
      </c>
      <c r="H37" s="329">
        <f t="shared" si="1"/>
        <v>0</v>
      </c>
      <c r="I37" s="257"/>
      <c r="J37" s="257"/>
      <c r="K37" s="329"/>
      <c r="L37" s="329"/>
      <c r="M37" s="329"/>
      <c r="N37" s="329"/>
      <c r="O37" s="329"/>
      <c r="P37" s="257"/>
      <c r="Q37" s="257"/>
      <c r="R37" s="329"/>
      <c r="S37" s="329"/>
      <c r="T37" s="329"/>
      <c r="U37" s="79"/>
      <c r="V37" s="79"/>
      <c r="W37" s="79"/>
      <c r="X37" s="79"/>
      <c r="Y37" s="79"/>
      <c r="Z37" s="79"/>
    </row>
    <row r="38" spans="1:26" hidden="1" outlineLevel="1">
      <c r="A38" s="79"/>
      <c r="B38" s="225" t="s">
        <v>221</v>
      </c>
      <c r="C38" s="174"/>
      <c r="D38" s="330">
        <f>(D39-D36)/D39</f>
        <v>0</v>
      </c>
      <c r="E38" s="330">
        <f t="shared" ref="E38:F38" si="2">(E39-E36)/E39</f>
        <v>0.25</v>
      </c>
      <c r="F38" s="330">
        <f t="shared" si="2"/>
        <v>0.5</v>
      </c>
      <c r="G38" s="330">
        <f t="shared" ref="G38" si="3">(G39-G36)/G39</f>
        <v>0.75</v>
      </c>
      <c r="H38" s="330">
        <f t="shared" ref="H38" si="4">(H39-H36)/H39</f>
        <v>1</v>
      </c>
      <c r="I38" s="258"/>
      <c r="J38" s="258"/>
      <c r="K38" s="330"/>
      <c r="L38" s="330"/>
      <c r="M38" s="330"/>
      <c r="N38" s="330"/>
      <c r="O38" s="330"/>
      <c r="P38" s="258"/>
      <c r="Q38" s="258"/>
      <c r="R38" s="330"/>
      <c r="S38" s="330"/>
      <c r="T38" s="330"/>
      <c r="U38" s="79"/>
      <c r="V38" s="79"/>
      <c r="W38" s="79"/>
      <c r="X38" s="79"/>
      <c r="Y38" s="79"/>
      <c r="Z38" s="79"/>
    </row>
    <row r="39" spans="1:26" ht="15.75" hidden="1" outlineLevel="1" thickBot="1">
      <c r="A39" s="79"/>
      <c r="B39" s="229" t="s">
        <v>167</v>
      </c>
      <c r="C39" s="228">
        <f>'Traceability  Matrix'!D5</f>
        <v>20</v>
      </c>
      <c r="D39" s="228">
        <v>8</v>
      </c>
      <c r="E39" s="228">
        <v>8</v>
      </c>
      <c r="F39" s="228">
        <v>8</v>
      </c>
      <c r="G39" s="228">
        <v>8</v>
      </c>
      <c r="H39" s="228">
        <v>8</v>
      </c>
      <c r="I39" s="264"/>
      <c r="J39" s="264"/>
      <c r="K39" s="228"/>
      <c r="L39" s="228"/>
      <c r="M39" s="228"/>
      <c r="N39" s="228"/>
      <c r="O39" s="228"/>
      <c r="P39" s="261"/>
      <c r="Q39" s="261"/>
      <c r="R39" s="228"/>
      <c r="S39" s="228"/>
      <c r="T39" s="228"/>
      <c r="U39" s="79"/>
      <c r="V39" s="79"/>
      <c r="W39" s="79"/>
      <c r="X39" s="79"/>
      <c r="Y39" s="79"/>
      <c r="Z39" s="79"/>
    </row>
    <row r="40" spans="1:26" hidden="1" outlineLevel="1">
      <c r="A40" s="79"/>
      <c r="B40" s="79"/>
      <c r="C40" s="79"/>
      <c r="D40" s="79"/>
      <c r="E40" s="79"/>
      <c r="F40" s="79"/>
      <c r="G40" s="79"/>
      <c r="H40" s="79"/>
      <c r="I40" s="79"/>
      <c r="J40" s="79"/>
      <c r="K40" s="79"/>
      <c r="L40" s="79"/>
      <c r="M40" s="79"/>
      <c r="N40" s="79"/>
      <c r="O40" s="79"/>
      <c r="P40" s="79"/>
      <c r="Q40" s="79"/>
      <c r="R40" s="79"/>
      <c r="S40" s="79"/>
      <c r="T40" s="79"/>
      <c r="U40" s="79"/>
      <c r="V40" s="79"/>
      <c r="W40" s="79"/>
      <c r="X40" s="79"/>
      <c r="Y40" s="79"/>
      <c r="Z40" s="79"/>
    </row>
    <row r="41" spans="1:26" ht="21.75" hidden="1" outlineLevel="1" thickBot="1">
      <c r="A41" s="79"/>
      <c r="B41" s="294" t="s">
        <v>243</v>
      </c>
      <c r="C41" s="295"/>
      <c r="D41" s="300">
        <f>COUNTIF('Traceability  Matrix'!K1:K1000,"TRUE")+COUNTIF('Traceability  Matrix'!K1:K1000,"FALSE")</f>
        <v>8</v>
      </c>
      <c r="E41" s="79"/>
      <c r="F41" s="79"/>
      <c r="G41" s="79"/>
      <c r="H41" s="79"/>
      <c r="I41" s="79"/>
      <c r="J41" s="79"/>
      <c r="K41" s="79"/>
      <c r="L41" s="79"/>
      <c r="M41" s="79"/>
      <c r="N41" s="79"/>
      <c r="O41" s="79"/>
      <c r="P41" s="79"/>
      <c r="Q41" s="79"/>
      <c r="R41" s="79"/>
      <c r="S41" s="79"/>
      <c r="T41" s="79"/>
      <c r="U41" s="79"/>
      <c r="V41" s="79"/>
      <c r="W41" s="79"/>
      <c r="X41" s="79"/>
      <c r="Y41" s="79"/>
      <c r="Z41" s="79"/>
    </row>
    <row r="42" spans="1:26" ht="21.75" hidden="1" outlineLevel="1" thickTop="1">
      <c r="A42" s="79"/>
      <c r="B42" s="296" t="s">
        <v>150</v>
      </c>
      <c r="C42" s="25"/>
      <c r="D42" s="301">
        <f>COUNTIF('Scripts and Execution'!F1:F1000,"Completed")</f>
        <v>6</v>
      </c>
      <c r="E42" s="79"/>
      <c r="F42" s="79"/>
      <c r="G42" s="79"/>
      <c r="H42" s="79"/>
      <c r="I42" s="79"/>
      <c r="J42" s="79"/>
      <c r="K42" s="79"/>
      <c r="L42" s="79"/>
      <c r="M42" s="79"/>
      <c r="N42" s="79"/>
      <c r="O42" s="79"/>
      <c r="P42" s="79"/>
      <c r="Q42" s="79"/>
      <c r="R42" s="79"/>
      <c r="S42" s="79"/>
      <c r="T42" s="79"/>
      <c r="U42" s="79"/>
      <c r="V42" s="79"/>
      <c r="W42" s="79"/>
      <c r="X42" s="79"/>
      <c r="Y42" s="79"/>
      <c r="Z42" s="79"/>
    </row>
    <row r="43" spans="1:26" ht="21" hidden="1" outlineLevel="1">
      <c r="A43" s="79"/>
      <c r="B43" s="297" t="s">
        <v>118</v>
      </c>
      <c r="C43" s="25"/>
      <c r="D43" s="301">
        <f>COUNTIF('Scripts and Execution'!F2:F1001,"Ongoing")</f>
        <v>0</v>
      </c>
      <c r="E43" s="79"/>
      <c r="F43" s="79"/>
      <c r="G43" s="79"/>
      <c r="H43" s="79"/>
      <c r="I43" s="79"/>
      <c r="J43" s="79"/>
      <c r="K43" s="79"/>
      <c r="L43" s="79"/>
      <c r="M43" s="79"/>
      <c r="N43" s="79"/>
      <c r="O43" s="79"/>
      <c r="P43" s="79"/>
      <c r="Q43" s="79"/>
      <c r="R43" s="79"/>
      <c r="S43" s="79"/>
      <c r="T43" s="79"/>
      <c r="U43" s="79"/>
      <c r="V43" s="79"/>
      <c r="W43" s="79"/>
      <c r="X43" s="79"/>
      <c r="Y43" s="79"/>
      <c r="Z43" s="79"/>
    </row>
    <row r="44" spans="1:26" ht="21" hidden="1" outlineLevel="1">
      <c r="A44" s="79"/>
      <c r="B44" s="297" t="s">
        <v>149</v>
      </c>
      <c r="C44" s="25"/>
      <c r="D44" s="301">
        <f>COUNTIF('Scripts and Execution'!F3:F1002,"Deferred")</f>
        <v>1</v>
      </c>
      <c r="E44" s="79"/>
      <c r="F44" s="79"/>
      <c r="G44" s="79"/>
      <c r="H44" s="79"/>
      <c r="I44" s="79"/>
      <c r="J44" s="79"/>
      <c r="K44" s="79"/>
      <c r="L44" s="79"/>
      <c r="M44" s="79"/>
      <c r="N44" s="79"/>
      <c r="O44" s="79"/>
      <c r="P44" s="79"/>
      <c r="Q44" s="79"/>
      <c r="R44" s="79"/>
      <c r="S44" s="79"/>
      <c r="T44" s="79"/>
      <c r="U44" s="79"/>
      <c r="V44" s="79"/>
      <c r="W44" s="79"/>
      <c r="X44" s="79"/>
      <c r="Y44" s="79"/>
      <c r="Z44" s="79"/>
    </row>
    <row r="45" spans="1:26" ht="21" hidden="1" outlineLevel="1">
      <c r="A45" s="79"/>
      <c r="B45" s="297" t="s">
        <v>123</v>
      </c>
      <c r="C45" s="25"/>
      <c r="D45" s="301">
        <f>COUNTIF('Scripts and Execution'!F4:F1003,"Out-of-scope")</f>
        <v>1</v>
      </c>
      <c r="E45" s="79"/>
      <c r="F45" s="79"/>
      <c r="G45" s="79"/>
      <c r="H45" s="79"/>
      <c r="I45" s="79"/>
      <c r="J45" s="79"/>
      <c r="K45" s="79"/>
      <c r="L45" s="79"/>
      <c r="M45" s="79"/>
      <c r="N45" s="79"/>
      <c r="O45" s="79"/>
      <c r="P45" s="79"/>
      <c r="Q45" s="79"/>
      <c r="R45" s="79"/>
      <c r="S45" s="79"/>
      <c r="T45" s="79"/>
      <c r="U45" s="79"/>
      <c r="V45" s="79"/>
      <c r="W45" s="79"/>
      <c r="X45" s="79"/>
      <c r="Y45" s="79"/>
      <c r="Z45" s="79"/>
    </row>
    <row r="46" spans="1:26" ht="21" hidden="1" outlineLevel="1">
      <c r="A46" s="79"/>
      <c r="B46" s="298" t="s">
        <v>146</v>
      </c>
      <c r="C46" s="299"/>
      <c r="D46" s="302">
        <f>COUNTIF('Scripts and Execution'!F5:F1004,"Not started")</f>
        <v>0</v>
      </c>
      <c r="E46" s="79"/>
      <c r="F46" s="79"/>
      <c r="G46" s="79"/>
      <c r="H46" s="79"/>
      <c r="I46" s="79"/>
      <c r="J46" s="79"/>
      <c r="K46" s="79"/>
      <c r="L46" s="79"/>
      <c r="M46" s="79"/>
      <c r="N46" s="79"/>
      <c r="O46" s="79"/>
      <c r="P46" s="79"/>
      <c r="Q46" s="79"/>
      <c r="R46" s="79"/>
      <c r="S46" s="79"/>
      <c r="T46" s="79"/>
      <c r="U46" s="79"/>
      <c r="V46" s="79"/>
      <c r="W46" s="79"/>
      <c r="X46" s="79"/>
      <c r="Y46" s="79"/>
      <c r="Z46" s="79"/>
    </row>
    <row r="47" spans="1:26" collapsed="1">
      <c r="A47" s="79"/>
      <c r="B47" s="79"/>
      <c r="C47" s="79"/>
      <c r="D47" s="79"/>
      <c r="E47" s="79"/>
      <c r="F47" s="79"/>
      <c r="G47" s="79"/>
      <c r="H47" s="79"/>
      <c r="I47" s="79"/>
      <c r="J47" s="79"/>
      <c r="K47" s="79"/>
      <c r="L47" s="79"/>
      <c r="M47" s="79"/>
      <c r="N47" s="79"/>
      <c r="O47" s="79"/>
      <c r="P47" s="79"/>
      <c r="Q47" s="79"/>
      <c r="R47" s="79"/>
      <c r="S47" s="79"/>
      <c r="T47" s="79"/>
      <c r="U47" s="79"/>
      <c r="V47" s="79"/>
      <c r="W47" s="79"/>
      <c r="X47" s="79"/>
      <c r="Y47" s="79"/>
      <c r="Z47" s="79"/>
    </row>
    <row r="48" spans="1:26">
      <c r="A48" s="79"/>
      <c r="B48" s="79"/>
      <c r="C48" s="79"/>
      <c r="D48" s="79"/>
      <c r="E48" s="79"/>
      <c r="F48" s="79"/>
      <c r="G48" s="79"/>
      <c r="H48" s="79"/>
      <c r="I48" s="79"/>
      <c r="J48" s="79"/>
      <c r="K48" s="79"/>
      <c r="L48" s="79"/>
      <c r="M48" s="79"/>
      <c r="N48" s="79"/>
      <c r="O48" s="79"/>
      <c r="P48" s="79"/>
      <c r="Q48" s="79"/>
      <c r="R48" s="79"/>
      <c r="S48" s="79"/>
      <c r="T48" s="79"/>
      <c r="U48" s="79"/>
      <c r="V48" s="79"/>
      <c r="W48" s="79"/>
      <c r="X48" s="79"/>
      <c r="Y48" s="79"/>
      <c r="Z48" s="79"/>
    </row>
    <row r="49" spans="1:26" ht="26.25">
      <c r="A49" s="263" t="s">
        <v>218</v>
      </c>
      <c r="B49" s="262"/>
      <c r="C49" s="262"/>
      <c r="D49" s="262"/>
      <c r="E49" s="262"/>
      <c r="F49" s="262"/>
      <c r="G49" s="262"/>
      <c r="H49" s="262"/>
      <c r="I49" s="262"/>
      <c r="J49" s="262"/>
      <c r="K49" s="262"/>
      <c r="L49" s="262"/>
      <c r="M49" s="262"/>
      <c r="N49" s="262"/>
      <c r="O49" s="262"/>
      <c r="P49" s="262"/>
      <c r="Q49" s="262"/>
      <c r="R49" s="262"/>
      <c r="S49" s="262"/>
      <c r="T49" s="262"/>
      <c r="U49" s="262"/>
      <c r="V49" s="262"/>
      <c r="W49" s="79"/>
      <c r="X49" s="79"/>
      <c r="Y49" s="79"/>
      <c r="Z49" s="79"/>
    </row>
    <row r="50" spans="1:26">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row>
    <row r="51" spans="1:26" ht="24" customHeight="1">
      <c r="A51" s="79"/>
      <c r="B51" s="286" t="s">
        <v>223</v>
      </c>
      <c r="C51" s="286"/>
      <c r="D51" s="286"/>
      <c r="E51" s="286"/>
      <c r="F51" s="286"/>
      <c r="G51" s="286"/>
      <c r="H51" s="286"/>
      <c r="I51" s="286"/>
      <c r="J51" s="286"/>
      <c r="K51" s="286"/>
      <c r="L51" s="286"/>
      <c r="M51" s="286"/>
      <c r="N51" s="286"/>
      <c r="O51" s="286"/>
      <c r="P51" s="286"/>
      <c r="Q51" s="286"/>
      <c r="R51" s="286"/>
      <c r="S51" s="286"/>
      <c r="T51" s="286"/>
      <c r="U51" s="286"/>
      <c r="V51" s="286"/>
      <c r="W51" s="79"/>
      <c r="X51" s="79"/>
      <c r="Y51" s="79"/>
      <c r="Z51" s="79"/>
    </row>
    <row r="52" spans="1:26">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row>
    <row r="53" spans="1:26">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row>
    <row r="54" spans="1:26">
      <c r="A54" s="79"/>
      <c r="B54" s="79"/>
      <c r="C54" s="79"/>
      <c r="D54" s="79"/>
      <c r="E54" s="79"/>
      <c r="F54" s="79"/>
      <c r="G54" s="79"/>
      <c r="H54" s="79"/>
      <c r="I54" s="79"/>
      <c r="J54" s="79"/>
      <c r="K54" s="79"/>
      <c r="L54" s="79"/>
      <c r="M54" s="79"/>
      <c r="N54" s="79"/>
      <c r="O54" s="79"/>
      <c r="P54" s="79"/>
      <c r="Q54" s="79"/>
      <c r="R54" s="79"/>
      <c r="S54" s="79"/>
      <c r="T54" s="79"/>
      <c r="U54" s="79"/>
      <c r="V54" s="79"/>
      <c r="W54" s="79"/>
      <c r="X54" s="79"/>
      <c r="Y54" s="79"/>
      <c r="Z54" s="79"/>
    </row>
    <row r="55" spans="1:26">
      <c r="A55" s="79"/>
      <c r="B55" s="79"/>
      <c r="C55" s="79"/>
      <c r="D55" s="79"/>
      <c r="E55" s="79"/>
      <c r="F55" s="79"/>
      <c r="G55" s="79"/>
      <c r="H55" s="79"/>
      <c r="I55" s="79"/>
      <c r="J55" s="79"/>
      <c r="K55" s="79"/>
      <c r="L55" s="79"/>
      <c r="M55" s="79"/>
      <c r="N55" s="79"/>
      <c r="O55" s="79"/>
      <c r="P55" s="79"/>
      <c r="Q55" s="79"/>
      <c r="R55" s="79"/>
      <c r="S55" s="79"/>
      <c r="T55" s="79"/>
      <c r="U55" s="79"/>
      <c r="V55" s="79"/>
      <c r="W55" s="79"/>
      <c r="X55" s="79"/>
      <c r="Y55" s="79"/>
      <c r="Z55" s="79"/>
    </row>
    <row r="56" spans="1:26">
      <c r="A56" s="79"/>
      <c r="B56" s="79"/>
      <c r="C56" s="79"/>
      <c r="D56" s="79"/>
      <c r="E56" s="79"/>
      <c r="F56" s="79"/>
      <c r="G56" s="79"/>
      <c r="H56" s="79"/>
      <c r="I56" s="79"/>
      <c r="J56" s="79"/>
      <c r="K56" s="79"/>
      <c r="L56" s="79"/>
      <c r="M56" s="79"/>
      <c r="N56" s="79"/>
      <c r="O56" s="79"/>
      <c r="P56" s="79"/>
      <c r="Q56" s="79"/>
      <c r="R56" s="79"/>
      <c r="S56" s="79"/>
      <c r="T56" s="79"/>
      <c r="U56" s="79"/>
      <c r="V56" s="79"/>
      <c r="W56" s="79"/>
      <c r="X56" s="79"/>
      <c r="Y56" s="79"/>
      <c r="Z56" s="79"/>
    </row>
    <row r="57" spans="1:26">
      <c r="A57" s="79"/>
      <c r="B57" s="79"/>
      <c r="C57" s="79"/>
      <c r="D57" s="79"/>
      <c r="E57" s="79"/>
      <c r="F57" s="79"/>
      <c r="G57" s="79"/>
      <c r="H57" s="79"/>
      <c r="I57" s="79"/>
      <c r="J57" s="79"/>
      <c r="K57" s="79"/>
      <c r="L57" s="79"/>
      <c r="M57" s="79"/>
      <c r="N57" s="79"/>
      <c r="O57" s="79"/>
      <c r="P57" s="79"/>
      <c r="Q57" s="79"/>
      <c r="R57" s="79"/>
      <c r="S57" s="79"/>
      <c r="T57" s="79"/>
      <c r="U57" s="79"/>
      <c r="V57" s="79"/>
      <c r="W57" s="79"/>
      <c r="X57" s="79"/>
      <c r="Y57" s="79"/>
      <c r="Z57" s="79"/>
    </row>
    <row r="58" spans="1:26">
      <c r="A58" s="79"/>
      <c r="B58" s="79"/>
      <c r="C58" s="79"/>
      <c r="D58" s="79"/>
      <c r="E58" s="79"/>
      <c r="F58" s="79"/>
      <c r="G58" s="79"/>
      <c r="H58" s="79"/>
      <c r="I58" s="79"/>
      <c r="J58" s="79"/>
      <c r="K58" s="79"/>
      <c r="L58" s="79"/>
      <c r="M58" s="79"/>
      <c r="N58" s="79"/>
      <c r="O58" s="79"/>
      <c r="P58" s="79"/>
      <c r="Q58" s="79"/>
      <c r="R58" s="79"/>
      <c r="S58" s="79"/>
      <c r="T58" s="79"/>
      <c r="U58" s="79"/>
      <c r="V58" s="79"/>
      <c r="W58" s="79"/>
      <c r="X58" s="79"/>
      <c r="Y58" s="79"/>
      <c r="Z58" s="79"/>
    </row>
    <row r="59" spans="1:26">
      <c r="A59" s="79"/>
      <c r="B59" s="79"/>
      <c r="C59" s="79"/>
      <c r="D59" s="79"/>
      <c r="E59" s="79"/>
      <c r="F59" s="79"/>
      <c r="G59" s="79"/>
      <c r="H59" s="79"/>
      <c r="I59" s="79"/>
      <c r="J59" s="79"/>
      <c r="K59" s="79"/>
      <c r="L59" s="79"/>
      <c r="M59" s="79"/>
      <c r="N59" s="79"/>
      <c r="O59" s="79"/>
      <c r="P59" s="79"/>
      <c r="Q59" s="79"/>
      <c r="R59" s="79"/>
      <c r="S59" s="79"/>
      <c r="T59" s="79"/>
      <c r="U59" s="79"/>
      <c r="V59" s="79"/>
      <c r="W59" s="79"/>
      <c r="X59" s="79"/>
      <c r="Y59" s="79"/>
      <c r="Z59" s="79"/>
    </row>
    <row r="60" spans="1:26">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row>
    <row r="61" spans="1:26">
      <c r="A61" s="79"/>
      <c r="B61" s="79"/>
      <c r="C61" s="79"/>
      <c r="D61" s="79"/>
      <c r="E61" s="79"/>
      <c r="F61" s="79"/>
      <c r="G61" s="79"/>
      <c r="H61" s="79"/>
      <c r="I61" s="79"/>
      <c r="J61" s="79"/>
      <c r="K61" s="79"/>
      <c r="L61" s="79"/>
      <c r="M61" s="79"/>
      <c r="N61" s="79"/>
      <c r="O61" s="79"/>
      <c r="P61" s="79"/>
      <c r="Q61" s="79"/>
      <c r="R61" s="79"/>
      <c r="S61" s="79"/>
      <c r="T61" s="79"/>
      <c r="U61" s="79"/>
      <c r="V61" s="79"/>
      <c r="W61" s="79"/>
      <c r="X61" s="79"/>
      <c r="Y61" s="79"/>
      <c r="Z61" s="79"/>
    </row>
    <row r="62" spans="1:26">
      <c r="A62" s="79"/>
      <c r="B62" s="79"/>
      <c r="C62" s="79"/>
      <c r="D62" s="79"/>
      <c r="E62" s="79"/>
      <c r="F62" s="79"/>
      <c r="G62" s="79"/>
      <c r="H62" s="79"/>
      <c r="I62" s="79"/>
      <c r="J62" s="79"/>
      <c r="K62" s="79"/>
      <c r="L62" s="79"/>
      <c r="M62" s="79"/>
      <c r="N62" s="79"/>
      <c r="O62" s="79"/>
      <c r="P62" s="79"/>
      <c r="Q62" s="79"/>
      <c r="R62" s="79"/>
      <c r="S62" s="79"/>
      <c r="T62" s="79"/>
      <c r="U62" s="79"/>
      <c r="V62" s="79"/>
      <c r="W62" s="79"/>
      <c r="X62" s="79"/>
      <c r="Y62" s="79"/>
      <c r="Z62" s="79"/>
    </row>
    <row r="63" spans="1:26">
      <c r="A63" s="79"/>
      <c r="B63" s="79"/>
      <c r="C63" s="79"/>
      <c r="D63" s="79"/>
      <c r="E63" s="79"/>
      <c r="F63" s="79"/>
      <c r="G63" s="79"/>
      <c r="H63" s="79"/>
      <c r="I63" s="79"/>
      <c r="J63" s="79"/>
      <c r="K63" s="79"/>
      <c r="L63" s="79"/>
      <c r="M63" s="79"/>
      <c r="N63" s="79"/>
      <c r="O63" s="79"/>
      <c r="P63" s="79"/>
      <c r="Q63" s="79"/>
      <c r="R63" s="79"/>
      <c r="S63" s="79"/>
      <c r="T63" s="79"/>
      <c r="U63" s="79"/>
      <c r="V63" s="79"/>
      <c r="W63" s="79"/>
      <c r="X63" s="79"/>
      <c r="Y63" s="79"/>
      <c r="Z63" s="79"/>
    </row>
    <row r="64" spans="1:26">
      <c r="A64" s="79"/>
      <c r="B64" s="79"/>
      <c r="C64" s="79"/>
      <c r="D64" s="79"/>
      <c r="E64" s="79"/>
      <c r="F64" s="79"/>
      <c r="G64" s="79"/>
      <c r="H64" s="87"/>
      <c r="I64" s="87"/>
      <c r="J64" s="79"/>
      <c r="K64" s="79"/>
      <c r="L64" s="79"/>
      <c r="M64" s="79"/>
      <c r="N64" s="79"/>
      <c r="O64" s="79"/>
      <c r="P64" s="79"/>
      <c r="Q64" s="79"/>
      <c r="R64" s="79"/>
      <c r="S64" s="79"/>
      <c r="T64" s="79"/>
      <c r="U64" s="79"/>
      <c r="V64" s="79"/>
      <c r="W64" s="79"/>
      <c r="X64" s="79"/>
      <c r="Y64" s="79"/>
      <c r="Z64" s="79"/>
    </row>
    <row r="65" spans="1:26">
      <c r="A65" s="79"/>
      <c r="B65" s="79"/>
      <c r="C65" s="79"/>
      <c r="D65" s="79"/>
      <c r="E65" s="79"/>
      <c r="F65" s="79"/>
      <c r="G65" s="79"/>
      <c r="H65" s="79"/>
      <c r="I65" s="79"/>
      <c r="J65" s="79"/>
      <c r="K65" s="79"/>
      <c r="L65" s="79"/>
      <c r="M65" s="79"/>
      <c r="N65" s="79"/>
      <c r="O65" s="79"/>
      <c r="P65" s="79"/>
      <c r="Q65" s="79"/>
      <c r="R65" s="79"/>
      <c r="S65" s="79"/>
      <c r="T65" s="79"/>
      <c r="U65" s="79"/>
      <c r="V65" s="79"/>
      <c r="W65" s="79"/>
      <c r="X65" s="79"/>
      <c r="Y65" s="79"/>
      <c r="Z65" s="79"/>
    </row>
    <row r="66" spans="1:26">
      <c r="A66" s="79"/>
      <c r="B66" s="79"/>
      <c r="C66" s="79"/>
      <c r="D66" s="79"/>
      <c r="E66" s="79"/>
      <c r="F66" s="79"/>
      <c r="G66" s="79"/>
      <c r="H66" s="79"/>
      <c r="I66" s="79"/>
      <c r="J66" s="79"/>
      <c r="K66" s="79"/>
      <c r="L66" s="79"/>
      <c r="M66" s="79"/>
      <c r="N66" s="79"/>
      <c r="O66" s="79"/>
      <c r="P66" s="79"/>
      <c r="Q66" s="79"/>
      <c r="R66" s="79"/>
      <c r="S66" s="79"/>
      <c r="T66" s="79"/>
      <c r="U66" s="79"/>
      <c r="V66" s="79"/>
      <c r="W66" s="79"/>
      <c r="X66" s="79"/>
      <c r="Y66" s="79"/>
      <c r="Z66" s="79"/>
    </row>
    <row r="67" spans="1:26">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row>
    <row r="68" spans="1:26">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row>
    <row r="69" spans="1:26">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row>
    <row r="70" spans="1:26">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row>
    <row r="71" spans="1:26">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row>
    <row r="72" spans="1:26" ht="15.75" hidden="1" outlineLevel="1" thickBot="1">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row>
    <row r="73" spans="1:26" ht="15.75" hidden="1" outlineLevel="1" thickBot="1">
      <c r="A73" s="79"/>
      <c r="B73" s="215"/>
      <c r="C73" s="227" t="s">
        <v>168</v>
      </c>
      <c r="D73" s="269">
        <v>42736</v>
      </c>
      <c r="E73" s="269">
        <v>42737</v>
      </c>
      <c r="F73" s="269">
        <v>42738</v>
      </c>
      <c r="G73" s="269">
        <v>42739</v>
      </c>
      <c r="H73" s="269">
        <v>42740</v>
      </c>
      <c r="I73" s="269">
        <v>42741</v>
      </c>
      <c r="J73" s="269">
        <v>42742</v>
      </c>
      <c r="K73" s="269">
        <v>42743</v>
      </c>
      <c r="L73" s="269">
        <v>42744</v>
      </c>
      <c r="M73" s="269">
        <v>42745</v>
      </c>
      <c r="N73" s="269">
        <v>42746</v>
      </c>
      <c r="O73" s="269">
        <v>42747</v>
      </c>
      <c r="P73" s="269">
        <v>42748</v>
      </c>
      <c r="Q73" s="269">
        <v>42749</v>
      </c>
      <c r="R73" s="269">
        <v>42750</v>
      </c>
      <c r="S73" s="269">
        <v>42751</v>
      </c>
      <c r="T73" s="269">
        <v>42752</v>
      </c>
      <c r="U73" s="79"/>
      <c r="V73" s="79"/>
      <c r="W73" s="79"/>
      <c r="X73" s="79"/>
      <c r="Y73" s="79"/>
      <c r="Z73" s="79"/>
    </row>
    <row r="74" spans="1:26" hidden="1" outlineLevel="1">
      <c r="A74" s="79"/>
      <c r="B74" s="216" t="s">
        <v>87</v>
      </c>
      <c r="C74" s="265"/>
      <c r="D74" s="270">
        <v>0</v>
      </c>
      <c r="E74" s="270">
        <v>4</v>
      </c>
      <c r="F74" s="270">
        <v>6</v>
      </c>
      <c r="G74" s="270"/>
      <c r="H74" s="270"/>
      <c r="I74" s="270"/>
      <c r="J74" s="271"/>
      <c r="K74" s="271"/>
      <c r="L74" s="270"/>
      <c r="M74" s="270"/>
      <c r="N74" s="270"/>
      <c r="O74" s="270"/>
      <c r="P74" s="270"/>
      <c r="Q74" s="272"/>
      <c r="R74" s="272"/>
      <c r="S74" s="270"/>
      <c r="T74" s="270"/>
      <c r="U74" s="79"/>
      <c r="V74" s="79"/>
      <c r="W74" s="79"/>
      <c r="X74" s="79"/>
      <c r="Y74" s="79"/>
      <c r="Z74" s="79"/>
    </row>
    <row r="75" spans="1:26" hidden="1" outlineLevel="1">
      <c r="A75" s="79"/>
      <c r="B75" s="250" t="s">
        <v>148</v>
      </c>
      <c r="C75" s="266"/>
      <c r="D75" s="270">
        <v>0</v>
      </c>
      <c r="E75" s="270">
        <v>0</v>
      </c>
      <c r="F75" s="270">
        <v>0</v>
      </c>
      <c r="G75" s="270"/>
      <c r="H75" s="270"/>
      <c r="I75" s="270"/>
      <c r="J75" s="271"/>
      <c r="K75" s="271"/>
      <c r="L75" s="270"/>
      <c r="M75" s="270"/>
      <c r="N75" s="270"/>
      <c r="O75" s="270"/>
      <c r="P75" s="270"/>
      <c r="Q75" s="272"/>
      <c r="R75" s="272"/>
      <c r="S75" s="270"/>
      <c r="T75" s="270"/>
      <c r="U75" s="79"/>
      <c r="V75" s="79"/>
      <c r="W75" s="79"/>
      <c r="X75" s="79"/>
      <c r="Y75" s="79"/>
      <c r="Z75" s="79"/>
    </row>
    <row r="76" spans="1:26" hidden="1" outlineLevel="1">
      <c r="A76" s="79"/>
      <c r="B76" s="218" t="s">
        <v>169</v>
      </c>
      <c r="C76" s="266"/>
      <c r="D76" s="270">
        <v>0</v>
      </c>
      <c r="E76" s="270">
        <v>0</v>
      </c>
      <c r="F76" s="270">
        <v>0</v>
      </c>
      <c r="G76" s="270"/>
      <c r="H76" s="270"/>
      <c r="I76" s="270"/>
      <c r="J76" s="271"/>
      <c r="K76" s="271"/>
      <c r="L76" s="270"/>
      <c r="M76" s="270"/>
      <c r="N76" s="270"/>
      <c r="O76" s="270"/>
      <c r="P76" s="270"/>
      <c r="Q76" s="272"/>
      <c r="R76" s="272"/>
      <c r="S76" s="270"/>
      <c r="T76" s="270"/>
      <c r="U76" s="79"/>
      <c r="V76" s="79"/>
      <c r="W76" s="79"/>
      <c r="X76" s="79"/>
      <c r="Y76" s="79"/>
      <c r="Z76" s="79"/>
    </row>
    <row r="77" spans="1:26" hidden="1" outlineLevel="1">
      <c r="A77" s="79"/>
      <c r="B77" s="218" t="s">
        <v>147</v>
      </c>
      <c r="C77" s="267"/>
      <c r="D77" s="270">
        <v>0</v>
      </c>
      <c r="E77" s="270">
        <v>0</v>
      </c>
      <c r="F77" s="270">
        <v>0</v>
      </c>
      <c r="G77" s="270"/>
      <c r="H77" s="270"/>
      <c r="I77" s="270"/>
      <c r="J77" s="271"/>
      <c r="K77" s="271"/>
      <c r="L77" s="270"/>
      <c r="M77" s="270"/>
      <c r="N77" s="270"/>
      <c r="O77" s="270"/>
      <c r="P77" s="270"/>
      <c r="Q77" s="272"/>
      <c r="R77" s="272"/>
      <c r="S77" s="270"/>
      <c r="T77" s="270"/>
      <c r="U77" s="79"/>
      <c r="V77" s="79"/>
      <c r="W77" s="79"/>
      <c r="X77" s="79"/>
      <c r="Y77" s="79"/>
      <c r="Z77" s="79"/>
    </row>
    <row r="78" spans="1:26" hidden="1" outlineLevel="1">
      <c r="A78" s="79"/>
      <c r="B78" s="250" t="s">
        <v>149</v>
      </c>
      <c r="C78" s="268"/>
      <c r="D78" s="270">
        <v>1</v>
      </c>
      <c r="E78" s="270">
        <v>1</v>
      </c>
      <c r="F78" s="270">
        <v>1</v>
      </c>
      <c r="G78" s="270"/>
      <c r="H78" s="270"/>
      <c r="I78" s="270"/>
      <c r="J78" s="271"/>
      <c r="K78" s="271"/>
      <c r="L78" s="270"/>
      <c r="M78" s="270"/>
      <c r="N78" s="270"/>
      <c r="O78" s="270"/>
      <c r="P78" s="270"/>
      <c r="Q78" s="272"/>
      <c r="R78" s="272"/>
      <c r="S78" s="270"/>
      <c r="T78" s="270"/>
      <c r="U78" s="79"/>
      <c r="V78" s="79"/>
      <c r="W78" s="79"/>
      <c r="X78" s="79"/>
      <c r="Y78" s="79"/>
      <c r="Z78" s="79"/>
    </row>
    <row r="79" spans="1:26" hidden="1" outlineLevel="1">
      <c r="A79" s="79"/>
      <c r="B79" s="250" t="s">
        <v>123</v>
      </c>
      <c r="C79" s="253"/>
      <c r="D79" s="270">
        <v>1</v>
      </c>
      <c r="E79" s="270">
        <v>1</v>
      </c>
      <c r="F79" s="270">
        <v>1</v>
      </c>
      <c r="G79" s="251"/>
      <c r="H79" s="251"/>
      <c r="I79" s="251"/>
      <c r="J79" s="255"/>
      <c r="K79" s="255"/>
      <c r="L79" s="251"/>
      <c r="M79" s="251"/>
      <c r="N79" s="251"/>
      <c r="O79" s="251"/>
      <c r="P79" s="251"/>
      <c r="Q79" s="252"/>
      <c r="R79" s="252"/>
      <c r="S79" s="251"/>
      <c r="T79" s="251"/>
      <c r="U79" s="79"/>
      <c r="V79" s="79"/>
      <c r="W79" s="79"/>
      <c r="X79" s="79"/>
      <c r="Y79" s="79"/>
      <c r="Z79" s="79"/>
    </row>
    <row r="80" spans="1:26" ht="15.75" hidden="1" outlineLevel="1" thickBot="1">
      <c r="A80" s="79"/>
      <c r="B80" s="218" t="s">
        <v>146</v>
      </c>
      <c r="C80" s="253"/>
      <c r="D80" s="270">
        <v>6</v>
      </c>
      <c r="E80" s="270">
        <v>2</v>
      </c>
      <c r="F80" s="270">
        <v>0</v>
      </c>
      <c r="G80" s="219"/>
      <c r="H80" s="219"/>
      <c r="I80" s="219"/>
      <c r="J80" s="254"/>
      <c r="K80" s="254"/>
      <c r="L80" s="219"/>
      <c r="M80" s="219"/>
      <c r="N80" s="219"/>
      <c r="O80" s="219"/>
      <c r="P80" s="219"/>
      <c r="Q80" s="254"/>
      <c r="R80" s="254"/>
      <c r="S80" s="219"/>
      <c r="T80" s="219"/>
      <c r="U80" s="79"/>
      <c r="V80" s="79"/>
      <c r="W80" s="79"/>
      <c r="X80" s="79"/>
      <c r="Y80" s="79"/>
      <c r="Z80" s="79"/>
    </row>
    <row r="81" spans="1:26" ht="15.75" hidden="1" outlineLevel="1" thickBot="1">
      <c r="A81" s="79"/>
      <c r="B81" s="220" t="s">
        <v>296</v>
      </c>
      <c r="C81" s="273"/>
      <c r="D81" s="221">
        <f>D85-(D74+D78+D79)</f>
        <v>6</v>
      </c>
      <c r="E81" s="221">
        <f t="shared" ref="E81:F81" si="5">E85-(E74+E78+E79)</f>
        <v>2</v>
      </c>
      <c r="F81" s="221">
        <f t="shared" si="5"/>
        <v>0</v>
      </c>
      <c r="G81" s="221"/>
      <c r="H81" s="221"/>
      <c r="I81" s="221"/>
      <c r="J81" s="256"/>
      <c r="K81" s="256"/>
      <c r="L81" s="221"/>
      <c r="M81" s="221"/>
      <c r="N81" s="221"/>
      <c r="O81" s="221"/>
      <c r="P81" s="221"/>
      <c r="Q81" s="256"/>
      <c r="R81" s="256"/>
      <c r="S81" s="221"/>
      <c r="T81" s="221"/>
      <c r="U81" s="79"/>
      <c r="V81" s="79"/>
      <c r="W81" s="79"/>
      <c r="X81" s="79"/>
      <c r="Y81" s="79"/>
      <c r="Z81" s="79"/>
    </row>
    <row r="82" spans="1:26" ht="15.75" hidden="1" outlineLevel="1" thickBot="1">
      <c r="A82" s="79"/>
      <c r="B82" s="222" t="s">
        <v>220</v>
      </c>
      <c r="C82" s="273">
        <f>C80/'Project Summary'!B20</f>
        <v>0</v>
      </c>
      <c r="D82" s="230">
        <v>8</v>
      </c>
      <c r="E82" s="230">
        <v>6</v>
      </c>
      <c r="F82" s="230">
        <v>4</v>
      </c>
      <c r="G82" s="230">
        <v>2</v>
      </c>
      <c r="H82" s="230">
        <v>0</v>
      </c>
      <c r="I82" s="230">
        <v>0</v>
      </c>
      <c r="J82" s="247"/>
      <c r="K82" s="247"/>
      <c r="L82" s="230"/>
      <c r="M82" s="230"/>
      <c r="N82" s="230"/>
      <c r="O82" s="230"/>
      <c r="P82" s="230"/>
      <c r="Q82" s="260"/>
      <c r="R82" s="260"/>
      <c r="S82" s="230"/>
      <c r="T82" s="230"/>
      <c r="U82" s="79"/>
      <c r="V82" s="79"/>
      <c r="W82" s="79"/>
      <c r="X82" s="79"/>
      <c r="Y82" s="79"/>
      <c r="Z82" s="79"/>
    </row>
    <row r="83" spans="1:26" hidden="1" outlineLevel="1">
      <c r="A83" s="79"/>
      <c r="B83" s="223" t="s">
        <v>166</v>
      </c>
      <c r="C83" s="173"/>
      <c r="D83" s="329">
        <f>(D74+D78+D79)/D85</f>
        <v>0.25</v>
      </c>
      <c r="E83" s="329">
        <f t="shared" ref="E83:I83" si="6">(E74+E78+E79)/E85</f>
        <v>0.75</v>
      </c>
      <c r="F83" s="329">
        <f t="shared" si="6"/>
        <v>1</v>
      </c>
      <c r="G83" s="329">
        <f t="shared" si="6"/>
        <v>0</v>
      </c>
      <c r="H83" s="329">
        <f t="shared" si="6"/>
        <v>0</v>
      </c>
      <c r="I83" s="329">
        <f t="shared" si="6"/>
        <v>0</v>
      </c>
      <c r="J83" s="257"/>
      <c r="K83" s="257"/>
      <c r="L83" s="224"/>
      <c r="M83" s="224"/>
      <c r="N83" s="224"/>
      <c r="O83" s="224"/>
      <c r="P83" s="224"/>
      <c r="Q83" s="257"/>
      <c r="R83" s="257"/>
      <c r="S83" s="224"/>
      <c r="T83" s="224"/>
      <c r="U83" s="79"/>
      <c r="V83" s="79"/>
      <c r="W83" s="79"/>
      <c r="X83" s="79"/>
      <c r="Y83" s="79"/>
      <c r="Z83" s="79"/>
    </row>
    <row r="84" spans="1:26" hidden="1" outlineLevel="1">
      <c r="A84" s="79"/>
      <c r="B84" s="225" t="s">
        <v>221</v>
      </c>
      <c r="C84" s="174"/>
      <c r="D84" s="330">
        <f>(D85-D82)/D85</f>
        <v>0</v>
      </c>
      <c r="E84" s="330">
        <f t="shared" ref="E84:I84" si="7">(E85-E82)/E85</f>
        <v>0.25</v>
      </c>
      <c r="F84" s="330">
        <f t="shared" si="7"/>
        <v>0.5</v>
      </c>
      <c r="G84" s="330">
        <f t="shared" si="7"/>
        <v>0.75</v>
      </c>
      <c r="H84" s="330">
        <f t="shared" si="7"/>
        <v>1</v>
      </c>
      <c r="I84" s="330">
        <f t="shared" si="7"/>
        <v>1</v>
      </c>
      <c r="J84" s="258"/>
      <c r="K84" s="258"/>
      <c r="L84" s="226"/>
      <c r="M84" s="226"/>
      <c r="N84" s="226"/>
      <c r="O84" s="226"/>
      <c r="P84" s="226"/>
      <c r="Q84" s="258"/>
      <c r="R84" s="258"/>
      <c r="S84" s="226"/>
      <c r="T84" s="226"/>
      <c r="U84" s="79"/>
      <c r="V84" s="79"/>
      <c r="W84" s="79"/>
      <c r="X84" s="79"/>
      <c r="Y84" s="79"/>
      <c r="Z84" s="79"/>
    </row>
    <row r="85" spans="1:26" ht="15.75" hidden="1" outlineLevel="1" thickBot="1">
      <c r="A85" s="79"/>
      <c r="B85" s="229" t="s">
        <v>219</v>
      </c>
      <c r="C85" s="228">
        <f>COUNTIF('Traceability  Matrix'!L1:L1004,"TRUE")</f>
        <v>8</v>
      </c>
      <c r="D85" s="228">
        <v>8</v>
      </c>
      <c r="E85" s="228">
        <v>8</v>
      </c>
      <c r="F85" s="228">
        <v>8</v>
      </c>
      <c r="G85" s="228">
        <v>8</v>
      </c>
      <c r="H85" s="228">
        <v>8</v>
      </c>
      <c r="I85" s="228">
        <v>8</v>
      </c>
      <c r="J85" s="248"/>
      <c r="K85" s="248"/>
      <c r="L85" s="228"/>
      <c r="M85" s="228"/>
      <c r="N85" s="228"/>
      <c r="O85" s="228"/>
      <c r="P85" s="228"/>
      <c r="Q85" s="261"/>
      <c r="R85" s="261"/>
      <c r="S85" s="228"/>
      <c r="T85" s="228"/>
      <c r="U85" s="79"/>
      <c r="V85" s="79"/>
      <c r="W85" s="79"/>
      <c r="X85" s="79"/>
      <c r="Y85" s="79"/>
      <c r="Z85" s="79"/>
    </row>
    <row r="86" spans="1:26" hidden="1" outlineLevel="1">
      <c r="A86" s="79"/>
      <c r="B86" s="79"/>
      <c r="C86" s="79"/>
      <c r="D86" s="370"/>
      <c r="E86" s="370"/>
      <c r="F86" s="370"/>
      <c r="G86" s="79"/>
      <c r="H86" s="79"/>
      <c r="I86" s="79"/>
      <c r="J86" s="79"/>
      <c r="K86" s="79"/>
      <c r="L86" s="79"/>
      <c r="M86" s="79"/>
      <c r="N86" s="79"/>
      <c r="O86" s="79"/>
      <c r="P86" s="79"/>
      <c r="Q86" s="79"/>
      <c r="R86" s="79"/>
      <c r="S86" s="79"/>
      <c r="T86" s="79"/>
      <c r="U86" s="79"/>
      <c r="V86" s="79"/>
      <c r="W86" s="79"/>
      <c r="X86" s="79"/>
      <c r="Y86" s="79"/>
      <c r="Z86" s="79"/>
    </row>
    <row r="87" spans="1:26" ht="15.75" hidden="1" outlineLevel="1">
      <c r="A87" s="79"/>
      <c r="B87" s="79"/>
      <c r="C87" s="79"/>
      <c r="D87" s="379" t="s">
        <v>59</v>
      </c>
      <c r="E87" s="380" t="s">
        <v>60</v>
      </c>
      <c r="F87" s="381" t="s">
        <v>275</v>
      </c>
      <c r="G87" s="79"/>
      <c r="H87" s="79"/>
      <c r="I87" s="79"/>
      <c r="J87" s="79"/>
      <c r="K87" s="79"/>
      <c r="L87" s="79"/>
      <c r="M87" s="79"/>
      <c r="N87" s="79"/>
      <c r="O87" s="79"/>
      <c r="P87" s="79"/>
      <c r="Q87" s="79"/>
      <c r="R87" s="79"/>
      <c r="S87" s="79"/>
      <c r="T87" s="79"/>
      <c r="U87" s="79"/>
      <c r="V87" s="79"/>
      <c r="W87" s="79"/>
      <c r="X87" s="79"/>
      <c r="Y87" s="79"/>
      <c r="Z87" s="79"/>
    </row>
    <row r="88" spans="1:26" ht="21.75" hidden="1" outlineLevel="1" thickBot="1">
      <c r="A88" s="79"/>
      <c r="B88" s="294" t="s">
        <v>18</v>
      </c>
      <c r="C88" s="295"/>
      <c r="D88" s="300">
        <f>COUNTIF('Traceability  Matrix'!L1:L1004,"TRUE")</f>
        <v>8</v>
      </c>
      <c r="E88" s="300">
        <f>COUNTIF('Traceability  Matrix'!N1:N1004,"TRUE")</f>
        <v>0</v>
      </c>
      <c r="F88" s="300">
        <f>COUNTIF('Traceability  Matrix'!N1:N1004,"TRUE")</f>
        <v>0</v>
      </c>
      <c r="G88" s="79"/>
      <c r="H88" s="79"/>
      <c r="I88" s="79"/>
      <c r="J88" s="79"/>
      <c r="K88" s="79"/>
      <c r="L88" s="79"/>
      <c r="M88" s="79"/>
      <c r="N88" s="79"/>
      <c r="O88" s="79"/>
      <c r="P88" s="79"/>
      <c r="Q88" s="79"/>
      <c r="R88" s="79"/>
      <c r="S88" s="79"/>
      <c r="T88" s="79"/>
      <c r="U88" s="79"/>
      <c r="V88" s="79"/>
      <c r="W88" s="79"/>
      <c r="X88" s="79"/>
      <c r="Y88" s="79"/>
      <c r="Z88" s="79"/>
    </row>
    <row r="89" spans="1:26" ht="21.75" hidden="1" outlineLevel="1" thickTop="1">
      <c r="A89" s="79"/>
      <c r="B89" s="296" t="s">
        <v>87</v>
      </c>
      <c r="C89" s="25"/>
      <c r="D89" s="301">
        <f>COUNTIF('Scripts and Execution'!M1:M1000,"Passed")</f>
        <v>6</v>
      </c>
      <c r="E89" s="301">
        <f>COUNTIF('Scripts and Execution'!R1:R1000,"Passed")</f>
        <v>0</v>
      </c>
      <c r="F89" s="301">
        <f>COUNTIF('Scripts and Execution'!W1:W1000,"Passed")</f>
        <v>0</v>
      </c>
      <c r="G89" s="79"/>
      <c r="H89" s="79"/>
      <c r="I89" s="79"/>
      <c r="J89" s="79"/>
      <c r="K89" s="79"/>
      <c r="L89" s="79"/>
      <c r="M89" s="79"/>
      <c r="N89" s="79"/>
      <c r="O89" s="79"/>
      <c r="P89" s="79"/>
      <c r="Q89" s="79"/>
      <c r="R89" s="79"/>
      <c r="S89" s="79"/>
      <c r="T89" s="79"/>
      <c r="U89" s="79"/>
      <c r="V89" s="79"/>
      <c r="W89" s="79"/>
      <c r="X89" s="79"/>
      <c r="Y89" s="79"/>
      <c r="Z89" s="79"/>
    </row>
    <row r="90" spans="1:26" ht="21" hidden="1" outlineLevel="1">
      <c r="A90" s="79"/>
      <c r="B90" s="297" t="s">
        <v>148</v>
      </c>
      <c r="C90" s="25"/>
      <c r="D90" s="301">
        <f>COUNTIF('Scripts and Execution'!M1:M1000,"Failed")</f>
        <v>0</v>
      </c>
      <c r="E90" s="301">
        <f>COUNTIF('Scripts and Execution'!R1:R1000,"Failed")</f>
        <v>0</v>
      </c>
      <c r="F90" s="301">
        <f>COUNTIF('Scripts and Execution'!W1:W1000,"Failed")</f>
        <v>0</v>
      </c>
      <c r="G90" s="79"/>
      <c r="H90" s="79"/>
      <c r="I90" s="79"/>
      <c r="J90" s="79"/>
      <c r="K90" s="79"/>
      <c r="L90" s="79"/>
      <c r="M90" s="79"/>
      <c r="N90" s="79"/>
      <c r="O90" s="79"/>
      <c r="P90" s="79"/>
      <c r="Q90" s="79"/>
      <c r="R90" s="79"/>
      <c r="S90" s="79"/>
      <c r="T90" s="79"/>
      <c r="U90" s="79"/>
      <c r="V90" s="79"/>
      <c r="W90" s="79"/>
      <c r="X90" s="79"/>
      <c r="Y90" s="79"/>
      <c r="Z90" s="79"/>
    </row>
    <row r="91" spans="1:26" ht="21" hidden="1" outlineLevel="1">
      <c r="A91" s="79"/>
      <c r="B91" s="297" t="s">
        <v>118</v>
      </c>
      <c r="C91" s="25"/>
      <c r="D91" s="301">
        <f>COUNTIF('Scripts and Execution'!M2:M1001,"Ongoing")</f>
        <v>0</v>
      </c>
      <c r="E91" s="301">
        <f>COUNTIF('Scripts and Execution'!R1:R1001,"Ongoing")</f>
        <v>0</v>
      </c>
      <c r="F91" s="301">
        <f>COUNTIF('Scripts and Execution'!W2:W1001,"Ongoing")</f>
        <v>0</v>
      </c>
      <c r="G91" s="79"/>
      <c r="H91" s="79"/>
      <c r="I91" s="79"/>
      <c r="J91" s="79"/>
      <c r="K91" s="79"/>
      <c r="L91" s="79"/>
      <c r="M91" s="79"/>
      <c r="N91" s="79"/>
      <c r="O91" s="79"/>
      <c r="P91" s="79"/>
      <c r="Q91" s="79"/>
      <c r="R91" s="79"/>
      <c r="S91" s="79"/>
      <c r="T91" s="79"/>
      <c r="U91" s="79"/>
      <c r="V91" s="79"/>
      <c r="W91" s="79"/>
      <c r="X91" s="79"/>
      <c r="Y91" s="79"/>
      <c r="Z91" s="79"/>
    </row>
    <row r="92" spans="1:26" ht="21" hidden="1" outlineLevel="1">
      <c r="A92" s="79"/>
      <c r="B92" s="297" t="s">
        <v>147</v>
      </c>
      <c r="C92" s="25"/>
      <c r="D92" s="301">
        <f>COUNTIF('Scripts and Execution'!M3:M1002,"Blocked")</f>
        <v>0</v>
      </c>
      <c r="E92" s="301">
        <f>COUNTIF('Scripts and Execution'!R1:R1000,"Blocked")</f>
        <v>0</v>
      </c>
      <c r="F92" s="301">
        <f>COUNTIF('Scripts and Execution'!W3:W1002,"Blocked")</f>
        <v>0</v>
      </c>
      <c r="G92" s="79"/>
      <c r="H92" s="79"/>
      <c r="I92" s="79"/>
      <c r="J92" s="79"/>
      <c r="K92" s="79"/>
      <c r="L92" s="79"/>
      <c r="M92" s="79"/>
      <c r="N92" s="79"/>
      <c r="O92" s="79"/>
      <c r="P92" s="79"/>
      <c r="Q92" s="79"/>
      <c r="R92" s="79"/>
      <c r="S92" s="79"/>
      <c r="T92" s="79"/>
      <c r="U92" s="79"/>
      <c r="V92" s="79"/>
      <c r="W92" s="79"/>
      <c r="X92" s="79"/>
      <c r="Y92" s="79"/>
      <c r="Z92" s="79"/>
    </row>
    <row r="93" spans="1:26" ht="21" hidden="1" outlineLevel="1">
      <c r="A93" s="79"/>
      <c r="B93" s="297" t="s">
        <v>149</v>
      </c>
      <c r="C93" s="25"/>
      <c r="D93" s="301">
        <f>COUNTIF('Scripts and Execution'!M4:M1003,"Deferred")</f>
        <v>1</v>
      </c>
      <c r="E93" s="301">
        <f>COUNTIF('Scripts and Execution'!R1:R1000,"Deferred")</f>
        <v>0</v>
      </c>
      <c r="F93" s="301">
        <f>COUNTIF('Scripts and Execution'!W4:W1003,"Deferred")</f>
        <v>0</v>
      </c>
      <c r="G93" s="79"/>
      <c r="H93" s="79"/>
      <c r="I93" s="79"/>
      <c r="J93" s="79"/>
      <c r="K93" s="79"/>
      <c r="L93" s="79"/>
      <c r="M93" s="79"/>
      <c r="N93" s="79"/>
      <c r="O93" s="79"/>
      <c r="P93" s="79"/>
      <c r="Q93" s="79"/>
      <c r="R93" s="79"/>
      <c r="S93" s="79"/>
      <c r="T93" s="79"/>
      <c r="U93" s="79"/>
      <c r="V93" s="79"/>
      <c r="W93" s="79"/>
      <c r="X93" s="79"/>
      <c r="Y93" s="79"/>
      <c r="Z93" s="79"/>
    </row>
    <row r="94" spans="1:26" ht="21" hidden="1" outlineLevel="1">
      <c r="A94" s="79"/>
      <c r="B94" s="297" t="s">
        <v>123</v>
      </c>
      <c r="C94" s="25"/>
      <c r="D94" s="301">
        <f>COUNTIF('Scripts and Execution'!M5:M1004,"Out-of-scope")</f>
        <v>1</v>
      </c>
      <c r="E94" s="301">
        <f>COUNTIF('Scripts and Execution'!R1:R1000,"Out-of-scope")</f>
        <v>0</v>
      </c>
      <c r="F94" s="301">
        <f>COUNTIF('Scripts and Execution'!W5:W1004,"Out-of-scope")</f>
        <v>0</v>
      </c>
      <c r="G94" s="79"/>
      <c r="H94" s="79"/>
      <c r="I94" s="79"/>
      <c r="J94" s="79"/>
      <c r="K94" s="79"/>
      <c r="L94" s="79"/>
      <c r="M94" s="79"/>
      <c r="N94" s="79"/>
      <c r="O94" s="79"/>
      <c r="P94" s="79"/>
      <c r="Q94" s="79"/>
      <c r="R94" s="79"/>
      <c r="S94" s="79"/>
      <c r="T94" s="79"/>
      <c r="U94" s="79"/>
      <c r="V94" s="79"/>
      <c r="W94" s="79"/>
      <c r="X94" s="79"/>
      <c r="Y94" s="79"/>
      <c r="Z94" s="79"/>
    </row>
    <row r="95" spans="1:26" ht="21" hidden="1" outlineLevel="1">
      <c r="A95" s="79"/>
      <c r="B95" s="298" t="s">
        <v>146</v>
      </c>
      <c r="C95" s="299"/>
      <c r="D95" s="302">
        <f>COUNTIF('Scripts and Execution'!M6:M1005,"Not Started")</f>
        <v>0</v>
      </c>
      <c r="E95" s="302">
        <f>COUNTIF('Scripts and Execution'!R1:R1000,"Not Started")</f>
        <v>0</v>
      </c>
      <c r="F95" s="302">
        <f>COUNTIF('Scripts and Execution'!W6:W1005,"Not Started")</f>
        <v>0</v>
      </c>
      <c r="G95" s="79"/>
      <c r="H95" s="79"/>
      <c r="I95" s="79"/>
      <c r="J95" s="79"/>
      <c r="K95" s="79"/>
      <c r="L95" s="79"/>
      <c r="M95" s="79"/>
      <c r="N95" s="79"/>
      <c r="O95" s="79"/>
      <c r="P95" s="79"/>
      <c r="Q95" s="79"/>
      <c r="R95" s="79"/>
      <c r="S95" s="79"/>
      <c r="T95" s="79"/>
      <c r="U95" s="79"/>
      <c r="V95" s="79"/>
      <c r="W95" s="79"/>
      <c r="X95" s="79"/>
      <c r="Y95" s="79"/>
      <c r="Z95" s="79"/>
    </row>
    <row r="96" spans="1:26" hidden="1" outlineLevel="1">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row>
    <row r="97" spans="1:26" collapsed="1">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row>
    <row r="98" spans="1:26" ht="24" customHeight="1">
      <c r="A98" s="79"/>
      <c r="B98" s="286" t="s">
        <v>240</v>
      </c>
      <c r="C98" s="286"/>
      <c r="D98" s="286"/>
      <c r="E98" s="286"/>
      <c r="F98" s="286"/>
      <c r="G98" s="286"/>
      <c r="H98" s="286"/>
      <c r="I98" s="286"/>
      <c r="J98" s="286"/>
      <c r="K98" s="286"/>
      <c r="L98" s="286"/>
      <c r="M98" s="286"/>
      <c r="N98" s="286"/>
      <c r="O98" s="286"/>
      <c r="P98" s="286"/>
      <c r="Q98" s="286"/>
      <c r="R98" s="286"/>
      <c r="S98" s="286"/>
      <c r="T98" s="286"/>
      <c r="U98" s="286"/>
      <c r="V98" s="286"/>
      <c r="W98" s="79"/>
      <c r="X98" s="79"/>
      <c r="Y98" s="79"/>
      <c r="Z98" s="79"/>
    </row>
    <row r="99" spans="1:26">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row>
    <row r="100" spans="1:26">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row>
    <row r="101" spans="1:26">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row>
    <row r="102" spans="1:26">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row>
    <row r="103" spans="1:26">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row>
    <row r="104" spans="1:26">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row>
    <row r="105" spans="1:26">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row>
    <row r="106" spans="1:26">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row>
    <row r="107" spans="1:26">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row>
    <row r="108" spans="1:26">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row>
    <row r="109" spans="1:26">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row>
    <row r="110" spans="1:26">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row>
    <row r="111" spans="1:26">
      <c r="A111" s="79"/>
      <c r="B111" s="79"/>
      <c r="C111" s="79"/>
      <c r="D111" s="79"/>
      <c r="E111" s="79"/>
      <c r="F111" s="79"/>
      <c r="G111" s="79"/>
      <c r="H111" s="87"/>
      <c r="I111" s="87"/>
      <c r="J111" s="79"/>
      <c r="K111" s="79"/>
      <c r="L111" s="79"/>
      <c r="M111" s="79"/>
      <c r="N111" s="79"/>
      <c r="O111" s="79"/>
      <c r="P111" s="79"/>
      <c r="Q111" s="79"/>
      <c r="R111" s="79"/>
      <c r="S111" s="79"/>
      <c r="T111" s="79"/>
      <c r="U111" s="79"/>
      <c r="V111" s="79"/>
      <c r="W111" s="79"/>
      <c r="X111" s="79"/>
      <c r="Y111" s="79"/>
      <c r="Z111" s="79"/>
    </row>
    <row r="112" spans="1:26">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row>
    <row r="113" spans="1:26">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row>
    <row r="114" spans="1:26">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row>
    <row r="115" spans="1:26">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row>
    <row r="116" spans="1:26">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row>
    <row r="117" spans="1:26">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row>
    <row r="118" spans="1:26">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row>
    <row r="119" spans="1:26" ht="15.75" hidden="1" outlineLevel="1" thickBot="1">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row>
    <row r="120" spans="1:26" ht="15.75" hidden="1" outlineLevel="1" thickBot="1">
      <c r="A120" s="79"/>
      <c r="B120" s="215"/>
      <c r="C120" s="227" t="s">
        <v>168</v>
      </c>
      <c r="D120" s="269">
        <v>42736</v>
      </c>
      <c r="E120" s="269">
        <v>42737</v>
      </c>
      <c r="F120" s="269">
        <v>42738</v>
      </c>
      <c r="G120" s="269">
        <v>42739</v>
      </c>
      <c r="H120" s="269">
        <v>42740</v>
      </c>
      <c r="I120" s="269">
        <v>42741</v>
      </c>
      <c r="J120" s="269">
        <v>42742</v>
      </c>
      <c r="K120" s="269">
        <v>42743</v>
      </c>
      <c r="L120" s="269">
        <v>42744</v>
      </c>
      <c r="M120" s="269">
        <v>42745</v>
      </c>
      <c r="N120" s="269">
        <v>42746</v>
      </c>
      <c r="O120" s="269">
        <v>42747</v>
      </c>
      <c r="P120" s="269">
        <v>42748</v>
      </c>
      <c r="Q120" s="269">
        <v>42749</v>
      </c>
      <c r="R120" s="269">
        <v>42750</v>
      </c>
      <c r="S120" s="79"/>
      <c r="T120" s="79"/>
      <c r="U120" s="79"/>
      <c r="V120" s="79"/>
      <c r="W120" s="79"/>
      <c r="X120" s="79"/>
      <c r="Y120" s="79"/>
      <c r="Z120" s="79"/>
    </row>
    <row r="121" spans="1:26" hidden="1" outlineLevel="1">
      <c r="A121" s="79"/>
      <c r="B121" s="216" t="s">
        <v>87</v>
      </c>
      <c r="C121" s="265"/>
      <c r="D121" s="270">
        <v>0</v>
      </c>
      <c r="E121" s="270">
        <v>2</v>
      </c>
      <c r="F121" s="270">
        <v>6</v>
      </c>
      <c r="G121" s="270"/>
      <c r="H121" s="270"/>
      <c r="I121" s="270"/>
      <c r="J121" s="271"/>
      <c r="K121" s="271"/>
      <c r="L121" s="270"/>
      <c r="M121" s="270"/>
      <c r="N121" s="270"/>
      <c r="O121" s="270"/>
      <c r="P121" s="270"/>
      <c r="Q121" s="271"/>
      <c r="R121" s="271"/>
      <c r="S121" s="79"/>
      <c r="T121" s="79"/>
      <c r="U121" s="79"/>
      <c r="V121" s="79"/>
      <c r="W121" s="79"/>
      <c r="X121" s="79"/>
      <c r="Y121" s="79"/>
      <c r="Z121" s="79"/>
    </row>
    <row r="122" spans="1:26" hidden="1" outlineLevel="1">
      <c r="A122" s="79"/>
      <c r="B122" s="250" t="s">
        <v>148</v>
      </c>
      <c r="C122" s="266"/>
      <c r="D122" s="270">
        <v>0</v>
      </c>
      <c r="E122" s="270">
        <v>1</v>
      </c>
      <c r="F122" s="270">
        <v>0</v>
      </c>
      <c r="G122" s="270"/>
      <c r="H122" s="270"/>
      <c r="I122" s="270"/>
      <c r="J122" s="271"/>
      <c r="K122" s="271"/>
      <c r="L122" s="270"/>
      <c r="M122" s="270"/>
      <c r="N122" s="270"/>
      <c r="O122" s="270"/>
      <c r="P122" s="270"/>
      <c r="Q122" s="271"/>
      <c r="R122" s="271"/>
      <c r="S122" s="79"/>
      <c r="T122" s="79"/>
      <c r="U122" s="79"/>
      <c r="V122" s="79"/>
      <c r="W122" s="79"/>
      <c r="X122" s="79"/>
      <c r="Y122" s="79"/>
      <c r="Z122" s="79"/>
    </row>
    <row r="123" spans="1:26" hidden="1" outlineLevel="1">
      <c r="A123" s="79"/>
      <c r="B123" s="218" t="s">
        <v>169</v>
      </c>
      <c r="C123" s="266"/>
      <c r="D123" s="270">
        <v>0</v>
      </c>
      <c r="E123" s="270">
        <v>1</v>
      </c>
      <c r="F123" s="270">
        <v>0</v>
      </c>
      <c r="G123" s="270"/>
      <c r="H123" s="270"/>
      <c r="I123" s="270"/>
      <c r="J123" s="271"/>
      <c r="K123" s="271"/>
      <c r="L123" s="270"/>
      <c r="M123" s="270"/>
      <c r="N123" s="270"/>
      <c r="O123" s="270"/>
      <c r="P123" s="270"/>
      <c r="Q123" s="271"/>
      <c r="R123" s="271"/>
      <c r="S123" s="79"/>
      <c r="T123" s="79"/>
      <c r="U123" s="79"/>
      <c r="V123" s="79"/>
      <c r="W123" s="79"/>
      <c r="X123" s="79"/>
      <c r="Y123" s="79"/>
      <c r="Z123" s="79"/>
    </row>
    <row r="124" spans="1:26" hidden="1" outlineLevel="1">
      <c r="A124" s="79"/>
      <c r="B124" s="218" t="s">
        <v>147</v>
      </c>
      <c r="C124" s="267"/>
      <c r="D124" s="270">
        <v>0</v>
      </c>
      <c r="E124" s="270">
        <v>1</v>
      </c>
      <c r="F124" s="270">
        <v>0</v>
      </c>
      <c r="G124" s="270"/>
      <c r="H124" s="270"/>
      <c r="I124" s="270"/>
      <c r="J124" s="271"/>
      <c r="K124" s="271"/>
      <c r="L124" s="270"/>
      <c r="M124" s="270"/>
      <c r="N124" s="270"/>
      <c r="O124" s="270"/>
      <c r="P124" s="270"/>
      <c r="Q124" s="271"/>
      <c r="R124" s="271"/>
      <c r="S124" s="79"/>
      <c r="T124" s="79"/>
      <c r="U124" s="79"/>
      <c r="V124" s="79"/>
      <c r="W124" s="79"/>
      <c r="X124" s="79"/>
      <c r="Y124" s="79"/>
      <c r="Z124" s="79"/>
    </row>
    <row r="125" spans="1:26" hidden="1" outlineLevel="1">
      <c r="A125" s="79"/>
      <c r="B125" s="250" t="s">
        <v>149</v>
      </c>
      <c r="C125" s="268"/>
      <c r="D125" s="270">
        <v>0</v>
      </c>
      <c r="E125" s="270">
        <v>0</v>
      </c>
      <c r="F125" s="270">
        <v>1</v>
      </c>
      <c r="G125" s="270"/>
      <c r="H125" s="270"/>
      <c r="I125" s="270"/>
      <c r="J125" s="271"/>
      <c r="K125" s="271"/>
      <c r="L125" s="270"/>
      <c r="M125" s="270"/>
      <c r="N125" s="270"/>
      <c r="O125" s="270"/>
      <c r="P125" s="270"/>
      <c r="Q125" s="271"/>
      <c r="R125" s="271"/>
      <c r="S125" s="79"/>
      <c r="T125" s="79"/>
      <c r="U125" s="79"/>
      <c r="V125" s="79"/>
      <c r="W125" s="79"/>
      <c r="X125" s="79"/>
      <c r="Y125" s="79"/>
      <c r="Z125" s="79"/>
    </row>
    <row r="126" spans="1:26" hidden="1" outlineLevel="1">
      <c r="A126" s="79"/>
      <c r="B126" s="250" t="s">
        <v>123</v>
      </c>
      <c r="C126" s="253"/>
      <c r="D126" s="270">
        <v>0</v>
      </c>
      <c r="E126" s="270">
        <v>1</v>
      </c>
      <c r="F126" s="251">
        <v>1</v>
      </c>
      <c r="G126" s="251"/>
      <c r="H126" s="251"/>
      <c r="I126" s="251"/>
      <c r="J126" s="255"/>
      <c r="K126" s="255"/>
      <c r="L126" s="251"/>
      <c r="M126" s="251"/>
      <c r="N126" s="251"/>
      <c r="O126" s="251"/>
      <c r="P126" s="251"/>
      <c r="Q126" s="255"/>
      <c r="R126" s="255"/>
      <c r="S126" s="79"/>
      <c r="T126" s="79"/>
      <c r="U126" s="79"/>
      <c r="V126" s="79"/>
      <c r="W126" s="79"/>
      <c r="X126" s="79"/>
      <c r="Y126" s="79"/>
      <c r="Z126" s="79"/>
    </row>
    <row r="127" spans="1:26" ht="15.75" hidden="1" outlineLevel="1" thickBot="1">
      <c r="A127" s="79"/>
      <c r="B127" s="218" t="s">
        <v>146</v>
      </c>
      <c r="C127" s="253"/>
      <c r="D127" s="270">
        <v>8</v>
      </c>
      <c r="E127" s="270">
        <v>1</v>
      </c>
      <c r="F127" s="219">
        <v>0</v>
      </c>
      <c r="G127" s="219"/>
      <c r="H127" s="219"/>
      <c r="I127" s="219"/>
      <c r="J127" s="254"/>
      <c r="K127" s="254"/>
      <c r="L127" s="219"/>
      <c r="M127" s="219"/>
      <c r="N127" s="219"/>
      <c r="O127" s="219"/>
      <c r="P127" s="219"/>
      <c r="Q127" s="254"/>
      <c r="R127" s="254"/>
      <c r="S127" s="79"/>
      <c r="T127" s="79"/>
      <c r="U127" s="79"/>
      <c r="V127" s="79"/>
      <c r="W127" s="79"/>
      <c r="X127" s="79"/>
      <c r="Y127" s="79"/>
      <c r="Z127" s="79"/>
    </row>
    <row r="128" spans="1:26" ht="15.75" hidden="1" outlineLevel="1" thickBot="1">
      <c r="A128" s="79"/>
      <c r="B128" s="220" t="s">
        <v>296</v>
      </c>
      <c r="C128" s="273"/>
      <c r="D128" s="221">
        <f>D132-(D121+D125+D126)</f>
        <v>8</v>
      </c>
      <c r="E128" s="221">
        <f t="shared" ref="E128:F128" si="8">E132-(E121+E125+E126)</f>
        <v>5</v>
      </c>
      <c r="F128" s="221">
        <f t="shared" si="8"/>
        <v>0</v>
      </c>
      <c r="G128" s="221"/>
      <c r="H128" s="221"/>
      <c r="I128" s="221"/>
      <c r="J128" s="256"/>
      <c r="K128" s="256"/>
      <c r="L128" s="221"/>
      <c r="M128" s="221"/>
      <c r="N128" s="221"/>
      <c r="O128" s="221"/>
      <c r="P128" s="221"/>
      <c r="Q128" s="256"/>
      <c r="R128" s="256"/>
      <c r="S128" s="79"/>
      <c r="T128" s="79"/>
      <c r="U128" s="79"/>
      <c r="V128" s="79"/>
      <c r="W128" s="79"/>
      <c r="X128" s="79"/>
      <c r="Y128" s="79"/>
      <c r="Z128" s="79"/>
    </row>
    <row r="129" spans="1:26" ht="15.75" hidden="1" outlineLevel="1" thickBot="1">
      <c r="A129" s="79"/>
      <c r="B129" s="222" t="s">
        <v>220</v>
      </c>
      <c r="C129" s="273">
        <v>4</v>
      </c>
      <c r="D129" s="230">
        <v>8</v>
      </c>
      <c r="E129" s="230">
        <v>4</v>
      </c>
      <c r="F129" s="230">
        <v>0</v>
      </c>
      <c r="G129" s="230"/>
      <c r="H129" s="230"/>
      <c r="I129" s="230"/>
      <c r="J129" s="247"/>
      <c r="K129" s="247"/>
      <c r="L129" s="230"/>
      <c r="M129" s="230"/>
      <c r="N129" s="230"/>
      <c r="O129" s="230"/>
      <c r="P129" s="230"/>
      <c r="Q129" s="247"/>
      <c r="R129" s="247"/>
      <c r="S129" s="79"/>
      <c r="T129" s="79"/>
      <c r="U129" s="79"/>
      <c r="V129" s="79"/>
      <c r="W129" s="79"/>
      <c r="X129" s="79"/>
      <c r="Y129" s="79"/>
      <c r="Z129" s="79"/>
    </row>
    <row r="130" spans="1:26" hidden="1" outlineLevel="1">
      <c r="A130" s="79"/>
      <c r="B130" s="223" t="s">
        <v>166</v>
      </c>
      <c r="C130" s="173"/>
      <c r="D130" s="224">
        <f>(D121+D125+D126)/D132</f>
        <v>0</v>
      </c>
      <c r="E130" s="224">
        <f t="shared" ref="E130:F130" si="9">(E121+E125+E126)/E132</f>
        <v>0.375</v>
      </c>
      <c r="F130" s="224">
        <f t="shared" si="9"/>
        <v>1</v>
      </c>
      <c r="G130" s="224"/>
      <c r="H130" s="224"/>
      <c r="I130" s="224"/>
      <c r="J130" s="257"/>
      <c r="K130" s="257"/>
      <c r="L130" s="224"/>
      <c r="M130" s="224"/>
      <c r="N130" s="224"/>
      <c r="O130" s="224"/>
      <c r="P130" s="224"/>
      <c r="Q130" s="257"/>
      <c r="R130" s="257"/>
      <c r="S130" s="79"/>
      <c r="T130" s="79"/>
      <c r="U130" s="79"/>
      <c r="V130" s="79"/>
      <c r="W130" s="79"/>
      <c r="X130" s="79"/>
      <c r="Y130" s="79"/>
      <c r="Z130" s="79"/>
    </row>
    <row r="131" spans="1:26" hidden="1" outlineLevel="1">
      <c r="A131" s="79"/>
      <c r="B131" s="225" t="s">
        <v>221</v>
      </c>
      <c r="C131" s="174"/>
      <c r="D131" s="226">
        <f>(D132-D129)/D132</f>
        <v>0</v>
      </c>
      <c r="E131" s="226">
        <f>(E132-E129)/E132</f>
        <v>0.5</v>
      </c>
      <c r="F131" s="226"/>
      <c r="G131" s="226"/>
      <c r="H131" s="226"/>
      <c r="I131" s="226"/>
      <c r="J131" s="258"/>
      <c r="K131" s="258"/>
      <c r="L131" s="226"/>
      <c r="M131" s="226"/>
      <c r="N131" s="226"/>
      <c r="O131" s="226"/>
      <c r="P131" s="226"/>
      <c r="Q131" s="258"/>
      <c r="R131" s="258"/>
      <c r="S131" s="79"/>
      <c r="T131" s="79"/>
      <c r="U131" s="79"/>
      <c r="V131" s="79"/>
      <c r="W131" s="79"/>
      <c r="X131" s="79"/>
      <c r="Y131" s="79"/>
      <c r="Z131" s="79"/>
    </row>
    <row r="132" spans="1:26" ht="15.75" hidden="1" outlineLevel="1" thickBot="1">
      <c r="A132" s="79"/>
      <c r="B132" s="229" t="s">
        <v>219</v>
      </c>
      <c r="C132" s="228">
        <v>8</v>
      </c>
      <c r="D132" s="228">
        <v>8</v>
      </c>
      <c r="E132" s="228">
        <v>8</v>
      </c>
      <c r="F132" s="228">
        <v>8</v>
      </c>
      <c r="G132" s="228"/>
      <c r="H132" s="228"/>
      <c r="I132" s="228"/>
      <c r="J132" s="248"/>
      <c r="K132" s="248"/>
      <c r="L132" s="228"/>
      <c r="M132" s="228"/>
      <c r="N132" s="228"/>
      <c r="O132" s="228"/>
      <c r="P132" s="228"/>
      <c r="Q132" s="248"/>
      <c r="R132" s="248"/>
      <c r="S132" s="79"/>
      <c r="T132" s="79"/>
      <c r="U132" s="79"/>
      <c r="V132" s="79"/>
      <c r="W132" s="79"/>
      <c r="X132" s="79"/>
      <c r="Y132" s="79"/>
      <c r="Z132" s="79"/>
    </row>
    <row r="133" spans="1:26" hidden="1" outlineLevel="1">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row>
    <row r="134" spans="1:26" ht="15.75" hidden="1" outlineLevel="1">
      <c r="A134" s="79"/>
      <c r="B134" s="79"/>
      <c r="C134" s="79"/>
      <c r="D134" s="379" t="s">
        <v>59</v>
      </c>
      <c r="E134" s="380" t="s">
        <v>60</v>
      </c>
      <c r="F134" s="381" t="s">
        <v>275</v>
      </c>
      <c r="G134" s="79"/>
      <c r="H134" s="79"/>
      <c r="I134" s="79"/>
      <c r="J134" s="79"/>
      <c r="K134" s="79"/>
      <c r="L134" s="79"/>
      <c r="M134" s="79"/>
      <c r="N134" s="79"/>
      <c r="O134" s="79"/>
      <c r="P134" s="79"/>
      <c r="Q134" s="79"/>
      <c r="R134" s="79"/>
      <c r="S134" s="79"/>
      <c r="T134" s="79"/>
      <c r="U134" s="79"/>
      <c r="V134" s="79"/>
      <c r="W134" s="79"/>
      <c r="X134" s="79"/>
      <c r="Y134" s="79"/>
      <c r="Z134" s="79"/>
    </row>
    <row r="135" spans="1:26" ht="21.75" hidden="1" outlineLevel="1" thickBot="1">
      <c r="A135" s="79"/>
      <c r="B135" s="294" t="s">
        <v>44</v>
      </c>
      <c r="C135" s="295"/>
      <c r="D135" s="300">
        <f>D136+D137+D138+D142</f>
        <v>0</v>
      </c>
      <c r="E135" s="300">
        <f t="shared" ref="E135:F135" si="10">E136+E137+E138+E142</f>
        <v>0</v>
      </c>
      <c r="F135" s="300">
        <f t="shared" si="10"/>
        <v>0</v>
      </c>
      <c r="G135" s="79"/>
      <c r="H135" s="79"/>
      <c r="I135" s="79"/>
      <c r="J135" s="79"/>
      <c r="K135" s="79"/>
      <c r="L135" s="79"/>
      <c r="M135" s="79"/>
      <c r="N135" s="79"/>
      <c r="O135" s="79"/>
      <c r="P135" s="79"/>
      <c r="Q135" s="79"/>
      <c r="R135" s="79"/>
      <c r="S135" s="79"/>
      <c r="T135" s="79"/>
      <c r="U135" s="79"/>
      <c r="V135" s="79"/>
      <c r="W135" s="79"/>
      <c r="X135" s="79"/>
      <c r="Y135" s="79"/>
      <c r="Z135" s="79"/>
    </row>
    <row r="136" spans="1:26" ht="21.75" hidden="1" outlineLevel="1" thickTop="1">
      <c r="A136" s="79"/>
      <c r="B136" s="296" t="s">
        <v>87</v>
      </c>
      <c r="C136" s="25"/>
      <c r="D136" s="301">
        <f>COUNTIF('Scripts and Execution'!AB1:AB1000,"Passed")</f>
        <v>0</v>
      </c>
      <c r="E136" s="301">
        <f>COUNTIF('Scripts and Execution'!AB1:AB1000,"Passed")</f>
        <v>0</v>
      </c>
      <c r="F136" s="301">
        <f>COUNTIF('Scripts and Execution'!AL1:AL1000,"Passed")</f>
        <v>0</v>
      </c>
      <c r="G136" s="79"/>
      <c r="H136" s="79"/>
      <c r="I136" s="79"/>
      <c r="J136" s="79"/>
      <c r="K136" s="79"/>
      <c r="L136" s="79"/>
      <c r="M136" s="79"/>
      <c r="N136" s="79"/>
      <c r="O136" s="79"/>
      <c r="P136" s="79"/>
      <c r="Q136" s="79"/>
      <c r="R136" s="79"/>
      <c r="S136" s="79"/>
      <c r="T136" s="79"/>
      <c r="U136" s="79"/>
      <c r="V136" s="79"/>
      <c r="W136" s="79"/>
      <c r="X136" s="79"/>
      <c r="Y136" s="79"/>
      <c r="Z136" s="79"/>
    </row>
    <row r="137" spans="1:26" ht="21" hidden="1" outlineLevel="1">
      <c r="A137" s="79"/>
      <c r="B137" s="297" t="s">
        <v>148</v>
      </c>
      <c r="C137" s="25"/>
      <c r="D137" s="301">
        <f>COUNTIF('Scripts and Execution'!AB1:AB1000,"Failed")</f>
        <v>0</v>
      </c>
      <c r="E137" s="301">
        <f>COUNTIF('Scripts and Execution'!AB1:AB1000,"Failed")</f>
        <v>0</v>
      </c>
      <c r="F137" s="301">
        <f>COUNTIF('Scripts and Execution'!AL1:AL1000,"Failed")</f>
        <v>0</v>
      </c>
      <c r="G137" s="79"/>
      <c r="H137" s="79"/>
      <c r="I137" s="79"/>
      <c r="J137" s="79"/>
      <c r="K137" s="79"/>
      <c r="L137" s="79"/>
      <c r="M137" s="79"/>
      <c r="N137" s="79"/>
      <c r="O137" s="79"/>
      <c r="P137" s="79"/>
      <c r="Q137" s="79"/>
      <c r="R137" s="79"/>
      <c r="S137" s="79"/>
      <c r="T137" s="79"/>
      <c r="U137" s="79"/>
      <c r="V137" s="79"/>
      <c r="W137" s="79"/>
      <c r="X137" s="79"/>
      <c r="Y137" s="79"/>
      <c r="Z137" s="79"/>
    </row>
    <row r="138" spans="1:26" ht="21" hidden="1" outlineLevel="1">
      <c r="A138" s="79"/>
      <c r="B138" s="297" t="s">
        <v>118</v>
      </c>
      <c r="C138" s="25"/>
      <c r="D138" s="301">
        <f>COUNTIF('Scripts and Execution'!AB1:AB1000,"Ongoing")</f>
        <v>0</v>
      </c>
      <c r="E138" s="301">
        <f>COUNTIF('Scripts and Execution'!AB1:AB1000,"Ongoing")</f>
        <v>0</v>
      </c>
      <c r="F138" s="301">
        <f>COUNTIF('Scripts and Execution'!AL1:AL1000,"Ongoing")</f>
        <v>0</v>
      </c>
      <c r="G138" s="79"/>
      <c r="H138" s="79"/>
      <c r="I138" s="79"/>
      <c r="J138" s="79"/>
      <c r="K138" s="79"/>
      <c r="L138" s="79"/>
      <c r="M138" s="79"/>
      <c r="N138" s="79"/>
      <c r="O138" s="79"/>
      <c r="P138" s="79"/>
      <c r="Q138" s="79"/>
      <c r="R138" s="79"/>
      <c r="S138" s="79"/>
      <c r="T138" s="79"/>
      <c r="U138" s="79"/>
      <c r="V138" s="79"/>
      <c r="W138" s="79"/>
      <c r="X138" s="79"/>
      <c r="Y138" s="79"/>
      <c r="Z138" s="79"/>
    </row>
    <row r="139" spans="1:26" ht="21" hidden="1" outlineLevel="1">
      <c r="A139" s="79"/>
      <c r="B139" s="297" t="s">
        <v>147</v>
      </c>
      <c r="C139" s="25"/>
      <c r="D139" s="301">
        <f>COUNTIF('Scripts and Execution'!AB1:AB1000,"Blocked")</f>
        <v>0</v>
      </c>
      <c r="E139" s="301">
        <f>COUNTIF('Scripts and Execution'!AB1:AB1000,"Blocked")</f>
        <v>0</v>
      </c>
      <c r="F139" s="301">
        <f>COUNTIF('Scripts and Execution'!AL1:AL1000,"Blocked")</f>
        <v>0</v>
      </c>
      <c r="G139" s="79"/>
      <c r="H139" s="79"/>
      <c r="I139" s="79"/>
      <c r="J139" s="79"/>
      <c r="K139" s="79"/>
      <c r="L139" s="79"/>
      <c r="M139" s="79"/>
      <c r="N139" s="79"/>
      <c r="O139" s="79"/>
      <c r="P139" s="79"/>
      <c r="Q139" s="79"/>
      <c r="R139" s="79"/>
      <c r="S139" s="79"/>
      <c r="T139" s="79"/>
      <c r="U139" s="79"/>
      <c r="V139" s="79"/>
      <c r="W139" s="79"/>
      <c r="X139" s="79"/>
      <c r="Y139" s="79"/>
      <c r="Z139" s="79"/>
    </row>
    <row r="140" spans="1:26" ht="21" hidden="1" outlineLevel="1">
      <c r="A140" s="79"/>
      <c r="B140" s="297" t="s">
        <v>149</v>
      </c>
      <c r="C140" s="25"/>
      <c r="D140" s="301">
        <f>COUNTIF('Scripts and Execution'!AB1:AB1000,"Deferred")</f>
        <v>0</v>
      </c>
      <c r="E140" s="301">
        <f>COUNTIF('Scripts and Execution'!AB1:AB1000,"Deferred")</f>
        <v>0</v>
      </c>
      <c r="F140" s="301">
        <f>COUNTIF('Scripts and Execution'!AL1:AL1000,"Deferred")</f>
        <v>0</v>
      </c>
      <c r="G140" s="79"/>
      <c r="H140" s="79"/>
      <c r="I140" s="79"/>
      <c r="J140" s="79"/>
      <c r="K140" s="79"/>
      <c r="L140" s="79"/>
      <c r="M140" s="79"/>
      <c r="N140" s="79"/>
      <c r="O140" s="79"/>
      <c r="P140" s="79"/>
      <c r="Q140" s="79"/>
      <c r="R140" s="79"/>
      <c r="S140" s="79"/>
      <c r="T140" s="79"/>
      <c r="U140" s="79"/>
      <c r="V140" s="79"/>
      <c r="W140" s="79"/>
      <c r="X140" s="79"/>
      <c r="Y140" s="79"/>
      <c r="Z140" s="79"/>
    </row>
    <row r="141" spans="1:26" ht="21" hidden="1" outlineLevel="1">
      <c r="A141" s="79"/>
      <c r="B141" s="297" t="s">
        <v>123</v>
      </c>
      <c r="C141" s="25"/>
      <c r="D141" s="301">
        <f>COUNTIF('Scripts and Execution'!AB1:AB1000,"Out-of-scope")</f>
        <v>0</v>
      </c>
      <c r="E141" s="301">
        <f>COUNTIF('Scripts and Execution'!AB1:AB1000,"Out-of-scope")</f>
        <v>0</v>
      </c>
      <c r="F141" s="301">
        <f>COUNTIF('Scripts and Execution'!AL1:AL1000,"Out-of-scope")</f>
        <v>0</v>
      </c>
      <c r="G141" s="79"/>
      <c r="H141" s="79"/>
      <c r="I141" s="79"/>
      <c r="J141" s="79"/>
      <c r="K141" s="79"/>
      <c r="L141" s="79"/>
      <c r="M141" s="79"/>
      <c r="N141" s="79"/>
      <c r="O141" s="79"/>
      <c r="P141" s="79"/>
      <c r="Q141" s="79"/>
      <c r="R141" s="79"/>
      <c r="S141" s="79"/>
      <c r="T141" s="79"/>
      <c r="U141" s="79"/>
      <c r="V141" s="79"/>
      <c r="W141" s="79"/>
      <c r="X141" s="79"/>
      <c r="Y141" s="79"/>
      <c r="Z141" s="79"/>
    </row>
    <row r="142" spans="1:26" ht="21" hidden="1" outlineLevel="1">
      <c r="A142" s="79"/>
      <c r="B142" s="298" t="s">
        <v>146</v>
      </c>
      <c r="C142" s="299"/>
      <c r="D142" s="302">
        <f>COUNTIF('Scripts and Execution'!AB1:AB1000,"Not Started")</f>
        <v>0</v>
      </c>
      <c r="E142" s="302">
        <f>COUNTIF('Scripts and Execution'!AB1:AB1000,"Not Started")</f>
        <v>0</v>
      </c>
      <c r="F142" s="302">
        <f>COUNTIF('Scripts and Execution'!AL1:AL1000,"Not Started")</f>
        <v>0</v>
      </c>
      <c r="G142" s="79"/>
      <c r="H142" s="79"/>
      <c r="I142" s="79"/>
      <c r="J142" s="79"/>
      <c r="K142" s="79"/>
      <c r="L142" s="79"/>
      <c r="M142" s="79"/>
      <c r="N142" s="79"/>
      <c r="O142" s="79"/>
      <c r="P142" s="79"/>
      <c r="Q142" s="79"/>
      <c r="R142" s="79"/>
      <c r="S142" s="79"/>
      <c r="T142" s="79"/>
      <c r="U142" s="79"/>
      <c r="V142" s="79"/>
      <c r="W142" s="79"/>
      <c r="X142" s="79"/>
      <c r="Y142" s="79"/>
      <c r="Z142" s="79"/>
    </row>
    <row r="143" spans="1:26" hidden="1" outlineLevel="1">
      <c r="A143" s="79"/>
      <c r="B143" s="79"/>
      <c r="C143" s="79"/>
      <c r="D143" s="79"/>
      <c r="E143" s="79"/>
      <c r="F143" s="79"/>
      <c r="G143" s="79"/>
      <c r="H143" s="79"/>
      <c r="I143" s="79"/>
      <c r="J143" s="79"/>
      <c r="K143" s="79"/>
      <c r="L143" s="79"/>
      <c r="M143" s="79"/>
      <c r="N143" s="79"/>
      <c r="O143" s="79"/>
      <c r="P143" s="79"/>
      <c r="Q143" s="79"/>
      <c r="R143" s="79"/>
      <c r="S143" s="79"/>
      <c r="T143" s="79"/>
      <c r="U143" s="79"/>
      <c r="V143" s="79"/>
      <c r="W143" s="79"/>
      <c r="X143" s="79"/>
      <c r="Y143" s="79"/>
      <c r="Z143" s="79"/>
    </row>
    <row r="144" spans="1:26" collapsed="1">
      <c r="A144" s="79"/>
      <c r="B144" s="79"/>
      <c r="C144" s="79"/>
      <c r="D144" s="79"/>
      <c r="E144" s="79"/>
      <c r="F144" s="79"/>
      <c r="G144" s="79"/>
      <c r="H144" s="79"/>
      <c r="I144" s="79"/>
      <c r="J144" s="79"/>
      <c r="K144" s="79"/>
      <c r="L144" s="79"/>
      <c r="M144" s="79"/>
      <c r="N144" s="79"/>
      <c r="O144" s="79"/>
      <c r="P144" s="79"/>
      <c r="Q144" s="79"/>
      <c r="R144" s="79"/>
      <c r="S144" s="79"/>
      <c r="T144" s="79"/>
      <c r="U144" s="79"/>
      <c r="V144" s="79"/>
      <c r="W144" s="79"/>
      <c r="X144" s="79"/>
      <c r="Y144" s="79"/>
      <c r="Z144" s="79"/>
    </row>
    <row r="145" spans="1:26" ht="24" customHeight="1">
      <c r="A145" s="79"/>
      <c r="B145" s="286" t="s">
        <v>242</v>
      </c>
      <c r="C145" s="286"/>
      <c r="D145" s="286"/>
      <c r="E145" s="286"/>
      <c r="F145" s="286"/>
      <c r="G145" s="286"/>
      <c r="H145" s="286"/>
      <c r="I145" s="286"/>
      <c r="J145" s="286"/>
      <c r="K145" s="286"/>
      <c r="L145" s="286"/>
      <c r="M145" s="286"/>
      <c r="N145" s="286"/>
      <c r="O145" s="286"/>
      <c r="P145" s="286"/>
      <c r="Q145" s="286"/>
      <c r="R145" s="286"/>
      <c r="S145" s="286"/>
      <c r="T145" s="286"/>
      <c r="U145" s="286"/>
      <c r="V145" s="286"/>
      <c r="W145" s="79"/>
      <c r="X145" s="79"/>
      <c r="Y145" s="79"/>
      <c r="Z145" s="79"/>
    </row>
    <row r="146" spans="1:26">
      <c r="A146" s="79"/>
      <c r="B146" s="79"/>
      <c r="C146" s="79"/>
      <c r="D146" s="79"/>
      <c r="E146" s="79"/>
      <c r="F146" s="79"/>
      <c r="G146" s="79"/>
      <c r="H146" s="79"/>
      <c r="I146" s="79"/>
      <c r="J146" s="79"/>
      <c r="K146" s="79"/>
      <c r="L146" s="79"/>
      <c r="M146" s="79"/>
      <c r="N146" s="79"/>
      <c r="O146" s="79"/>
      <c r="P146" s="79"/>
      <c r="Q146" s="79"/>
      <c r="R146" s="79"/>
      <c r="S146" s="79"/>
      <c r="T146" s="79"/>
      <c r="U146" s="79"/>
      <c r="V146" s="79"/>
      <c r="W146" s="79"/>
      <c r="X146" s="79"/>
      <c r="Y146" s="79"/>
      <c r="Z146" s="79"/>
    </row>
    <row r="147" spans="1:26">
      <c r="A147" s="79"/>
      <c r="B147" s="79"/>
      <c r="C147" s="79"/>
      <c r="D147" s="79"/>
      <c r="E147" s="79"/>
      <c r="F147" s="79"/>
      <c r="G147" s="79"/>
      <c r="H147" s="79"/>
      <c r="I147" s="79"/>
      <c r="J147" s="79"/>
      <c r="K147" s="79"/>
      <c r="L147" s="79"/>
      <c r="M147" s="79"/>
      <c r="N147" s="79"/>
      <c r="O147" s="79"/>
      <c r="P147" s="79"/>
      <c r="Q147" s="79"/>
      <c r="R147" s="79"/>
      <c r="S147" s="79"/>
      <c r="T147" s="79"/>
      <c r="U147" s="79"/>
      <c r="V147" s="79"/>
      <c r="W147" s="79"/>
      <c r="X147" s="79"/>
      <c r="Y147" s="79"/>
      <c r="Z147" s="79"/>
    </row>
    <row r="148" spans="1:26">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row>
    <row r="149" spans="1:26">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row>
    <row r="150" spans="1:26">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row>
    <row r="151" spans="1:26">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row>
    <row r="152" spans="1:26">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row>
    <row r="153" spans="1:26">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row>
    <row r="154" spans="1:26">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row>
    <row r="155" spans="1:26">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row>
    <row r="156" spans="1:26">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row>
    <row r="157" spans="1:26">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row>
    <row r="158" spans="1:26">
      <c r="A158" s="79"/>
      <c r="B158" s="79"/>
      <c r="C158" s="79"/>
      <c r="D158" s="79"/>
      <c r="E158" s="79"/>
      <c r="F158" s="79"/>
      <c r="G158" s="79"/>
      <c r="H158" s="87"/>
      <c r="I158" s="87"/>
      <c r="J158" s="79"/>
      <c r="K158" s="79"/>
      <c r="L158" s="79"/>
      <c r="M158" s="79"/>
      <c r="N158" s="79"/>
      <c r="O158" s="79"/>
      <c r="P158" s="79"/>
      <c r="Q158" s="79"/>
      <c r="R158" s="79"/>
      <c r="S158" s="79"/>
      <c r="T158" s="79"/>
      <c r="U158" s="79"/>
      <c r="V158" s="79"/>
      <c r="W158" s="79"/>
      <c r="X158" s="79"/>
      <c r="Y158" s="79"/>
      <c r="Z158" s="79"/>
    </row>
    <row r="159" spans="1:26">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row>
    <row r="160" spans="1:26">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row>
    <row r="161" spans="1:26">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row>
    <row r="162" spans="1:26">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row>
    <row r="163" spans="1:26">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row>
    <row r="164" spans="1:26">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row>
    <row r="165" spans="1:26">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row>
    <row r="166" spans="1:26" ht="15.75" hidden="1" outlineLevel="1" thickBot="1">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row>
    <row r="167" spans="1:26" ht="15.75" hidden="1" outlineLevel="1" thickBot="1">
      <c r="A167" s="79"/>
      <c r="B167" s="215"/>
      <c r="C167" s="227" t="s">
        <v>168</v>
      </c>
      <c r="D167" s="269">
        <v>42736</v>
      </c>
      <c r="E167" s="269">
        <v>42737</v>
      </c>
      <c r="F167" s="269">
        <v>42738</v>
      </c>
      <c r="G167" s="269">
        <v>42739</v>
      </c>
      <c r="H167" s="269">
        <v>42740</v>
      </c>
      <c r="I167" s="269">
        <v>42741</v>
      </c>
      <c r="J167" s="269">
        <v>42742</v>
      </c>
      <c r="K167" s="269">
        <v>42743</v>
      </c>
      <c r="L167" s="269">
        <v>42744</v>
      </c>
      <c r="M167" s="269">
        <v>42745</v>
      </c>
      <c r="N167" s="269">
        <v>42746</v>
      </c>
      <c r="O167" s="269">
        <v>42747</v>
      </c>
      <c r="P167" s="269">
        <v>42748</v>
      </c>
      <c r="Q167" s="269">
        <v>42749</v>
      </c>
      <c r="R167" s="269">
        <v>42750</v>
      </c>
      <c r="S167" s="79"/>
      <c r="T167" s="79"/>
      <c r="U167" s="79"/>
      <c r="V167" s="79"/>
      <c r="W167" s="79"/>
      <c r="X167" s="79"/>
      <c r="Y167" s="79"/>
      <c r="Z167" s="79"/>
    </row>
    <row r="168" spans="1:26" hidden="1" outlineLevel="1">
      <c r="A168" s="79"/>
      <c r="B168" s="216" t="s">
        <v>87</v>
      </c>
      <c r="C168" s="265"/>
      <c r="D168" s="270">
        <v>5</v>
      </c>
      <c r="E168" s="270">
        <v>6</v>
      </c>
      <c r="F168" s="270"/>
      <c r="G168" s="270"/>
      <c r="H168" s="270"/>
      <c r="I168" s="270"/>
      <c r="J168" s="271"/>
      <c r="K168" s="271"/>
      <c r="L168" s="270"/>
      <c r="M168" s="270"/>
      <c r="N168" s="270"/>
      <c r="O168" s="270"/>
      <c r="P168" s="270"/>
      <c r="Q168" s="271"/>
      <c r="R168" s="271"/>
      <c r="S168" s="79"/>
      <c r="T168" s="79"/>
      <c r="U168" s="79"/>
      <c r="V168" s="79"/>
      <c r="W168" s="79"/>
      <c r="X168" s="79"/>
      <c r="Y168" s="79"/>
      <c r="Z168" s="79"/>
    </row>
    <row r="169" spans="1:26" hidden="1" outlineLevel="1">
      <c r="A169" s="79"/>
      <c r="B169" s="250" t="s">
        <v>148</v>
      </c>
      <c r="C169" s="266"/>
      <c r="D169" s="270">
        <v>0</v>
      </c>
      <c r="E169" s="270">
        <v>0</v>
      </c>
      <c r="F169" s="270"/>
      <c r="G169" s="270"/>
      <c r="H169" s="270"/>
      <c r="I169" s="270"/>
      <c r="J169" s="271"/>
      <c r="K169" s="271"/>
      <c r="L169" s="270"/>
      <c r="M169" s="270"/>
      <c r="N169" s="270"/>
      <c r="O169" s="270"/>
      <c r="P169" s="270"/>
      <c r="Q169" s="271"/>
      <c r="R169" s="271"/>
      <c r="S169" s="79"/>
      <c r="T169" s="79"/>
      <c r="U169" s="79"/>
      <c r="V169" s="79"/>
      <c r="W169" s="79"/>
      <c r="X169" s="79"/>
      <c r="Y169" s="79"/>
      <c r="Z169" s="79"/>
    </row>
    <row r="170" spans="1:26" hidden="1" outlineLevel="1">
      <c r="A170" s="79"/>
      <c r="B170" s="218" t="s">
        <v>169</v>
      </c>
      <c r="C170" s="266"/>
      <c r="D170" s="270">
        <v>0</v>
      </c>
      <c r="E170" s="270">
        <v>0</v>
      </c>
      <c r="F170" s="270"/>
      <c r="G170" s="270"/>
      <c r="H170" s="270"/>
      <c r="I170" s="270"/>
      <c r="J170" s="271"/>
      <c r="K170" s="271"/>
      <c r="L170" s="270"/>
      <c r="M170" s="270"/>
      <c r="N170" s="270"/>
      <c r="O170" s="270"/>
      <c r="P170" s="270"/>
      <c r="Q170" s="271"/>
      <c r="R170" s="271"/>
      <c r="S170" s="79"/>
      <c r="T170" s="79"/>
      <c r="U170" s="79"/>
      <c r="V170" s="79"/>
      <c r="W170" s="79"/>
      <c r="X170" s="79"/>
      <c r="Y170" s="79"/>
      <c r="Z170" s="79"/>
    </row>
    <row r="171" spans="1:26" hidden="1" outlineLevel="1">
      <c r="A171" s="79"/>
      <c r="B171" s="218" t="s">
        <v>147</v>
      </c>
      <c r="C171" s="267"/>
      <c r="D171" s="270">
        <v>0</v>
      </c>
      <c r="E171" s="270">
        <v>0</v>
      </c>
      <c r="F171" s="270"/>
      <c r="G171" s="270"/>
      <c r="H171" s="270"/>
      <c r="I171" s="270"/>
      <c r="J171" s="271"/>
      <c r="K171" s="271"/>
      <c r="L171" s="270"/>
      <c r="M171" s="270"/>
      <c r="N171" s="270"/>
      <c r="O171" s="270"/>
      <c r="P171" s="270"/>
      <c r="Q171" s="271"/>
      <c r="R171" s="271"/>
      <c r="S171" s="79"/>
      <c r="T171" s="79"/>
      <c r="U171" s="79"/>
      <c r="V171" s="79"/>
      <c r="W171" s="79"/>
      <c r="X171" s="79"/>
      <c r="Y171" s="79"/>
      <c r="Z171" s="79"/>
    </row>
    <row r="172" spans="1:26" hidden="1" outlineLevel="1">
      <c r="A172" s="79"/>
      <c r="B172" s="250" t="s">
        <v>149</v>
      </c>
      <c r="C172" s="268"/>
      <c r="D172" s="270">
        <v>1</v>
      </c>
      <c r="E172" s="270">
        <v>1</v>
      </c>
      <c r="F172" s="270"/>
      <c r="G172" s="270"/>
      <c r="H172" s="270"/>
      <c r="I172" s="270"/>
      <c r="J172" s="271"/>
      <c r="K172" s="271"/>
      <c r="L172" s="270"/>
      <c r="M172" s="270"/>
      <c r="N172" s="270"/>
      <c r="O172" s="270"/>
      <c r="P172" s="270"/>
      <c r="Q172" s="271"/>
      <c r="R172" s="271"/>
      <c r="S172" s="79"/>
      <c r="T172" s="79"/>
      <c r="U172" s="79"/>
      <c r="V172" s="79"/>
      <c r="W172" s="79"/>
      <c r="X172" s="79"/>
      <c r="Y172" s="79"/>
      <c r="Z172" s="79"/>
    </row>
    <row r="173" spans="1:26" hidden="1" outlineLevel="1">
      <c r="A173" s="79"/>
      <c r="B173" s="250" t="s">
        <v>123</v>
      </c>
      <c r="C173" s="253"/>
      <c r="D173" s="270">
        <v>1</v>
      </c>
      <c r="E173" s="251">
        <v>1</v>
      </c>
      <c r="F173" s="251"/>
      <c r="G173" s="251"/>
      <c r="H173" s="251"/>
      <c r="I173" s="251"/>
      <c r="J173" s="255"/>
      <c r="K173" s="255"/>
      <c r="L173" s="251"/>
      <c r="M173" s="251"/>
      <c r="N173" s="251"/>
      <c r="O173" s="251"/>
      <c r="P173" s="251"/>
      <c r="Q173" s="255"/>
      <c r="R173" s="255"/>
      <c r="S173" s="79"/>
      <c r="T173" s="79"/>
      <c r="U173" s="79"/>
      <c r="V173" s="79"/>
      <c r="W173" s="79"/>
      <c r="X173" s="79"/>
      <c r="Y173" s="79"/>
      <c r="Z173" s="79"/>
    </row>
    <row r="174" spans="1:26" ht="15.75" hidden="1" outlineLevel="1" thickBot="1">
      <c r="A174" s="79"/>
      <c r="B174" s="218" t="s">
        <v>146</v>
      </c>
      <c r="C174" s="253"/>
      <c r="D174" s="270">
        <v>1</v>
      </c>
      <c r="E174" s="219">
        <v>0</v>
      </c>
      <c r="F174" s="219"/>
      <c r="G174" s="219"/>
      <c r="H174" s="219"/>
      <c r="I174" s="219"/>
      <c r="J174" s="254"/>
      <c r="K174" s="254"/>
      <c r="L174" s="219"/>
      <c r="M174" s="219"/>
      <c r="N174" s="219"/>
      <c r="O174" s="219"/>
      <c r="P174" s="219"/>
      <c r="Q174" s="254"/>
      <c r="R174" s="254"/>
      <c r="S174" s="79"/>
      <c r="T174" s="79"/>
      <c r="U174" s="79"/>
      <c r="V174" s="79"/>
      <c r="W174" s="79"/>
      <c r="X174" s="79"/>
      <c r="Y174" s="79"/>
      <c r="Z174" s="79"/>
    </row>
    <row r="175" spans="1:26" ht="15.75" hidden="1" outlineLevel="1" thickBot="1">
      <c r="A175" s="79"/>
      <c r="B175" s="220" t="s">
        <v>296</v>
      </c>
      <c r="C175" s="273"/>
      <c r="D175" s="221">
        <f>D179-(D168+D172+D173)</f>
        <v>1</v>
      </c>
      <c r="E175" s="221">
        <f>E179-(E168+E172+E173)</f>
        <v>0</v>
      </c>
      <c r="F175" s="221"/>
      <c r="G175" s="221"/>
      <c r="H175" s="221"/>
      <c r="I175" s="221"/>
      <c r="J175" s="256"/>
      <c r="K175" s="256"/>
      <c r="L175" s="221"/>
      <c r="M175" s="221"/>
      <c r="N175" s="221"/>
      <c r="O175" s="221"/>
      <c r="P175" s="221"/>
      <c r="Q175" s="256"/>
      <c r="R175" s="256"/>
      <c r="S175" s="79"/>
      <c r="T175" s="79"/>
      <c r="U175" s="79"/>
      <c r="V175" s="79"/>
      <c r="W175" s="79"/>
      <c r="X175" s="79"/>
      <c r="Y175" s="79"/>
      <c r="Z175" s="79"/>
    </row>
    <row r="176" spans="1:26" ht="15.75" hidden="1" outlineLevel="1" thickBot="1">
      <c r="A176" s="79"/>
      <c r="B176" s="222" t="s">
        <v>220</v>
      </c>
      <c r="C176" s="273">
        <v>4</v>
      </c>
      <c r="D176" s="230">
        <v>8</v>
      </c>
      <c r="E176" s="230">
        <v>0</v>
      </c>
      <c r="F176" s="230"/>
      <c r="G176" s="230"/>
      <c r="H176" s="230"/>
      <c r="I176" s="230"/>
      <c r="J176" s="247"/>
      <c r="K176" s="247"/>
      <c r="L176" s="230"/>
      <c r="M176" s="230"/>
      <c r="N176" s="230"/>
      <c r="O176" s="230"/>
      <c r="P176" s="230"/>
      <c r="Q176" s="247"/>
      <c r="R176" s="247"/>
      <c r="S176" s="79"/>
      <c r="T176" s="79"/>
      <c r="U176" s="79"/>
      <c r="V176" s="79"/>
      <c r="W176" s="79"/>
      <c r="X176" s="79"/>
      <c r="Y176" s="79"/>
      <c r="Z176" s="79"/>
    </row>
    <row r="177" spans="1:26" hidden="1" outlineLevel="1">
      <c r="A177" s="79"/>
      <c r="B177" s="223" t="s">
        <v>166</v>
      </c>
      <c r="C177" s="173"/>
      <c r="D177" s="224">
        <f>(D168+D172+D173)/D179</f>
        <v>0.875</v>
      </c>
      <c r="E177" s="224">
        <f>(E168+E172+E173)/E179</f>
        <v>1</v>
      </c>
      <c r="F177" s="224"/>
      <c r="G177" s="224"/>
      <c r="H177" s="224"/>
      <c r="I177" s="224"/>
      <c r="J177" s="257"/>
      <c r="K177" s="257"/>
      <c r="L177" s="224"/>
      <c r="M177" s="224"/>
      <c r="N177" s="224"/>
      <c r="O177" s="224"/>
      <c r="P177" s="224"/>
      <c r="Q177" s="257"/>
      <c r="R177" s="257"/>
      <c r="S177" s="79"/>
      <c r="T177" s="79"/>
      <c r="U177" s="79"/>
      <c r="V177" s="79"/>
      <c r="W177" s="79"/>
      <c r="X177" s="79"/>
      <c r="Y177" s="79"/>
      <c r="Z177" s="79"/>
    </row>
    <row r="178" spans="1:26" hidden="1" outlineLevel="1">
      <c r="A178" s="79"/>
      <c r="B178" s="225" t="s">
        <v>221</v>
      </c>
      <c r="C178" s="174"/>
      <c r="D178" s="226">
        <f>(D179-D176)/D179</f>
        <v>0</v>
      </c>
      <c r="E178" s="226">
        <f>(E179-E176)/E179</f>
        <v>1</v>
      </c>
      <c r="F178" s="226"/>
      <c r="G178" s="226"/>
      <c r="H178" s="226"/>
      <c r="I178" s="226"/>
      <c r="J178" s="258"/>
      <c r="K178" s="258"/>
      <c r="L178" s="226"/>
      <c r="M178" s="226"/>
      <c r="N178" s="226"/>
      <c r="O178" s="226"/>
      <c r="P178" s="226"/>
      <c r="Q178" s="258"/>
      <c r="R178" s="258"/>
      <c r="S178" s="79"/>
      <c r="T178" s="79"/>
      <c r="U178" s="79"/>
      <c r="V178" s="79"/>
      <c r="W178" s="79"/>
      <c r="X178" s="79"/>
      <c r="Y178" s="79"/>
      <c r="Z178" s="79"/>
    </row>
    <row r="179" spans="1:26" ht="15.75" hidden="1" outlineLevel="1" thickBot="1">
      <c r="A179" s="79"/>
      <c r="B179" s="229" t="s">
        <v>219</v>
      </c>
      <c r="C179" s="228">
        <v>8</v>
      </c>
      <c r="D179" s="228">
        <v>8</v>
      </c>
      <c r="E179" s="228">
        <v>8</v>
      </c>
      <c r="F179" s="228"/>
      <c r="G179" s="228"/>
      <c r="H179" s="228"/>
      <c r="I179" s="228"/>
      <c r="J179" s="248"/>
      <c r="K179" s="248"/>
      <c r="L179" s="228"/>
      <c r="M179" s="228"/>
      <c r="N179" s="228"/>
      <c r="O179" s="228"/>
      <c r="P179" s="228"/>
      <c r="Q179" s="248"/>
      <c r="R179" s="248"/>
      <c r="S179" s="79"/>
      <c r="T179" s="79"/>
      <c r="U179" s="79"/>
      <c r="V179" s="79"/>
      <c r="W179" s="79"/>
      <c r="X179" s="79"/>
      <c r="Y179" s="79"/>
      <c r="Z179" s="79"/>
    </row>
    <row r="180" spans="1:26" hidden="1" outlineLevel="1">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row>
    <row r="181" spans="1:26" ht="15.75" hidden="1" outlineLevel="1">
      <c r="A181" s="79"/>
      <c r="B181" s="79"/>
      <c r="C181" s="79"/>
      <c r="D181" s="379" t="s">
        <v>59</v>
      </c>
      <c r="E181" s="380" t="s">
        <v>60</v>
      </c>
      <c r="F181" s="381" t="s">
        <v>275</v>
      </c>
      <c r="G181" s="79"/>
      <c r="H181" s="79"/>
      <c r="I181" s="79"/>
      <c r="J181" s="79"/>
      <c r="K181" s="79"/>
      <c r="L181" s="79"/>
      <c r="M181" s="79"/>
      <c r="N181" s="79"/>
      <c r="O181" s="79"/>
      <c r="P181" s="79"/>
      <c r="Q181" s="79"/>
      <c r="R181" s="79"/>
      <c r="S181" s="79"/>
      <c r="T181" s="79"/>
      <c r="U181" s="79"/>
      <c r="V181" s="79"/>
      <c r="W181" s="79"/>
      <c r="X181" s="79"/>
      <c r="Y181" s="79"/>
      <c r="Z181" s="79"/>
    </row>
    <row r="182" spans="1:26" ht="21.75" hidden="1" outlineLevel="1" thickBot="1">
      <c r="A182" s="79"/>
      <c r="B182" s="294" t="s">
        <v>156</v>
      </c>
      <c r="C182" s="295"/>
      <c r="D182" s="300">
        <f>D183+D184+D185+D189</f>
        <v>0</v>
      </c>
      <c r="E182" s="300">
        <f t="shared" ref="E182:F182" si="11">E183+E184+E185+E189</f>
        <v>0</v>
      </c>
      <c r="F182" s="300">
        <f t="shared" si="11"/>
        <v>0</v>
      </c>
      <c r="G182" s="79"/>
      <c r="H182" s="79"/>
      <c r="I182" s="79"/>
      <c r="J182" s="79"/>
      <c r="K182" s="79"/>
      <c r="L182" s="79"/>
      <c r="M182" s="79"/>
      <c r="N182" s="79"/>
      <c r="O182" s="79"/>
      <c r="P182" s="79"/>
      <c r="Q182" s="79"/>
      <c r="R182" s="79"/>
      <c r="S182" s="79"/>
      <c r="T182" s="79"/>
      <c r="U182" s="79"/>
      <c r="V182" s="79"/>
      <c r="W182" s="79"/>
      <c r="X182" s="79"/>
      <c r="Y182" s="79"/>
      <c r="Z182" s="79"/>
    </row>
    <row r="183" spans="1:26" ht="21.75" hidden="1" outlineLevel="1" thickTop="1">
      <c r="A183" s="79"/>
      <c r="B183" s="296" t="s">
        <v>87</v>
      </c>
      <c r="C183" s="25"/>
      <c r="D183" s="301">
        <f>COUNTIF('Scripts and Execution'!AQ1:AQ1000,"Passed")</f>
        <v>0</v>
      </c>
      <c r="E183" s="301">
        <f>COUNTIF('Scripts and Execution'!AV1:AV1000,"Passed")</f>
        <v>0</v>
      </c>
      <c r="F183" s="301">
        <f>COUNTIF('Scripts and Execution'!BA1:BA1000,"Passed")</f>
        <v>0</v>
      </c>
      <c r="G183" s="79"/>
      <c r="H183" s="79"/>
      <c r="I183" s="79"/>
      <c r="J183" s="79"/>
      <c r="K183" s="79"/>
      <c r="L183" s="79"/>
      <c r="M183" s="79"/>
      <c r="N183" s="79"/>
      <c r="O183" s="79"/>
      <c r="P183" s="79"/>
      <c r="Q183" s="79"/>
      <c r="R183" s="79"/>
      <c r="S183" s="79"/>
      <c r="T183" s="79"/>
      <c r="U183" s="79"/>
      <c r="V183" s="79"/>
      <c r="W183" s="79"/>
      <c r="X183" s="79"/>
      <c r="Y183" s="79"/>
      <c r="Z183" s="79"/>
    </row>
    <row r="184" spans="1:26" ht="21" hidden="1" outlineLevel="1">
      <c r="A184" s="79"/>
      <c r="B184" s="297" t="s">
        <v>148</v>
      </c>
      <c r="C184" s="25"/>
      <c r="D184" s="301">
        <f>COUNTIF('Scripts and Execution'!AQ1:AQ1000,"Failed")</f>
        <v>0</v>
      </c>
      <c r="E184" s="301">
        <f>COUNTIF('Scripts and Execution'!AV1:AV1000,"Failed")</f>
        <v>0</v>
      </c>
      <c r="F184" s="301">
        <f>COUNTIF('Scripts and Execution'!BA1:BA1000,"Failed")</f>
        <v>0</v>
      </c>
      <c r="G184" s="79"/>
      <c r="H184" s="79"/>
      <c r="I184" s="79"/>
      <c r="J184" s="79"/>
      <c r="K184" s="79"/>
      <c r="L184" s="79"/>
      <c r="M184" s="79"/>
      <c r="N184" s="79"/>
      <c r="O184" s="79"/>
      <c r="P184" s="79"/>
      <c r="Q184" s="79"/>
      <c r="R184" s="79"/>
      <c r="S184" s="79"/>
      <c r="T184" s="79"/>
      <c r="U184" s="79"/>
      <c r="V184" s="79"/>
      <c r="W184" s="79"/>
      <c r="X184" s="79"/>
      <c r="Y184" s="79"/>
      <c r="Z184" s="79"/>
    </row>
    <row r="185" spans="1:26" ht="21" hidden="1" outlineLevel="1">
      <c r="A185" s="79"/>
      <c r="B185" s="297" t="s">
        <v>118</v>
      </c>
      <c r="C185" s="25"/>
      <c r="D185" s="301">
        <f>COUNTIF('Scripts and Execution'!AQ1:AQ1000,"Ongoing")</f>
        <v>0</v>
      </c>
      <c r="E185" s="301">
        <f>COUNTIF('Scripts and Execution'!AV1:AV1000,"Ongoing")</f>
        <v>0</v>
      </c>
      <c r="F185" s="301">
        <f>COUNTIF('Scripts and Execution'!BA1:BA1000,"Ongoing")</f>
        <v>0</v>
      </c>
      <c r="G185" s="79"/>
      <c r="H185" s="79"/>
      <c r="I185" s="79"/>
      <c r="J185" s="79"/>
      <c r="K185" s="79"/>
      <c r="L185" s="79"/>
      <c r="M185" s="79"/>
      <c r="N185" s="79"/>
      <c r="O185" s="79"/>
      <c r="P185" s="79"/>
      <c r="Q185" s="79"/>
      <c r="R185" s="79"/>
      <c r="S185" s="79"/>
      <c r="T185" s="79"/>
      <c r="U185" s="79"/>
      <c r="V185" s="79"/>
      <c r="W185" s="79"/>
      <c r="X185" s="79"/>
      <c r="Y185" s="79"/>
      <c r="Z185" s="79"/>
    </row>
    <row r="186" spans="1:26" ht="21" hidden="1" outlineLevel="1">
      <c r="A186" s="79"/>
      <c r="B186" s="297" t="s">
        <v>147</v>
      </c>
      <c r="C186" s="25"/>
      <c r="D186" s="301">
        <f>COUNTIF('Scripts and Execution'!AQ1:AQ1000,"Blocked")</f>
        <v>0</v>
      </c>
      <c r="E186" s="301">
        <f>COUNTIF('Scripts and Execution'!AV1:AV1000,"Blocked")</f>
        <v>0</v>
      </c>
      <c r="F186" s="301">
        <f>COUNTIF('Scripts and Execution'!BA1:BA1000,"Blocked")</f>
        <v>0</v>
      </c>
      <c r="G186" s="79"/>
      <c r="H186" s="79"/>
      <c r="I186" s="79"/>
      <c r="J186" s="79"/>
      <c r="K186" s="79"/>
      <c r="L186" s="79"/>
      <c r="M186" s="79"/>
      <c r="N186" s="79"/>
      <c r="O186" s="79"/>
      <c r="P186" s="79"/>
      <c r="Q186" s="79"/>
      <c r="R186" s="79"/>
      <c r="S186" s="79"/>
      <c r="T186" s="79"/>
      <c r="U186" s="79"/>
      <c r="V186" s="79"/>
      <c r="W186" s="79"/>
      <c r="X186" s="79"/>
      <c r="Y186" s="79"/>
      <c r="Z186" s="79"/>
    </row>
    <row r="187" spans="1:26" ht="21" hidden="1" outlineLevel="1">
      <c r="A187" s="79"/>
      <c r="B187" s="297" t="s">
        <v>149</v>
      </c>
      <c r="C187" s="25"/>
      <c r="D187" s="301">
        <f>COUNTIF('Scripts and Execution'!AQ1:AQ1000,"Deferred")</f>
        <v>0</v>
      </c>
      <c r="E187" s="301">
        <f>COUNTIF('Scripts and Execution'!AV1:AV1000,"Deferred")</f>
        <v>0</v>
      </c>
      <c r="F187" s="301">
        <f>COUNTIF('Scripts and Execution'!BA1:BA1000,"Deferred")</f>
        <v>0</v>
      </c>
      <c r="G187" s="79"/>
      <c r="H187" s="79"/>
      <c r="I187" s="79"/>
      <c r="J187" s="79"/>
      <c r="K187" s="79"/>
      <c r="L187" s="79"/>
      <c r="M187" s="79"/>
      <c r="N187" s="79"/>
      <c r="O187" s="79"/>
      <c r="P187" s="79"/>
      <c r="Q187" s="79"/>
      <c r="R187" s="79"/>
      <c r="S187" s="79"/>
      <c r="T187" s="79"/>
      <c r="U187" s="79"/>
      <c r="V187" s="79"/>
      <c r="W187" s="79"/>
      <c r="X187" s="79"/>
      <c r="Y187" s="79"/>
      <c r="Z187" s="79"/>
    </row>
    <row r="188" spans="1:26" ht="21" hidden="1" outlineLevel="1">
      <c r="A188" s="79"/>
      <c r="B188" s="297" t="s">
        <v>123</v>
      </c>
      <c r="C188" s="25"/>
      <c r="D188" s="301">
        <f>COUNTIF('Scripts and Execution'!AQ1:AQ1000,"Out-of-scope")</f>
        <v>0</v>
      </c>
      <c r="E188" s="301">
        <f>COUNTIF('Scripts and Execution'!AV1:AV1000,"Out-of-scope")</f>
        <v>0</v>
      </c>
      <c r="F188" s="301">
        <f>COUNTIF('Scripts and Execution'!BA1:BA1000,"Out-of-scope")</f>
        <v>0</v>
      </c>
      <c r="G188" s="79"/>
      <c r="H188" s="79"/>
      <c r="I188" s="79"/>
      <c r="J188" s="79"/>
      <c r="K188" s="79"/>
      <c r="L188" s="79"/>
      <c r="M188" s="79"/>
      <c r="N188" s="79"/>
      <c r="O188" s="79"/>
      <c r="P188" s="79"/>
      <c r="Q188" s="79"/>
      <c r="R188" s="79"/>
      <c r="S188" s="79"/>
      <c r="T188" s="79"/>
      <c r="U188" s="79"/>
      <c r="V188" s="79"/>
      <c r="W188" s="79"/>
      <c r="X188" s="79"/>
      <c r="Y188" s="79"/>
      <c r="Z188" s="79"/>
    </row>
    <row r="189" spans="1:26" ht="21" hidden="1" outlineLevel="1">
      <c r="A189" s="79"/>
      <c r="B189" s="298" t="s">
        <v>146</v>
      </c>
      <c r="C189" s="299"/>
      <c r="D189" s="302">
        <f>COUNTIF('Scripts and Execution'!AQ1:AQ1000,"Not Started")</f>
        <v>0</v>
      </c>
      <c r="E189" s="302">
        <f>COUNTIF('Scripts and Execution'!AV1:AV1000,"Not Started")</f>
        <v>0</v>
      </c>
      <c r="F189" s="302">
        <f>COUNTIF('Scripts and Execution'!BA1:BA1000,"Not Started")</f>
        <v>0</v>
      </c>
      <c r="G189" s="79"/>
      <c r="H189" s="79"/>
      <c r="I189" s="79"/>
      <c r="J189" s="79"/>
      <c r="K189" s="79"/>
      <c r="L189" s="79"/>
      <c r="M189" s="79"/>
      <c r="N189" s="79"/>
      <c r="O189" s="79"/>
      <c r="P189" s="79"/>
      <c r="Q189" s="79"/>
      <c r="R189" s="79"/>
      <c r="S189" s="79"/>
      <c r="T189" s="79"/>
      <c r="U189" s="79"/>
      <c r="V189" s="79"/>
      <c r="W189" s="79"/>
      <c r="X189" s="79"/>
      <c r="Y189" s="79"/>
      <c r="Z189" s="79"/>
    </row>
    <row r="190" spans="1:26" hidden="1" outlineLevel="1">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row>
    <row r="191" spans="1:26" collapsed="1">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row>
    <row r="192" spans="1:26">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row>
    <row r="193" spans="1:26" ht="26.25">
      <c r="A193" s="263" t="s">
        <v>93</v>
      </c>
      <c r="B193" s="262"/>
      <c r="C193" s="262"/>
      <c r="D193" s="262"/>
      <c r="E193" s="262"/>
      <c r="F193" s="262"/>
      <c r="G193" s="262"/>
      <c r="H193" s="262"/>
      <c r="I193" s="262"/>
      <c r="J193" s="262"/>
      <c r="K193" s="262"/>
      <c r="L193" s="262"/>
      <c r="M193" s="262"/>
      <c r="N193" s="262"/>
      <c r="O193" s="262"/>
      <c r="P193" s="262"/>
      <c r="Q193" s="262"/>
      <c r="R193" s="262"/>
      <c r="S193" s="262"/>
      <c r="T193" s="262"/>
      <c r="U193" s="262"/>
      <c r="V193" s="262"/>
      <c r="W193" s="79"/>
      <c r="X193" s="79"/>
      <c r="Y193" s="79"/>
      <c r="Z193" s="79"/>
    </row>
    <row r="194" spans="1:26">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row>
    <row r="195" spans="1:26" ht="23.25">
      <c r="A195" s="79"/>
      <c r="B195" s="286" t="s">
        <v>224</v>
      </c>
      <c r="C195" s="286"/>
      <c r="D195" s="286"/>
      <c r="E195" s="286"/>
      <c r="F195" s="286"/>
      <c r="G195" s="286"/>
      <c r="H195" s="286"/>
      <c r="I195" s="286"/>
      <c r="J195" s="286"/>
      <c r="K195" s="286"/>
      <c r="L195" s="286"/>
      <c r="M195" s="286"/>
      <c r="N195" s="286"/>
      <c r="O195" s="286"/>
      <c r="P195" s="286"/>
      <c r="Q195" s="286"/>
      <c r="R195" s="286"/>
      <c r="S195" s="286"/>
      <c r="T195" s="286"/>
      <c r="U195" s="286"/>
      <c r="V195" s="286"/>
      <c r="W195" s="79"/>
      <c r="X195" s="79"/>
      <c r="Y195" s="79"/>
      <c r="Z195" s="79"/>
    </row>
    <row r="196" spans="1:26">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row>
    <row r="197" spans="1:26">
      <c r="A197" s="79"/>
      <c r="B197" s="79"/>
      <c r="C197" s="79"/>
      <c r="D197" s="79"/>
      <c r="E197" s="79"/>
      <c r="F197" s="79"/>
      <c r="G197" s="287"/>
      <c r="H197" s="287"/>
      <c r="I197" s="288"/>
      <c r="J197" s="287"/>
      <c r="K197" s="287"/>
      <c r="L197" s="287"/>
      <c r="M197" s="287"/>
      <c r="N197" s="287"/>
      <c r="O197" s="287"/>
      <c r="P197" s="79"/>
      <c r="Q197" s="79"/>
      <c r="R197" s="79"/>
      <c r="S197" s="79"/>
      <c r="T197" s="79"/>
      <c r="U197" s="79"/>
      <c r="V197" s="79"/>
      <c r="W197" s="79"/>
      <c r="X197" s="79"/>
      <c r="Y197" s="79"/>
      <c r="Z197" s="79"/>
    </row>
    <row r="198" spans="1:26" ht="28.5" customHeight="1">
      <c r="A198" s="79"/>
      <c r="B198" s="79"/>
      <c r="C198" s="79"/>
      <c r="D198" s="79"/>
      <c r="E198" s="79"/>
      <c r="F198" s="79"/>
      <c r="G198" s="287"/>
      <c r="H198" s="287"/>
      <c r="I198" s="287"/>
      <c r="J198" s="287"/>
      <c r="K198" s="287"/>
      <c r="L198" s="287"/>
      <c r="M198" s="287"/>
      <c r="N198" s="287"/>
      <c r="O198" s="287"/>
      <c r="P198" s="79"/>
      <c r="Q198" s="79"/>
      <c r="R198" s="79"/>
      <c r="S198" s="79"/>
      <c r="T198" s="79"/>
      <c r="U198" s="79"/>
      <c r="V198" s="79"/>
      <c r="W198" s="79"/>
      <c r="X198" s="79"/>
      <c r="Y198" s="79"/>
      <c r="Z198" s="79"/>
    </row>
    <row r="199" spans="1:26">
      <c r="A199" s="79"/>
      <c r="B199" s="79"/>
      <c r="C199" s="79"/>
      <c r="D199" s="79"/>
      <c r="E199" s="79"/>
      <c r="F199" s="79"/>
      <c r="G199" s="287"/>
      <c r="H199" s="287"/>
      <c r="I199" s="287"/>
      <c r="J199" s="287"/>
      <c r="K199" s="287"/>
      <c r="L199" s="287"/>
      <c r="M199" s="287"/>
      <c r="N199" s="287"/>
      <c r="O199" s="287"/>
      <c r="P199" s="79"/>
      <c r="Q199" s="79"/>
      <c r="R199" s="79"/>
      <c r="S199" s="79"/>
      <c r="T199" s="79"/>
      <c r="U199" s="79"/>
      <c r="V199" s="79"/>
      <c r="W199" s="79"/>
      <c r="X199" s="79"/>
      <c r="Y199" s="79"/>
      <c r="Z199" s="79"/>
    </row>
    <row r="200" spans="1:26">
      <c r="A200" s="79"/>
      <c r="B200" s="79"/>
      <c r="C200" s="79"/>
      <c r="D200" s="79"/>
      <c r="E200" s="79"/>
      <c r="F200" s="79"/>
      <c r="G200" s="287"/>
      <c r="H200" s="287"/>
      <c r="I200" s="287"/>
      <c r="J200" s="287"/>
      <c r="K200" s="287"/>
      <c r="L200" s="287"/>
      <c r="M200" s="287"/>
      <c r="N200" s="287"/>
      <c r="O200" s="287"/>
      <c r="P200" s="79"/>
      <c r="Q200" s="79"/>
      <c r="R200" s="79"/>
      <c r="S200" s="79"/>
      <c r="T200" s="79"/>
      <c r="U200" s="79"/>
      <c r="V200" s="79"/>
      <c r="W200" s="79"/>
      <c r="X200" s="79"/>
      <c r="Y200" s="79"/>
      <c r="Z200" s="79"/>
    </row>
    <row r="201" spans="1:26">
      <c r="A201" s="79"/>
      <c r="B201" s="79"/>
      <c r="C201" s="79"/>
      <c r="D201" s="79"/>
      <c r="E201" s="79"/>
      <c r="F201" s="79"/>
      <c r="G201" s="287"/>
      <c r="H201" s="287"/>
      <c r="I201" s="287"/>
      <c r="J201" s="287"/>
      <c r="K201" s="287"/>
      <c r="L201" s="287"/>
      <c r="M201" s="287"/>
      <c r="N201" s="287"/>
      <c r="O201" s="287"/>
      <c r="P201" s="79"/>
      <c r="Q201" s="79"/>
      <c r="R201" s="79"/>
      <c r="S201" s="79"/>
      <c r="T201" s="79"/>
      <c r="U201" s="79"/>
      <c r="V201" s="79"/>
      <c r="W201" s="79"/>
      <c r="X201" s="79"/>
      <c r="Y201" s="79"/>
      <c r="Z201" s="79"/>
    </row>
    <row r="202" spans="1:26">
      <c r="A202" s="79"/>
      <c r="B202" s="79"/>
      <c r="C202" s="79"/>
      <c r="D202" s="79"/>
      <c r="E202" s="79"/>
      <c r="F202" s="79"/>
      <c r="G202" s="287"/>
      <c r="H202" s="287"/>
      <c r="I202" s="287"/>
      <c r="J202" s="287"/>
      <c r="K202" s="287"/>
      <c r="L202" s="287"/>
      <c r="M202" s="287"/>
      <c r="N202" s="287"/>
      <c r="O202" s="287"/>
      <c r="P202" s="79"/>
      <c r="Q202" s="79"/>
      <c r="R202" s="79"/>
      <c r="S202" s="79"/>
      <c r="T202" s="79"/>
      <c r="U202" s="79"/>
      <c r="V202" s="79"/>
      <c r="W202" s="79"/>
      <c r="X202" s="79"/>
      <c r="Y202" s="79"/>
      <c r="Z202" s="79"/>
    </row>
    <row r="203" spans="1:26">
      <c r="A203" s="79"/>
      <c r="B203" s="79"/>
      <c r="C203" s="79"/>
      <c r="D203" s="79"/>
      <c r="E203" s="79"/>
      <c r="F203" s="79"/>
      <c r="G203" s="287"/>
      <c r="H203" s="287"/>
      <c r="I203" s="287"/>
      <c r="J203" s="287"/>
      <c r="K203" s="287"/>
      <c r="L203" s="287"/>
      <c r="M203" s="287"/>
      <c r="N203" s="287"/>
      <c r="O203" s="287"/>
      <c r="P203" s="79"/>
      <c r="Q203" s="79"/>
      <c r="R203" s="79"/>
      <c r="S203" s="79"/>
      <c r="T203" s="79"/>
      <c r="U203" s="79"/>
      <c r="V203" s="79"/>
      <c r="W203" s="79"/>
      <c r="X203" s="79"/>
      <c r="Y203" s="79"/>
      <c r="Z203" s="79"/>
    </row>
    <row r="204" spans="1:26">
      <c r="A204" s="79"/>
      <c r="B204" s="79"/>
      <c r="C204" s="79"/>
      <c r="D204" s="79"/>
      <c r="E204" s="79"/>
      <c r="F204" s="79"/>
      <c r="G204" s="287"/>
      <c r="H204" s="287"/>
      <c r="I204" s="287"/>
      <c r="J204" s="287"/>
      <c r="K204" s="287"/>
      <c r="L204" s="287"/>
      <c r="M204" s="287"/>
      <c r="N204" s="287"/>
      <c r="O204" s="287"/>
      <c r="P204" s="79"/>
      <c r="Q204" s="79"/>
      <c r="R204" s="79"/>
      <c r="S204" s="79"/>
      <c r="T204" s="79"/>
      <c r="U204" s="79"/>
      <c r="V204" s="79"/>
      <c r="W204" s="79"/>
      <c r="X204" s="79"/>
      <c r="Y204" s="79"/>
      <c r="Z204" s="79"/>
    </row>
    <row r="205" spans="1:26">
      <c r="A205" s="79"/>
      <c r="B205" s="79"/>
      <c r="C205" s="79"/>
      <c r="D205" s="79"/>
      <c r="E205" s="79"/>
      <c r="F205" s="79"/>
      <c r="G205" s="287"/>
      <c r="H205" s="287"/>
      <c r="I205" s="287"/>
      <c r="J205" s="287"/>
      <c r="K205" s="287"/>
      <c r="L205" s="287"/>
      <c r="M205" s="287"/>
      <c r="N205" s="287"/>
      <c r="O205" s="287"/>
      <c r="P205" s="79"/>
      <c r="Q205" s="79"/>
      <c r="R205" s="79"/>
      <c r="S205" s="79"/>
      <c r="T205" s="79"/>
      <c r="U205" s="79"/>
      <c r="V205" s="79"/>
      <c r="W205" s="79"/>
      <c r="X205" s="79"/>
      <c r="Y205" s="79"/>
      <c r="Z205" s="79"/>
    </row>
    <row r="206" spans="1:26">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row>
    <row r="207" spans="1:26">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row>
    <row r="208" spans="1:26">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row>
    <row r="209" spans="1:26">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row>
    <row r="210" spans="1:26">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row>
    <row r="211" spans="1:26">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row>
    <row r="212" spans="1:26">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row>
    <row r="213" spans="1:26">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row>
    <row r="214" spans="1:26" hidden="1" outlineLevel="1">
      <c r="A214" s="79"/>
      <c r="B214" s="291"/>
      <c r="C214" s="287"/>
      <c r="D214" s="287"/>
      <c r="E214" s="287"/>
      <c r="F214" s="287"/>
      <c r="G214" s="79"/>
      <c r="H214" s="79"/>
      <c r="I214" s="79"/>
      <c r="J214" s="79"/>
      <c r="K214" s="79"/>
      <c r="L214" s="79"/>
      <c r="M214" s="79"/>
      <c r="N214" s="79"/>
      <c r="O214" s="79"/>
      <c r="P214" s="79"/>
      <c r="Q214" s="79"/>
      <c r="R214" s="79"/>
      <c r="S214" s="79"/>
      <c r="T214" s="79"/>
      <c r="U214" s="79"/>
      <c r="V214" s="79"/>
      <c r="W214" s="79"/>
      <c r="X214" s="79"/>
      <c r="Y214" s="79"/>
      <c r="Z214" s="79"/>
    </row>
    <row r="215" spans="1:26" ht="30" hidden="1" outlineLevel="1">
      <c r="A215" s="79"/>
      <c r="B215" s="292"/>
      <c r="C215" s="382" t="s">
        <v>225</v>
      </c>
      <c r="D215" s="383" t="s">
        <v>226</v>
      </c>
      <c r="E215" s="384" t="s">
        <v>227</v>
      </c>
      <c r="F215" s="385" t="s">
        <v>233</v>
      </c>
      <c r="G215" s="79"/>
      <c r="H215" s="79"/>
      <c r="I215" s="79"/>
      <c r="J215" s="79"/>
      <c r="K215" s="79"/>
      <c r="L215" s="79"/>
      <c r="M215" s="79"/>
      <c r="N215" s="79"/>
      <c r="O215" s="79"/>
      <c r="P215" s="79"/>
      <c r="R215" s="389" t="s">
        <v>251</v>
      </c>
      <c r="S215" s="389" t="s">
        <v>252</v>
      </c>
      <c r="T215" s="389" t="s">
        <v>253</v>
      </c>
      <c r="U215" s="389" t="s">
        <v>238</v>
      </c>
      <c r="V215" s="79"/>
      <c r="W215" s="79"/>
      <c r="X215" s="79"/>
      <c r="Y215" s="79"/>
      <c r="Z215" s="79"/>
    </row>
    <row r="216" spans="1:26" ht="18.75" hidden="1" outlineLevel="1">
      <c r="A216" s="79"/>
      <c r="B216" s="386" t="s">
        <v>230</v>
      </c>
      <c r="C216" s="377">
        <f ca="1">COUNTIFS(INDIRECT("'Defect Log'!H13:H100"),'Test Summary'!B216,INDIRECT("'Defect Log'!F13:F100"),INDIRECT("'Test Summary'!C215"))</f>
        <v>0</v>
      </c>
      <c r="D216" s="377">
        <f ca="1">COUNTIFS(INDIRECT("'Defect Log'!H13:H100"),'Test Summary'!B216,INDIRECT("'Defect Log'!F13:F100"),INDIRECT("'Test Summary'!D215"))</f>
        <v>0</v>
      </c>
      <c r="E216" s="377">
        <f ca="1">COUNTIFS(INDIRECT("'Defect Log'!H13:H100"),'Test Summary'!B216,INDIRECT("'Defect Log'!F13:F100"),INDIRECT("'Test Summary'!E215"))</f>
        <v>0</v>
      </c>
      <c r="F216" s="377">
        <f ca="1">COUNTIFS(INDIRECT("'Defect Log'!H13:H100"),'Test Summary'!B216,INDIRECT("'Defect Log'!F13:F100"),INDIRECT("'Test Summary'!F215"))</f>
        <v>1</v>
      </c>
      <c r="G216" s="390">
        <f ca="1">SUM(C216:F216)</f>
        <v>1</v>
      </c>
      <c r="H216" s="79"/>
      <c r="I216" s="79"/>
      <c r="J216" s="79"/>
      <c r="K216" s="79"/>
      <c r="L216" s="79"/>
      <c r="M216" s="79"/>
      <c r="N216" s="79"/>
      <c r="O216" s="79"/>
      <c r="P216" s="79"/>
      <c r="Q216" s="438" t="s">
        <v>239</v>
      </c>
      <c r="R216" s="377">
        <f ca="1">COUNTIFS(INDIRECT("'Defect Log'!F13:F1000"),'Test Summary'!Q216,INDIRECT("'Defect Log'!J13:J1000"),INDIRECT("'Test Summary'!R215"))</f>
        <v>0</v>
      </c>
      <c r="S216" s="377">
        <f ca="1">COUNTIFS(INDIRECT("'Defect Log'!F13:F1000"),'Test Summary'!Q216,INDIRECT("'Defect Log'!J13:J1000"),INDIRECT("'Test Summary'!S215"))</f>
        <v>0</v>
      </c>
      <c r="T216" s="377">
        <f ca="1">COUNTIFS(INDIRECT("'Defect Log'!F13:F1000"),'Test Summary'!Q216,INDIRECT("'Defect Log'!J13:J1000"),INDIRECT("'Test Summary'!T215"))</f>
        <v>0</v>
      </c>
      <c r="U216" s="377">
        <f ca="1">COUNTIFS(INDIRECT("'Defect Log'!F13:F1000"),'Test Summary'!Q216,INDIRECT("'Defect Log'!J13:J1000"),INDIRECT("'Test Summary'!U215"))</f>
        <v>1</v>
      </c>
      <c r="V216" s="393">
        <f ca="1">SUM(S216:U216)</f>
        <v>1</v>
      </c>
      <c r="W216" s="79"/>
      <c r="X216" s="79"/>
      <c r="Y216" s="79"/>
      <c r="Z216" s="79"/>
    </row>
    <row r="217" spans="1:26" ht="18.75" hidden="1" outlineLevel="1">
      <c r="A217" s="79"/>
      <c r="B217" s="387" t="s">
        <v>231</v>
      </c>
      <c r="C217" s="377">
        <f ca="1">COUNTIFS(INDIRECT("'Defect Log'!H13:H100"),'Test Summary'!B217,INDIRECT("'Defect Log'!F13:F100"),INDIRECT("'Test Summary'!C215"))</f>
        <v>0</v>
      </c>
      <c r="D217" s="377">
        <f ca="1">COUNTIFS(INDIRECT("'Defect Log'!H13:H100"),'Test Summary'!B217,INDIRECT("'Defect Log'!F13:F100"),INDIRECT("'Test Summary'!D215"))</f>
        <v>0</v>
      </c>
      <c r="E217" s="377">
        <f ca="1">COUNTIFS(INDIRECT("'Defect Log'!H13:H100"),'Test Summary'!B217,INDIRECT("'Defect Log'!F13:F100"),INDIRECT("'Test Summary'!E215"))</f>
        <v>0</v>
      </c>
      <c r="F217" s="377">
        <f ca="1">COUNTIFS(INDIRECT("'Defect Log'!H13:H100"),'Test Summary'!B217,INDIRECT("'Defect Log'!F13:F100"),INDIRECT("'Test Summary'!F215"))</f>
        <v>0</v>
      </c>
      <c r="G217" s="390">
        <f t="shared" ref="G217:G225" ca="1" si="12">SUM(C217:F217)</f>
        <v>0</v>
      </c>
      <c r="H217" s="79"/>
      <c r="I217" s="79"/>
      <c r="J217" s="79"/>
      <c r="K217" s="79"/>
      <c r="L217" s="79"/>
      <c r="M217" s="79"/>
      <c r="N217" s="79"/>
      <c r="O217" s="79"/>
      <c r="P217" s="79"/>
      <c r="Q217" s="439" t="s">
        <v>226</v>
      </c>
      <c r="R217" s="377">
        <f ca="1">COUNTIFS(INDIRECT("'Defect Log'!F13:F1000"),'Test Summary'!Q217,INDIRECT("'Defect Log'!J13:J1000"),INDIRECT("'Test Summary'!R215"))</f>
        <v>0</v>
      </c>
      <c r="S217" s="377">
        <f ca="1">COUNTIFS(INDIRECT("'Defect Log'!F13:F1000"),'Test Summary'!Q217,INDIRECT("'Defect Log'!J13:J1000"),INDIRECT("'Test Summary'!S215"))</f>
        <v>0</v>
      </c>
      <c r="T217" s="377">
        <f ca="1">COUNTIFS(INDIRECT("'Defect Log'!F13:F1000"),'Test Summary'!Q217,INDIRECT("'Defect Log'!J13:J1000"),INDIRECT("'Test Summary'!T215"))</f>
        <v>1</v>
      </c>
      <c r="U217" s="377">
        <f ca="1">COUNTIFS(INDIRECT("'Defect Log'!F13:F1000"),'Test Summary'!Q217,INDIRECT("'Defect Log'!J13:J1000"),INDIRECT("'Test Summary'!U215"))</f>
        <v>0</v>
      </c>
      <c r="V217" s="393">
        <f t="shared" ref="V217:V219" ca="1" si="13">SUM(S217:U217)</f>
        <v>1</v>
      </c>
      <c r="W217" s="79"/>
      <c r="X217" s="79"/>
      <c r="Y217" s="79"/>
      <c r="Z217" s="79"/>
    </row>
    <row r="218" spans="1:26" ht="18.75" hidden="1" outlineLevel="1">
      <c r="A218" s="79"/>
      <c r="B218" s="387" t="s">
        <v>246</v>
      </c>
      <c r="C218" s="377">
        <f ca="1">COUNTIFS(INDIRECT("'Defect Log'!H13:H100"),'Test Summary'!B218,INDIRECT("'Defect Log'!F13:F100"),INDIRECT("'Test Summary'!C215"))</f>
        <v>0</v>
      </c>
      <c r="D218" s="377">
        <f ca="1">COUNTIFS(INDIRECT("'Defect Log'!H13:H100"),'Test Summary'!B218,INDIRECT("'Defect Log'!F13:F100"),INDIRECT("'Test Summary'!D215"))</f>
        <v>0</v>
      </c>
      <c r="E218" s="377">
        <f ca="1">COUNTIFS(INDIRECT("'Defect Log'!H13:H100"),'Test Summary'!B218,INDIRECT("'Defect Log'!F13:F100"),INDIRECT("'Test Summary'!E215"))</f>
        <v>0</v>
      </c>
      <c r="F218" s="377">
        <f ca="1">COUNTIFS(INDIRECT("'Defect Log'!H13:H100"),'Test Summary'!B218,INDIRECT("'Defect Log'!F13:F100"),INDIRECT("'Test Summary'!F215"))</f>
        <v>0</v>
      </c>
      <c r="G218" s="390">
        <f t="shared" ca="1" si="12"/>
        <v>0</v>
      </c>
      <c r="H218" s="79"/>
      <c r="I218" s="79"/>
      <c r="J218" s="79"/>
      <c r="K218" s="79"/>
      <c r="L218" s="79"/>
      <c r="M218" s="79"/>
      <c r="N218" s="79"/>
      <c r="O218" s="79"/>
      <c r="P218" s="79"/>
      <c r="Q218" s="440" t="s">
        <v>227</v>
      </c>
      <c r="R218" s="377">
        <f ca="1">COUNTIFS(INDIRECT("'Defect Log'!F13:F1000"),'Test Summary'!Q218,INDIRECT("'Defect Log'!J13:J1000"),INDIRECT("'Test Summary'!R215"))</f>
        <v>0</v>
      </c>
      <c r="S218" s="377">
        <f ca="1">COUNTIFS(INDIRECT("'Defect Log'!F13:F1000"),'Test Summary'!Q218,INDIRECT("'Defect Log'!J13:J1000"),INDIRECT("'Test Summary'!S215"))</f>
        <v>1</v>
      </c>
      <c r="T218" s="377">
        <f ca="1">COUNTIFS(INDIRECT("'Defect Log'!F13:F1000"),'Test Summary'!Q218,INDIRECT("'Defect Log'!J13:J1000"),INDIRECT("'Test Summary'!T215"))</f>
        <v>0</v>
      </c>
      <c r="U218" s="377">
        <f ca="1">COUNTIFS(INDIRECT("'Defect Log'!F13:F1000"),'Test Summary'!Q218,INDIRECT("'Defect Log'!J13:J1000"),INDIRECT("'Test Summary'!U215"))</f>
        <v>0</v>
      </c>
      <c r="V218" s="393">
        <f t="shared" ca="1" si="13"/>
        <v>1</v>
      </c>
      <c r="W218" s="79"/>
      <c r="X218" s="79"/>
      <c r="Y218" s="79"/>
      <c r="Z218" s="79"/>
    </row>
    <row r="219" spans="1:26" ht="18.75" hidden="1" outlineLevel="1">
      <c r="A219" s="79"/>
      <c r="B219" s="387" t="s">
        <v>149</v>
      </c>
      <c r="C219" s="377">
        <f ca="1">COUNTIFS(INDIRECT("'Defect Log'!H13:H100"),'Test Summary'!B219,INDIRECT("'Defect Log'!F13:F100"),INDIRECT("'Test Summary'!C215"))</f>
        <v>0</v>
      </c>
      <c r="D219" s="377">
        <f ca="1">COUNTIFS(INDIRECT("'Defect Log'!H13:H100"),'Test Summary'!B219,INDIRECT("'Defect Log'!F13:F100"),INDIRECT("'Test Summary'!D215"))</f>
        <v>0</v>
      </c>
      <c r="E219" s="377">
        <f ca="1">COUNTIFS(INDIRECT("'Defect Log'!H13:H100"),'Test Summary'!B219,INDIRECT("'Defect Log'!F13:F100"),INDIRECT("'Test Summary'!E215"))</f>
        <v>0</v>
      </c>
      <c r="F219" s="377">
        <f ca="1">COUNTIFS(INDIRECT("'Defect Log'!H13:H100"),'Test Summary'!B219,INDIRECT("'Defect Log'!F13:F100"),INDIRECT("'Test Summary'!F215"))</f>
        <v>0</v>
      </c>
      <c r="G219" s="390">
        <f t="shared" ca="1" si="12"/>
        <v>0</v>
      </c>
      <c r="H219" s="79"/>
      <c r="I219" s="79"/>
      <c r="J219" s="79"/>
      <c r="K219" s="79"/>
      <c r="L219" s="79"/>
      <c r="M219" s="79"/>
      <c r="N219" s="79"/>
      <c r="O219" s="79"/>
      <c r="P219" s="79"/>
      <c r="Q219" s="441" t="s">
        <v>233</v>
      </c>
      <c r="R219" s="377">
        <f ca="1">COUNTIFS(INDIRECT("'Defect Log'!F13:F1000"),'Test Summary'!Q219,INDIRECT("'Defect Log'!J13:J1000"),INDIRECT("'Test Summary'!R215"))</f>
        <v>1</v>
      </c>
      <c r="S219" s="377">
        <f ca="1">COUNTIFS(INDIRECT("'Defect Log'!F13:F1000"),'Test Summary'!Q219,INDIRECT("'Defect Log'!J13:J1000"),INDIRECT("'Test Summary'!S215"))</f>
        <v>0</v>
      </c>
      <c r="T219" s="377">
        <f ca="1">COUNTIFS(INDIRECT("'Defect Log'!F13:F1000"),'Test Summary'!Q219,INDIRECT("'Defect Log'!J13:J1000"),INDIRECT("'Test Summary'!T215"))</f>
        <v>0</v>
      </c>
      <c r="U219" s="377">
        <f ca="1">COUNTIFS(INDIRECT("'Defect Log'!F13:F1000"),'Test Summary'!Q219,INDIRECT("'Defect Log'!J13:J1000"),INDIRECT("'Test Summary'!U215"))</f>
        <v>0</v>
      </c>
      <c r="V219" s="393">
        <f t="shared" ca="1" si="13"/>
        <v>0</v>
      </c>
      <c r="W219" s="79"/>
      <c r="X219" s="79"/>
      <c r="Y219" s="79"/>
      <c r="Z219" s="79"/>
    </row>
    <row r="220" spans="1:26" ht="23.25" hidden="1" outlineLevel="1">
      <c r="A220" s="79"/>
      <c r="B220" s="387" t="s">
        <v>249</v>
      </c>
      <c r="C220" s="377">
        <f ca="1">COUNTIFS(INDIRECT("'Defect Log'!H13:H100"),'Test Summary'!B220,INDIRECT("'Defect Log'!F13:F100"),INDIRECT("'Test Summary'!C215"))</f>
        <v>0</v>
      </c>
      <c r="D220" s="377">
        <f ca="1">COUNTIFS(INDIRECT("'Defect Log'!H13:H100"),'Test Summary'!B220,INDIRECT("'Defect Log'!F13:F100"),INDIRECT("'Test Summary'!D215"))</f>
        <v>0</v>
      </c>
      <c r="E220" s="377">
        <f ca="1">COUNTIFS(INDIRECT("'Defect Log'!H13:H100"),'Test Summary'!B220,INDIRECT("'Defect Log'!F13:F100"),INDIRECT("'Test Summary'!E215"))</f>
        <v>0</v>
      </c>
      <c r="F220" s="377">
        <f ca="1">COUNTIFS(INDIRECT("'Defect Log'!H13:H100"),'Test Summary'!B220,INDIRECT("'Defect Log'!F13:F100"),INDIRECT("'Test Summary'!F215"))</f>
        <v>0</v>
      </c>
      <c r="G220" s="390">
        <f t="shared" ca="1" si="12"/>
        <v>0</v>
      </c>
      <c r="H220" s="79"/>
      <c r="I220" s="79"/>
      <c r="J220" s="79"/>
      <c r="K220" s="79"/>
      <c r="L220" s="79"/>
      <c r="M220" s="79"/>
      <c r="N220" s="79"/>
      <c r="O220" s="79"/>
      <c r="P220" s="79"/>
      <c r="Q220" s="79"/>
      <c r="R220" s="392">
        <f ca="1">SUM(R216:R219)</f>
        <v>1</v>
      </c>
      <c r="S220" s="392">
        <f ca="1">SUM(S216:S219)</f>
        <v>1</v>
      </c>
      <c r="T220" s="392">
        <f t="shared" ref="T220:U220" ca="1" si="14">SUM(T216:T219)</f>
        <v>1</v>
      </c>
      <c r="U220" s="392">
        <f t="shared" ca="1" si="14"/>
        <v>1</v>
      </c>
      <c r="V220" s="391">
        <f ca="1">SUM(R220:U220)</f>
        <v>4</v>
      </c>
      <c r="W220" s="79"/>
      <c r="X220" s="79"/>
      <c r="Y220" s="79"/>
      <c r="Z220" s="79"/>
    </row>
    <row r="221" spans="1:26" ht="18.75" hidden="1" outlineLevel="1">
      <c r="A221" s="79"/>
      <c r="B221" s="387" t="s">
        <v>229</v>
      </c>
      <c r="C221" s="377">
        <f ca="1">COUNTIFS(INDIRECT("'Defect Log'!H13:H100"),'Test Summary'!B221,INDIRECT("'Defect Log'!F13:F100"),INDIRECT("'Test Summary'!C215"))</f>
        <v>0</v>
      </c>
      <c r="D221" s="377">
        <f ca="1">COUNTIFS(INDIRECT("'Defect Log'!H13:H100"),'Test Summary'!B221,INDIRECT("'Defect Log'!F13:F100"),INDIRECT("'Test Summary'!D215"))</f>
        <v>0</v>
      </c>
      <c r="E221" s="377">
        <f ca="1">COUNTIFS(INDIRECT("'Defect Log'!H13:H100"),'Test Summary'!B221,INDIRECT("'Defect Log'!F13:F100"),INDIRECT("'Test Summary'!E215"))</f>
        <v>0</v>
      </c>
      <c r="F221" s="377">
        <f ca="1">COUNTIFS(INDIRECT("'Defect Log'!H13:H100"),'Test Summary'!B221,INDIRECT("'Defect Log'!F13:F100"),INDIRECT("'Test Summary'!F215"))</f>
        <v>0</v>
      </c>
      <c r="G221" s="390">
        <f t="shared" ca="1" si="12"/>
        <v>0</v>
      </c>
      <c r="H221" s="79"/>
      <c r="I221" s="79"/>
      <c r="J221" s="79"/>
      <c r="K221" s="79"/>
      <c r="L221" s="79"/>
      <c r="M221" s="79"/>
      <c r="N221" s="79"/>
      <c r="O221" s="79"/>
      <c r="P221" s="79"/>
      <c r="Q221" s="79"/>
      <c r="R221" s="79"/>
      <c r="S221" s="87"/>
      <c r="T221" s="378"/>
      <c r="U221" s="87"/>
      <c r="V221" s="87"/>
      <c r="W221" s="79"/>
      <c r="X221" s="79"/>
      <c r="Y221" s="79"/>
      <c r="Z221" s="79"/>
    </row>
    <row r="222" spans="1:26" ht="18.75" hidden="1" outlineLevel="1">
      <c r="A222" s="79"/>
      <c r="B222" s="387" t="s">
        <v>248</v>
      </c>
      <c r="C222" s="377">
        <f ca="1">COUNTIFS(INDIRECT("'Defect Log'!H13:H100"),'Test Summary'!B222,INDIRECT("'Defect Log'!F13:F100"),INDIRECT("'Test Summary'!C215"))</f>
        <v>0</v>
      </c>
      <c r="D222" s="377">
        <f ca="1">COUNTIFS(INDIRECT("'Defect Log'!H13:H100"),'Test Summary'!B222,INDIRECT("'Defect Log'!F13:F100"),INDIRECT("'Test Summary'!D215"))</f>
        <v>0</v>
      </c>
      <c r="E222" s="377">
        <f ca="1">COUNTIFS(INDIRECT("'Defect Log'!H13:H100"),'Test Summary'!B222,INDIRECT("'Defect Log'!F13:F100"),INDIRECT("'Test Summary'!E215"))</f>
        <v>1</v>
      </c>
      <c r="F222" s="377">
        <f ca="1">COUNTIFS(INDIRECT("'Defect Log'!H13:H100"),'Test Summary'!B222,INDIRECT("'Defect Log'!F13:F100"),INDIRECT("'Test Summary'!F215"))</f>
        <v>0</v>
      </c>
      <c r="G222" s="390">
        <f t="shared" ca="1" si="12"/>
        <v>1</v>
      </c>
      <c r="H222" s="79"/>
      <c r="I222" s="79"/>
      <c r="J222" s="79"/>
      <c r="K222" s="79"/>
      <c r="L222" s="79"/>
      <c r="M222" s="79"/>
      <c r="N222" s="79"/>
      <c r="O222" s="79"/>
      <c r="P222" s="79"/>
      <c r="Q222" s="79"/>
      <c r="R222" s="79"/>
      <c r="S222" s="87"/>
      <c r="T222" s="378"/>
      <c r="U222" s="87"/>
      <c r="V222" s="87"/>
      <c r="W222" s="79"/>
      <c r="X222" s="79"/>
      <c r="Y222" s="79"/>
      <c r="Z222" s="79"/>
    </row>
    <row r="223" spans="1:26" ht="18.75" hidden="1" outlineLevel="1">
      <c r="A223" s="79"/>
      <c r="B223" s="387" t="s">
        <v>247</v>
      </c>
      <c r="C223" s="377">
        <f ca="1">COUNTIFS(INDIRECT("'Defect Log'!H13:H100"),'Test Summary'!B223,INDIRECT("'Defect Log'!F13:F100"),INDIRECT("'Test Summary'!C215"))</f>
        <v>0</v>
      </c>
      <c r="D223" s="377">
        <f ca="1">COUNTIFS(INDIRECT("'Defect Log'!H13:H100"),'Test Summary'!B223,INDIRECT("'Defect Log'!F13:F100"),INDIRECT("'Test Summary'!D215"))</f>
        <v>1</v>
      </c>
      <c r="E223" s="377">
        <f ca="1">COUNTIFS(INDIRECT("'Defect Log'!H13:H100"),'Test Summary'!B223,INDIRECT("'Defect Log'!F13:F100"),INDIRECT("'Test Summary'!E215"))</f>
        <v>0</v>
      </c>
      <c r="F223" s="377">
        <f ca="1">COUNTIFS(INDIRECT("'Defect Log'!H13:H100"),'Test Summary'!B223,INDIRECT("'Defect Log'!F13:F100"),INDIRECT("'Test Summary'!F215"))</f>
        <v>0</v>
      </c>
      <c r="G223" s="390">
        <f t="shared" ca="1" si="12"/>
        <v>1</v>
      </c>
      <c r="H223" s="79"/>
      <c r="I223" s="79"/>
      <c r="J223" s="79"/>
      <c r="K223" s="79"/>
      <c r="L223" s="79"/>
      <c r="M223" s="79"/>
      <c r="N223" s="79"/>
      <c r="O223" s="79"/>
      <c r="P223" s="79"/>
      <c r="Q223" s="79"/>
      <c r="R223" s="79"/>
      <c r="S223" s="87"/>
      <c r="T223" s="378"/>
      <c r="U223" s="87"/>
      <c r="V223" s="87"/>
      <c r="W223" s="79"/>
      <c r="X223" s="79"/>
      <c r="Y223" s="79"/>
      <c r="Z223" s="79"/>
    </row>
    <row r="224" spans="1:26" ht="18.75" hidden="1" outlineLevel="1">
      <c r="A224" s="79"/>
      <c r="B224" s="387" t="s">
        <v>293</v>
      </c>
      <c r="C224" s="377">
        <f ca="1">COUNTIFS(INDIRECT("'Defect Log'!H13:H100"),'Test Summary'!B224,INDIRECT("'Defect Log'!F13:F100"),INDIRECT("'Test Summary'!C215"))</f>
        <v>0</v>
      </c>
      <c r="D224" s="377">
        <f ca="1">COUNTIFS(INDIRECT("'Defect Log'!H13:H100"),'Test Summary'!B224,INDIRECT("'Defect Log'!F13:F100"),INDIRECT("'Test Summary'!D215"))</f>
        <v>0</v>
      </c>
      <c r="E224" s="377">
        <f ca="1">COUNTIFS(INDIRECT("'Defect Log'!H13:H100"),'Test Summary'!B224,INDIRECT("'Defect Log'!F13:F100"),INDIRECT("'Test Summary'!E215"))</f>
        <v>0</v>
      </c>
      <c r="F224" s="377">
        <f ca="1">COUNTIFS(INDIRECT("'Defect Log'!H13:H100"),'Test Summary'!B224,INDIRECT("'Defect Log'!F13:F100"),INDIRECT("'Test Summary'!F215"))</f>
        <v>0</v>
      </c>
      <c r="G224" s="390">
        <f t="shared" ca="1" si="12"/>
        <v>0</v>
      </c>
      <c r="H224" s="79"/>
      <c r="I224" s="79"/>
      <c r="J224" s="79"/>
      <c r="K224" s="79"/>
      <c r="L224" s="79"/>
      <c r="M224" s="79"/>
      <c r="N224" s="79"/>
      <c r="O224" s="79"/>
      <c r="P224" s="79"/>
      <c r="Q224" s="79"/>
      <c r="R224" s="79"/>
      <c r="S224" s="87"/>
      <c r="T224" s="378"/>
      <c r="U224" s="87"/>
      <c r="V224" s="87"/>
      <c r="W224" s="79"/>
      <c r="X224" s="79"/>
      <c r="Y224" s="79"/>
      <c r="Z224" s="79"/>
    </row>
    <row r="225" spans="1:26" ht="18.75" hidden="1" outlineLevel="1">
      <c r="A225" s="79"/>
      <c r="B225" s="388" t="s">
        <v>228</v>
      </c>
      <c r="C225" s="377">
        <f ca="1">COUNTIFS(INDIRECT("'Defect Log'!H13:H100"),'Test Summary'!B225,INDIRECT("'Defect Log'!F13:F100"),INDIRECT("'Test Summary'!C215"))</f>
        <v>1</v>
      </c>
      <c r="D225" s="377">
        <f ca="1">COUNTIFS(INDIRECT("'Defect Log'!H13:H100"),'Test Summary'!B225,INDIRECT("'Defect Log'!F13:F100"),INDIRECT("'Test Summary'!D215"))</f>
        <v>0</v>
      </c>
      <c r="E225" s="377">
        <f ca="1">COUNTIFS(INDIRECT("'Defect Log'!H13:H100"),'Test Summary'!B225,INDIRECT("'Defect Log'!F13:F100"),INDIRECT("'Test Summary'!E215"))</f>
        <v>0</v>
      </c>
      <c r="F225" s="377">
        <f ca="1">COUNTIFS(INDIRECT("'Defect Log'!H13:H100"),'Test Summary'!B225,INDIRECT("'Defect Log'!F13:F100"),INDIRECT("'Test Summary'!F215"))</f>
        <v>0</v>
      </c>
      <c r="G225" s="390">
        <f t="shared" ca="1" si="12"/>
        <v>1</v>
      </c>
      <c r="H225" s="79"/>
      <c r="I225" s="79"/>
      <c r="J225" s="79"/>
      <c r="K225" s="79"/>
      <c r="L225" s="79"/>
      <c r="M225" s="79"/>
      <c r="N225" s="79"/>
      <c r="O225" s="79"/>
      <c r="P225" s="79"/>
      <c r="Q225" s="79"/>
      <c r="R225" s="79"/>
      <c r="S225" s="87"/>
      <c r="T225" s="87"/>
      <c r="U225" s="87"/>
      <c r="V225" s="87"/>
      <c r="W225" s="79"/>
      <c r="X225" s="79"/>
      <c r="Y225" s="79"/>
      <c r="Z225" s="79"/>
    </row>
    <row r="226" spans="1:26" ht="23.25" hidden="1" outlineLevel="1">
      <c r="A226" s="79"/>
      <c r="B226" s="79"/>
      <c r="C226" s="390">
        <f ca="1">SUM(C216:C225)</f>
        <v>1</v>
      </c>
      <c r="D226" s="390">
        <f t="shared" ref="D226:F226" ca="1" si="15">SUM(D216:D225)</f>
        <v>1</v>
      </c>
      <c r="E226" s="390">
        <f t="shared" ca="1" si="15"/>
        <v>1</v>
      </c>
      <c r="F226" s="390">
        <f t="shared" ca="1" si="15"/>
        <v>1</v>
      </c>
      <c r="G226" s="391">
        <f ca="1">SUM(C226:F226)</f>
        <v>4</v>
      </c>
      <c r="H226" s="79"/>
      <c r="I226" s="79"/>
      <c r="J226" s="79"/>
      <c r="K226" s="79"/>
      <c r="L226" s="79"/>
      <c r="M226" s="79"/>
      <c r="N226" s="79"/>
      <c r="O226" s="79"/>
      <c r="P226" s="79"/>
      <c r="Q226" s="79"/>
      <c r="R226" s="79"/>
      <c r="S226" s="87"/>
      <c r="T226" s="87"/>
      <c r="U226" s="87"/>
      <c r="V226" s="87"/>
      <c r="W226" s="79"/>
      <c r="X226" s="79"/>
      <c r="Y226" s="79"/>
      <c r="Z226" s="79"/>
    </row>
    <row r="227" spans="1:26" collapsed="1">
      <c r="A227" s="79"/>
      <c r="B227" s="79"/>
      <c r="C227" s="79"/>
      <c r="D227" s="79"/>
      <c r="E227" s="79"/>
      <c r="F227" s="79"/>
      <c r="G227" s="79"/>
      <c r="H227" s="79"/>
      <c r="I227" s="79"/>
      <c r="J227" s="79"/>
      <c r="K227" s="79"/>
      <c r="L227" s="79"/>
      <c r="M227" s="79"/>
      <c r="N227" s="79"/>
      <c r="O227" s="79"/>
      <c r="P227" s="79"/>
      <c r="Q227" s="79"/>
      <c r="R227" s="79"/>
      <c r="S227" s="87"/>
      <c r="T227" s="87"/>
      <c r="U227" s="87"/>
      <c r="V227" s="87"/>
      <c r="W227" s="79"/>
      <c r="X227" s="79"/>
      <c r="Y227" s="79"/>
      <c r="Z227" s="79"/>
    </row>
    <row r="228" spans="1:26">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row>
    <row r="229" spans="1:26">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row>
    <row r="230" spans="1:26">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row>
    <row r="231" spans="1:26">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row>
    <row r="232" spans="1:26">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row>
    <row r="233" spans="1:26">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row>
    <row r="234" spans="1:26">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row>
    <row r="235" spans="1:26">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row>
    <row r="236" spans="1:26">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row>
    <row r="237" spans="1:26">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row>
    <row r="238" spans="1:26">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row>
    <row r="239" spans="1:26">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row>
    <row r="240" spans="1:26">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row>
    <row r="241" spans="1:26">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row>
    <row r="242" spans="1:26">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row>
    <row r="243" spans="1:26">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row>
    <row r="244" spans="1:26">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row>
    <row r="245" spans="1:26">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row>
    <row r="246" spans="1:26">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row>
    <row r="247" spans="1:26">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row>
    <row r="248" spans="1:26">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row>
    <row r="249" spans="1:26">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row>
    <row r="250" spans="1:26">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row>
    <row r="251" spans="1:26">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row>
    <row r="252" spans="1:26">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row>
    <row r="253" spans="1:26">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row>
    <row r="254" spans="1:26">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row>
    <row r="255" spans="1:26">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row>
    <row r="256" spans="1:26">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row>
    <row r="257" spans="1:26">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row>
    <row r="258" spans="1:26">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row>
  </sheetData>
  <mergeCells count="1">
    <mergeCell ref="A1:Y4"/>
  </mergeCells>
  <conditionalFormatting sqref="D89:D95">
    <cfRule type="cellIs" dxfId="325" priority="13" operator="lessThan">
      <formula>$G$6</formula>
    </cfRule>
  </conditionalFormatting>
  <conditionalFormatting sqref="D136:D142">
    <cfRule type="cellIs" dxfId="324" priority="12" operator="lessThan">
      <formula>$G$6</formula>
    </cfRule>
  </conditionalFormatting>
  <conditionalFormatting sqref="F89:F95">
    <cfRule type="cellIs" dxfId="323" priority="8" operator="lessThan">
      <formula>$G$6</formula>
    </cfRule>
  </conditionalFormatting>
  <conditionalFormatting sqref="D42:D46">
    <cfRule type="cellIs" dxfId="322" priority="10" operator="lessThan">
      <formula>$G$6</formula>
    </cfRule>
  </conditionalFormatting>
  <conditionalFormatting sqref="F183:F189">
    <cfRule type="cellIs" dxfId="321" priority="1" operator="lessThan">
      <formula>$G$6</formula>
    </cfRule>
  </conditionalFormatting>
  <conditionalFormatting sqref="E89:E95">
    <cfRule type="cellIs" dxfId="320" priority="9" operator="lessThan">
      <formula>$G$6</formula>
    </cfRule>
  </conditionalFormatting>
  <conditionalFormatting sqref="E136:E142">
    <cfRule type="cellIs" dxfId="319" priority="7" operator="lessThan">
      <formula>$G$6</formula>
    </cfRule>
  </conditionalFormatting>
  <conditionalFormatting sqref="F136:F142">
    <cfRule type="cellIs" dxfId="318" priority="6" operator="lessThan">
      <formula>$G$6</formula>
    </cfRule>
  </conditionalFormatting>
  <conditionalFormatting sqref="E183:E189">
    <cfRule type="cellIs" dxfId="317" priority="2" operator="lessThan">
      <formula>$G$6</formula>
    </cfRule>
  </conditionalFormatting>
  <conditionalFormatting sqref="D183:D189">
    <cfRule type="cellIs" dxfId="316" priority="3" operator="lessThan">
      <formula>$G$6</formula>
    </cfRule>
  </conditionalFormatting>
  <pageMargins left="0.7" right="0.7" top="0.75" bottom="0.75" header="0.3" footer="0.3"/>
  <pageSetup orientation="portrait" horizontalDpi="200" verticalDpi="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X515"/>
  <sheetViews>
    <sheetView zoomScaleNormal="100" workbookViewId="0">
      <selection activeCell="M24" sqref="M24"/>
    </sheetView>
  </sheetViews>
  <sheetFormatPr defaultRowHeight="15" outlineLevelRow="3"/>
  <cols>
    <col min="1" max="1" width="12.625" customWidth="1"/>
    <col min="2" max="2" width="13.625" customWidth="1"/>
    <col min="3" max="3" width="7" customWidth="1"/>
    <col min="4" max="4" width="10.75" customWidth="1"/>
    <col min="5" max="5" width="11.75" customWidth="1"/>
    <col min="6" max="6" width="8.25" customWidth="1"/>
    <col min="7" max="7" width="11.25" customWidth="1"/>
    <col min="8" max="8" width="13.625" bestFit="1" customWidth="1"/>
    <col min="9" max="9" width="30.75" customWidth="1"/>
    <col min="10" max="10" width="11" customWidth="1"/>
    <col min="11" max="11" width="16.625" customWidth="1"/>
    <col min="12" max="12" width="17.25" customWidth="1"/>
    <col min="13" max="13" width="11.875" customWidth="1"/>
    <col min="14" max="14" width="14.25" customWidth="1"/>
    <col min="15" max="15" width="15.125" customWidth="1"/>
    <col min="16" max="16" width="11.375" customWidth="1"/>
    <col min="17" max="17" width="19.25" customWidth="1"/>
    <col min="18" max="18" width="16.75" customWidth="1"/>
  </cols>
  <sheetData>
    <row r="1" spans="1:24" ht="15" customHeight="1">
      <c r="A1" s="448" t="s">
        <v>94</v>
      </c>
      <c r="B1" s="448"/>
      <c r="C1" s="448"/>
      <c r="D1" s="448"/>
      <c r="E1" s="448"/>
      <c r="F1" s="448"/>
      <c r="G1" s="448"/>
      <c r="H1" s="448"/>
      <c r="I1" s="448"/>
      <c r="J1" s="448"/>
      <c r="K1" s="448"/>
      <c r="L1" s="448"/>
      <c r="M1" s="448"/>
      <c r="N1" s="448"/>
      <c r="O1" s="448"/>
      <c r="P1" s="448"/>
      <c r="Q1" s="448"/>
      <c r="R1" s="448"/>
      <c r="S1" s="448"/>
      <c r="T1" s="448"/>
      <c r="U1" s="448"/>
      <c r="V1" s="448"/>
      <c r="W1" s="448"/>
      <c r="X1" s="448"/>
    </row>
    <row r="2" spans="1:24" ht="15" customHeight="1">
      <c r="A2" s="448"/>
      <c r="B2" s="448"/>
      <c r="C2" s="448"/>
      <c r="D2" s="448"/>
      <c r="E2" s="448"/>
      <c r="F2" s="448"/>
      <c r="G2" s="448"/>
      <c r="H2" s="448"/>
      <c r="I2" s="448"/>
      <c r="J2" s="448"/>
      <c r="K2" s="448"/>
      <c r="L2" s="448"/>
      <c r="M2" s="448"/>
      <c r="N2" s="448"/>
      <c r="O2" s="448"/>
      <c r="P2" s="448"/>
      <c r="Q2" s="448"/>
      <c r="R2" s="448"/>
      <c r="S2" s="448"/>
      <c r="T2" s="448"/>
      <c r="U2" s="448"/>
      <c r="V2" s="448"/>
      <c r="W2" s="448"/>
      <c r="X2" s="448"/>
    </row>
    <row r="3" spans="1:24" ht="15" customHeight="1">
      <c r="A3" s="448"/>
      <c r="B3" s="448"/>
      <c r="C3" s="448"/>
      <c r="D3" s="448"/>
      <c r="E3" s="448"/>
      <c r="F3" s="448"/>
      <c r="G3" s="448"/>
      <c r="H3" s="448"/>
      <c r="I3" s="448"/>
      <c r="J3" s="448"/>
      <c r="K3" s="448"/>
      <c r="L3" s="448"/>
      <c r="M3" s="448"/>
      <c r="N3" s="448"/>
      <c r="O3" s="448"/>
      <c r="P3" s="448"/>
      <c r="Q3" s="448"/>
      <c r="R3" s="448"/>
      <c r="S3" s="448"/>
      <c r="T3" s="448"/>
      <c r="U3" s="448"/>
      <c r="V3" s="448"/>
      <c r="W3" s="448"/>
      <c r="X3" s="448"/>
    </row>
    <row r="4" spans="1:24" s="1" customFormat="1" ht="15" customHeight="1">
      <c r="A4" s="117"/>
      <c r="B4" s="117"/>
      <c r="C4" s="117"/>
      <c r="D4" s="117"/>
      <c r="E4" s="117"/>
      <c r="F4" s="117"/>
      <c r="G4" s="117"/>
      <c r="H4" s="117"/>
      <c r="I4" s="117"/>
      <c r="J4" s="117"/>
      <c r="K4" s="117"/>
      <c r="L4" s="117"/>
      <c r="M4" s="117"/>
      <c r="N4" s="117"/>
      <c r="O4" s="117"/>
      <c r="P4" s="117"/>
      <c r="Q4" s="117"/>
      <c r="R4" s="117"/>
      <c r="S4" s="117"/>
      <c r="T4" s="117"/>
      <c r="U4" s="117"/>
      <c r="V4" s="117"/>
      <c r="W4" s="117"/>
      <c r="X4" s="117"/>
    </row>
    <row r="5" spans="1:24" s="1" customFormat="1" ht="24" customHeight="1" thickBot="1">
      <c r="A5" s="117"/>
      <c r="B5" s="157" t="s">
        <v>19</v>
      </c>
      <c r="C5" s="158"/>
      <c r="D5" s="159">
        <f>COUNTIF(B11:B1005,"*ZDHC_Req*")</f>
        <v>20</v>
      </c>
      <c r="E5" s="157" t="s">
        <v>157</v>
      </c>
      <c r="F5" s="158"/>
      <c r="G5" s="159">
        <f>D6</f>
        <v>1</v>
      </c>
      <c r="H5" s="157" t="s">
        <v>18</v>
      </c>
      <c r="I5" s="158"/>
      <c r="J5" s="159">
        <f>G6</f>
        <v>1</v>
      </c>
      <c r="K5" s="157" t="s">
        <v>44</v>
      </c>
      <c r="L5" s="158"/>
      <c r="M5" s="159">
        <f>COUNTIF(M8:M1004,"For Verification")</f>
        <v>1</v>
      </c>
      <c r="N5" s="158" t="s">
        <v>156</v>
      </c>
      <c r="O5" s="158"/>
      <c r="P5" s="159">
        <f>J6</f>
        <v>1</v>
      </c>
      <c r="S5" s="117"/>
      <c r="T5" s="117"/>
      <c r="U5" s="117"/>
      <c r="V5" s="117"/>
      <c r="W5" s="117"/>
      <c r="X5" s="117"/>
    </row>
    <row r="6" spans="1:24" s="1" customFormat="1" ht="21.75" thickTop="1">
      <c r="A6" s="117"/>
      <c r="B6" s="160" t="s">
        <v>158</v>
      </c>
      <c r="C6" s="25"/>
      <c r="D6" s="166">
        <f>COUNTIF(K1:K1004,"For Review")</f>
        <v>1</v>
      </c>
      <c r="E6" s="160" t="s">
        <v>150</v>
      </c>
      <c r="F6" s="25"/>
      <c r="G6" s="166">
        <f>COUNTIF(L1:L1005,"QA Ready")</f>
        <v>1</v>
      </c>
      <c r="H6" s="160" t="s">
        <v>158</v>
      </c>
      <c r="I6" s="25"/>
      <c r="J6" s="166">
        <f>COUNTIF(M1:M1004,"For verification")</f>
        <v>1</v>
      </c>
      <c r="K6" s="160" t="s">
        <v>150</v>
      </c>
      <c r="L6" s="25"/>
      <c r="M6" s="161">
        <f>COUNTIF(N8:N1003,"Demo ready")</f>
        <v>0</v>
      </c>
      <c r="N6" s="118" t="s">
        <v>150</v>
      </c>
      <c r="O6" s="25"/>
      <c r="P6" s="161">
        <f>COUNTIF(O8:O1005,"Production Ready")</f>
        <v>0</v>
      </c>
      <c r="S6" s="117"/>
      <c r="T6" s="117"/>
      <c r="U6" s="117"/>
      <c r="V6" s="117"/>
      <c r="W6" s="117"/>
      <c r="X6" s="117"/>
    </row>
    <row r="7" spans="1:24" s="1" customFormat="1" ht="21">
      <c r="A7" s="117"/>
      <c r="B7" s="162" t="s">
        <v>159</v>
      </c>
      <c r="C7" s="163"/>
      <c r="D7" s="165">
        <f>D5-D6</f>
        <v>19</v>
      </c>
      <c r="E7" s="162" t="s">
        <v>165</v>
      </c>
      <c r="F7" s="163"/>
      <c r="G7" s="165">
        <f>G5-G6</f>
        <v>0</v>
      </c>
      <c r="H7" s="162" t="s">
        <v>159</v>
      </c>
      <c r="I7" s="163"/>
      <c r="J7" s="165">
        <f>J5-J6</f>
        <v>0</v>
      </c>
      <c r="K7" s="162" t="s">
        <v>159</v>
      </c>
      <c r="L7" s="163"/>
      <c r="M7" s="165">
        <f>COUNTIF(N9:N1004,"For Completion")</f>
        <v>0</v>
      </c>
      <c r="N7" s="164" t="s">
        <v>159</v>
      </c>
      <c r="O7" s="163"/>
      <c r="P7" s="165">
        <f>COUNTIF(O9:O1004,"For Completion")</f>
        <v>0</v>
      </c>
      <c r="S7" s="117"/>
      <c r="T7" s="117"/>
      <c r="U7" s="117"/>
      <c r="V7" s="117"/>
      <c r="W7" s="117"/>
      <c r="X7" s="117"/>
    </row>
    <row r="8" spans="1:24" s="1" customFormat="1" ht="15" customHeight="1">
      <c r="A8" s="117"/>
      <c r="B8" s="153"/>
      <c r="C8" s="154"/>
      <c r="D8" s="155"/>
      <c r="E8" s="153"/>
      <c r="F8" s="154"/>
      <c r="G8" s="155"/>
      <c r="H8" s="156"/>
      <c r="I8" s="156"/>
      <c r="J8" s="156"/>
      <c r="K8" s="156"/>
      <c r="L8" s="156"/>
      <c r="M8" s="156"/>
      <c r="N8" s="156"/>
      <c r="O8" s="156"/>
      <c r="P8" s="156"/>
      <c r="Q8" s="117"/>
      <c r="R8" s="117"/>
      <c r="S8" s="117"/>
      <c r="T8" s="117"/>
      <c r="U8" s="117"/>
      <c r="V8" s="117"/>
      <c r="W8" s="117"/>
      <c r="X8" s="117"/>
    </row>
    <row r="9" spans="1:24">
      <c r="A9" s="79"/>
      <c r="B9" s="1"/>
      <c r="C9" s="5"/>
      <c r="D9" s="5"/>
      <c r="E9" s="16"/>
      <c r="F9" s="26"/>
      <c r="G9" s="14"/>
      <c r="H9" s="5"/>
      <c r="I9" s="5"/>
      <c r="J9" s="5"/>
      <c r="K9" s="25"/>
      <c r="L9" s="25"/>
      <c r="M9" s="25"/>
      <c r="N9" s="25"/>
      <c r="O9" s="1"/>
      <c r="P9" s="1"/>
      <c r="Q9" s="1"/>
      <c r="R9" s="1"/>
      <c r="S9" s="1"/>
      <c r="T9" s="1"/>
      <c r="U9" s="1"/>
      <c r="V9" s="1"/>
      <c r="W9" s="1"/>
      <c r="X9" s="1"/>
    </row>
    <row r="10" spans="1:24" ht="18.75">
      <c r="A10" s="79"/>
      <c r="B10" s="1"/>
      <c r="C10" s="1"/>
      <c r="D10" s="1"/>
      <c r="E10" s="9"/>
      <c r="F10" s="15"/>
      <c r="G10" s="14"/>
      <c r="H10" s="1"/>
      <c r="I10" s="1"/>
      <c r="J10" s="1"/>
      <c r="K10" s="460" t="s">
        <v>16</v>
      </c>
      <c r="L10" s="460"/>
      <c r="M10" s="447" t="s">
        <v>20</v>
      </c>
      <c r="N10" s="447"/>
      <c r="O10" s="447"/>
      <c r="P10" s="1"/>
      <c r="Q10" s="1"/>
      <c r="R10" s="1"/>
      <c r="S10" s="1"/>
      <c r="T10" s="1"/>
      <c r="U10" s="1"/>
      <c r="V10" s="1"/>
      <c r="W10" s="1"/>
      <c r="X10" s="1"/>
    </row>
    <row r="11" spans="1:24" outlineLevel="1" collapsed="1">
      <c r="A11" s="62"/>
      <c r="B11" s="20" t="s">
        <v>8</v>
      </c>
      <c r="C11" s="455" t="s">
        <v>9</v>
      </c>
      <c r="D11" s="455"/>
      <c r="E11" s="455"/>
      <c r="F11" s="455"/>
      <c r="G11" s="455"/>
      <c r="H11" s="455"/>
      <c r="I11" s="455"/>
      <c r="J11" s="456"/>
      <c r="K11" s="89" t="s">
        <v>19</v>
      </c>
      <c r="L11" s="89" t="s">
        <v>15</v>
      </c>
      <c r="M11" s="89" t="s">
        <v>18</v>
      </c>
      <c r="N11" s="89" t="s">
        <v>44</v>
      </c>
      <c r="O11" s="89" t="s">
        <v>156</v>
      </c>
      <c r="P11" s="1"/>
      <c r="Q11" s="1"/>
      <c r="R11" s="1"/>
      <c r="S11" s="1"/>
      <c r="T11" s="1"/>
      <c r="U11" s="1"/>
      <c r="V11" s="1"/>
      <c r="W11" s="1"/>
      <c r="X11" s="1"/>
    </row>
    <row r="12" spans="1:24" outlineLevel="1">
      <c r="A12" s="62"/>
      <c r="B12" s="27" t="s">
        <v>10</v>
      </c>
      <c r="C12" s="28">
        <v>1</v>
      </c>
      <c r="D12" s="457" t="s">
        <v>12</v>
      </c>
      <c r="E12" s="458"/>
      <c r="F12" s="458"/>
      <c r="G12" s="458"/>
      <c r="H12" s="458"/>
      <c r="I12" s="458"/>
      <c r="J12" s="458"/>
      <c r="K12" s="107" t="str">
        <f>IF(AND(K14="Passed",K19="Passed"),"For Review","For Completion")</f>
        <v>For Review</v>
      </c>
      <c r="L12" s="107" t="str">
        <f>IF(AND(L14="Passed",L19="Passed"),"QA Ready","For Completion")</f>
        <v>QA Ready</v>
      </c>
      <c r="M12" s="107" t="str">
        <f>IF(AND(M14="Passed",M19="Passed"),"For Verification","For Completion")</f>
        <v>For Verification</v>
      </c>
      <c r="N12" s="107" t="e">
        <f>IF(AND(N14="Passed",N19="Passed"),"Demo Ready","For Completion")</f>
        <v>#VALUE!</v>
      </c>
      <c r="O12" s="107" t="e">
        <f>IF(AND(O14="Passed",O19="Passed"),"Production Ready","For Completion")</f>
        <v>#VALUE!</v>
      </c>
      <c r="P12" s="1"/>
      <c r="Q12" s="1"/>
      <c r="R12" s="1"/>
      <c r="S12" s="1"/>
      <c r="T12" s="1"/>
      <c r="U12" s="1"/>
      <c r="V12" s="1"/>
      <c r="W12" s="1"/>
      <c r="X12" s="1"/>
    </row>
    <row r="13" spans="1:24" ht="17.25" hidden="1" customHeight="1" outlineLevel="2">
      <c r="A13" s="62"/>
      <c r="B13" s="5"/>
      <c r="C13" s="8"/>
      <c r="D13" s="29">
        <v>1.1000000000000001</v>
      </c>
      <c r="E13" s="453" t="s">
        <v>78</v>
      </c>
      <c r="F13" s="454"/>
      <c r="G13" s="454"/>
      <c r="H13" s="454"/>
      <c r="I13" s="454"/>
      <c r="J13" s="454"/>
      <c r="K13" s="108"/>
      <c r="L13" s="108"/>
      <c r="M13" s="88"/>
      <c r="N13" s="88"/>
      <c r="O13" s="88"/>
      <c r="P13" s="1"/>
      <c r="Q13" s="1"/>
      <c r="R13" s="1"/>
      <c r="S13" s="1"/>
      <c r="T13" s="1"/>
      <c r="U13" s="1"/>
      <c r="V13" s="1"/>
      <c r="W13" s="1"/>
      <c r="X13" s="1"/>
    </row>
    <row r="14" spans="1:24" ht="54.75" hidden="1" customHeight="1" outlineLevel="2">
      <c r="A14" s="62"/>
      <c r="B14" s="5"/>
      <c r="C14" s="8"/>
      <c r="D14" s="8"/>
      <c r="E14" s="44" t="str">
        <f>HYPERLINK("#'Scripts and Execution'!A10","1.1.1")</f>
        <v>1.1.1</v>
      </c>
      <c r="F14" s="467" t="s">
        <v>11</v>
      </c>
      <c r="G14" s="467"/>
      <c r="H14" s="467"/>
      <c r="I14" s="467"/>
      <c r="J14" s="468"/>
      <c r="K14" s="306" t="str">
        <f t="shared" ref="K14:L14" si="0">IF(AND(K15:K18),"Passed","Failed")</f>
        <v>Passed</v>
      </c>
      <c r="L14" s="306" t="str">
        <f t="shared" si="0"/>
        <v>Passed</v>
      </c>
      <c r="M14" s="306" t="str">
        <f>IF(AND(M15:M18),"Passed","Failed")</f>
        <v>Passed</v>
      </c>
      <c r="N14" s="306" t="e">
        <f t="shared" ref="N14:O14" si="1">IF(AND(N15:N18),"Passed","Failed")</f>
        <v>#VALUE!</v>
      </c>
      <c r="O14" s="306" t="e">
        <f t="shared" si="1"/>
        <v>#VALUE!</v>
      </c>
      <c r="P14" s="1"/>
      <c r="Q14" s="1"/>
      <c r="R14" s="1"/>
      <c r="S14" s="1"/>
      <c r="T14" s="1"/>
      <c r="U14" s="1"/>
      <c r="V14" s="1"/>
      <c r="W14" s="1"/>
      <c r="X14" s="1"/>
    </row>
    <row r="15" spans="1:24" ht="15.75" hidden="1" customHeight="1" outlineLevel="3">
      <c r="A15" s="62"/>
      <c r="B15" s="5"/>
      <c r="C15" s="8"/>
      <c r="D15" s="8"/>
      <c r="E15" s="16"/>
      <c r="F15" s="308" t="str">
        <f>HYPERLINK("#'Scripts and Execution'!B10","1.1.1.1")</f>
        <v>1.1.1.1</v>
      </c>
      <c r="G15" s="466" t="s">
        <v>160</v>
      </c>
      <c r="H15" s="466"/>
      <c r="I15" s="466"/>
      <c r="J15" s="466"/>
      <c r="K15" s="109" t="b">
        <v>1</v>
      </c>
      <c r="L15" s="109" t="b">
        <v>1</v>
      </c>
      <c r="M15" s="109" t="b">
        <v>1</v>
      </c>
      <c r="N15" s="109"/>
      <c r="O15" s="109"/>
      <c r="P15" s="1"/>
      <c r="Q15" s="1"/>
      <c r="R15" s="1"/>
      <c r="S15" s="1"/>
      <c r="T15" s="1"/>
      <c r="U15" s="1"/>
      <c r="V15" s="1"/>
      <c r="W15" s="1"/>
      <c r="X15" s="1"/>
    </row>
    <row r="16" spans="1:24" ht="93" hidden="1" customHeight="1" outlineLevel="3">
      <c r="A16" s="62"/>
      <c r="B16" s="5"/>
      <c r="C16" s="8"/>
      <c r="D16" s="8"/>
      <c r="E16" s="16"/>
      <c r="F16" s="308" t="str">
        <f>HYPERLINK("#'Scripts and Execution'!B10","1.1.1.2")</f>
        <v>1.1.1.2</v>
      </c>
      <c r="G16" s="466" t="s">
        <v>155</v>
      </c>
      <c r="H16" s="466"/>
      <c r="I16" s="466"/>
      <c r="J16" s="466"/>
      <c r="K16" s="109" t="b">
        <v>1</v>
      </c>
      <c r="L16" s="109" t="b">
        <v>1</v>
      </c>
      <c r="M16" s="109" t="b">
        <v>1</v>
      </c>
      <c r="N16" s="109"/>
      <c r="O16" s="109"/>
      <c r="P16" s="1"/>
      <c r="Q16" s="1"/>
      <c r="R16" s="1"/>
      <c r="S16" s="1"/>
      <c r="T16" s="1"/>
      <c r="U16" s="1"/>
      <c r="V16" s="1"/>
      <c r="W16" s="1"/>
      <c r="X16" s="1"/>
    </row>
    <row r="17" spans="1:24" ht="59.25" hidden="1" customHeight="1" outlineLevel="3">
      <c r="A17" s="62"/>
      <c r="B17" s="5"/>
      <c r="C17" s="8"/>
      <c r="D17" s="8"/>
      <c r="E17" s="16"/>
      <c r="F17" s="308" t="str">
        <f>HYPERLINK("#'Scripts and Execution'!B10","1.1.1.3")</f>
        <v>1.1.1.3</v>
      </c>
      <c r="G17" s="466" t="s">
        <v>161</v>
      </c>
      <c r="H17" s="466"/>
      <c r="I17" s="466"/>
      <c r="J17" s="466"/>
      <c r="K17" s="109" t="b">
        <v>1</v>
      </c>
      <c r="L17" s="109" t="b">
        <v>1</v>
      </c>
      <c r="M17" s="109" t="b">
        <v>1</v>
      </c>
      <c r="N17" s="109"/>
      <c r="O17" s="109"/>
      <c r="P17" s="1"/>
      <c r="Q17" s="1"/>
      <c r="R17" s="1"/>
      <c r="S17" s="1"/>
      <c r="T17" s="1"/>
      <c r="U17" s="1"/>
      <c r="V17" s="1"/>
      <c r="W17" s="1"/>
      <c r="X17" s="1"/>
    </row>
    <row r="18" spans="1:24" ht="11.25" hidden="1" customHeight="1" outlineLevel="3">
      <c r="A18" s="62"/>
      <c r="B18" s="5"/>
      <c r="C18" s="8"/>
      <c r="D18" s="8"/>
      <c r="E18" s="16"/>
      <c r="F18" s="308" t="str">
        <f>HYPERLINK("#'Scripts and Execution'!B10","1.1.1.4")</f>
        <v>1.1.1.4</v>
      </c>
      <c r="G18" s="466" t="s">
        <v>13</v>
      </c>
      <c r="H18" s="466"/>
      <c r="I18" s="466"/>
      <c r="J18" s="466"/>
      <c r="K18" s="109" t="b">
        <v>1</v>
      </c>
      <c r="L18" s="109" t="b">
        <v>1</v>
      </c>
      <c r="M18" s="109" t="b">
        <v>1</v>
      </c>
      <c r="N18" s="109"/>
      <c r="O18" s="109"/>
      <c r="P18" s="1"/>
      <c r="Q18" s="1"/>
      <c r="R18" s="1"/>
      <c r="S18" s="1"/>
      <c r="T18" s="1"/>
      <c r="U18" s="1"/>
      <c r="V18" s="1"/>
      <c r="W18" s="1"/>
      <c r="X18" s="1"/>
    </row>
    <row r="19" spans="1:24" ht="30.75" hidden="1" customHeight="1" outlineLevel="2" collapsed="1">
      <c r="A19" s="62"/>
      <c r="B19" s="5"/>
      <c r="C19" s="5"/>
      <c r="D19" s="5"/>
      <c r="E19" s="305" t="s">
        <v>39</v>
      </c>
      <c r="F19" s="469" t="s">
        <v>14</v>
      </c>
      <c r="G19" s="469"/>
      <c r="H19" s="469"/>
      <c r="I19" s="469"/>
      <c r="J19" s="469"/>
      <c r="K19" s="135" t="str">
        <f t="shared" ref="K19" si="2">IF(AND(K20:K23),"Passed","Failed")</f>
        <v>Passed</v>
      </c>
      <c r="L19" s="135" t="str">
        <f t="shared" ref="L19" si="3">IF(AND(L20:L23),"Passed","Failed")</f>
        <v>Passed</v>
      </c>
      <c r="M19" s="135" t="str">
        <f>IF(AND(M20:M23),"Passed","Failed")</f>
        <v>Passed</v>
      </c>
      <c r="N19" s="135" t="b">
        <v>0</v>
      </c>
      <c r="O19" s="135" t="e">
        <f t="shared" ref="O19" si="4">IF(AND(O20:O23),"Passed","Failed")</f>
        <v>#VALUE!</v>
      </c>
      <c r="P19" s="1"/>
      <c r="Q19" s="1"/>
      <c r="R19" s="1"/>
      <c r="S19" s="1"/>
      <c r="T19" s="1"/>
      <c r="U19" s="1"/>
      <c r="V19" s="1"/>
      <c r="W19" s="1"/>
      <c r="X19" s="1"/>
    </row>
    <row r="20" spans="1:24" ht="42" hidden="1" customHeight="1" outlineLevel="3">
      <c r="A20" s="62"/>
      <c r="B20" s="5"/>
      <c r="C20" s="5"/>
      <c r="D20" s="5"/>
      <c r="E20" s="16"/>
      <c r="F20" s="308" t="str">
        <f>HYPERLINK("#'Add Customer'!A1","1.2.1.1")</f>
        <v>1.2.1.1</v>
      </c>
      <c r="G20" s="466" t="s">
        <v>160</v>
      </c>
      <c r="H20" s="466"/>
      <c r="I20" s="466"/>
      <c r="J20" s="466"/>
      <c r="K20" s="109" t="b">
        <v>1</v>
      </c>
      <c r="L20" s="109" t="b">
        <v>1</v>
      </c>
      <c r="M20" s="88" t="b">
        <v>1</v>
      </c>
      <c r="N20" s="88"/>
      <c r="O20" s="88"/>
      <c r="P20" s="1"/>
      <c r="Q20" s="1"/>
      <c r="R20" s="1"/>
      <c r="S20" s="1"/>
      <c r="T20" s="1"/>
      <c r="U20" s="1"/>
      <c r="V20" s="1"/>
      <c r="W20" s="1"/>
      <c r="X20" s="1"/>
    </row>
    <row r="21" spans="1:24" ht="74.25" hidden="1" customHeight="1" outlineLevel="3">
      <c r="A21" s="62"/>
      <c r="B21" s="1"/>
      <c r="C21" s="5"/>
      <c r="D21" s="5"/>
      <c r="E21" s="16"/>
      <c r="F21" s="308" t="str">
        <f>HYPERLINK("#'Test Case'!A1","1.2.1.2")</f>
        <v>1.2.1.2</v>
      </c>
      <c r="G21" s="466" t="s">
        <v>155</v>
      </c>
      <c r="H21" s="466"/>
      <c r="I21" s="466"/>
      <c r="J21" s="466"/>
      <c r="K21" s="109" t="b">
        <v>1</v>
      </c>
      <c r="L21" s="109" t="b">
        <v>1</v>
      </c>
      <c r="M21" s="88" t="b">
        <v>1</v>
      </c>
      <c r="N21" s="88"/>
      <c r="O21" s="88"/>
      <c r="P21" s="1"/>
      <c r="Q21" s="1"/>
      <c r="R21" s="1"/>
      <c r="S21" s="1"/>
      <c r="T21" s="1"/>
      <c r="U21" s="1"/>
      <c r="V21" s="1"/>
      <c r="W21" s="1"/>
      <c r="X21" s="1"/>
    </row>
    <row r="22" spans="1:24" ht="54" hidden="1" customHeight="1" outlineLevel="3">
      <c r="A22" s="62"/>
      <c r="B22" s="1"/>
      <c r="C22" s="1"/>
      <c r="D22" s="1"/>
      <c r="E22" s="1"/>
      <c r="F22" s="308" t="str">
        <f>HYPERLINK("#'Test Case'!A1","1.2.1.3")</f>
        <v>1.2.1.3</v>
      </c>
      <c r="G22" s="466" t="s">
        <v>161</v>
      </c>
      <c r="H22" s="466"/>
      <c r="I22" s="466"/>
      <c r="J22" s="466"/>
      <c r="K22" s="109" t="b">
        <v>1</v>
      </c>
      <c r="L22" s="109" t="b">
        <v>1</v>
      </c>
      <c r="M22" s="88" t="b">
        <v>1</v>
      </c>
      <c r="N22" s="88"/>
      <c r="O22" s="88"/>
      <c r="P22" s="1"/>
      <c r="Q22" s="1"/>
      <c r="R22" s="1"/>
      <c r="S22" s="1"/>
      <c r="T22" s="1"/>
      <c r="U22" s="1"/>
      <c r="V22" s="1"/>
      <c r="W22" s="1"/>
      <c r="X22" s="1"/>
    </row>
    <row r="23" spans="1:24" ht="45" hidden="1" customHeight="1" outlineLevel="3">
      <c r="A23" s="62"/>
      <c r="B23" s="1"/>
      <c r="C23" s="1"/>
      <c r="D23" s="1"/>
      <c r="E23" s="1"/>
      <c r="F23" s="308" t="str">
        <f>HYPERLINK("#'Test Case'!A1","1.2.1.4")</f>
        <v>1.2.1.4</v>
      </c>
      <c r="G23" s="466" t="s">
        <v>13</v>
      </c>
      <c r="H23" s="466"/>
      <c r="I23" s="466"/>
      <c r="J23" s="466"/>
      <c r="K23" s="109" t="b">
        <v>1</v>
      </c>
      <c r="L23" s="109" t="b">
        <v>1</v>
      </c>
      <c r="M23" s="88" t="b">
        <v>1</v>
      </c>
      <c r="N23" s="88"/>
      <c r="O23" s="88"/>
      <c r="P23" s="1"/>
      <c r="Q23" s="1"/>
      <c r="R23" s="1"/>
      <c r="S23" s="1"/>
      <c r="T23" s="1"/>
      <c r="U23" s="1"/>
      <c r="V23" s="1"/>
      <c r="W23" s="1"/>
      <c r="X23" s="1"/>
    </row>
    <row r="24" spans="1:24" ht="23.25" hidden="1" customHeight="1" outlineLevel="2" collapsed="1">
      <c r="A24" s="62"/>
      <c r="B24" s="1"/>
      <c r="C24" s="1"/>
      <c r="D24" s="1"/>
      <c r="E24" s="1"/>
      <c r="F24" s="18"/>
      <c r="G24" s="19"/>
      <c r="H24" s="19"/>
      <c r="I24" s="19"/>
      <c r="J24" s="19"/>
      <c r="K24" s="307"/>
      <c r="L24" s="307"/>
      <c r="M24" s="307"/>
      <c r="N24" s="307"/>
      <c r="O24" s="307"/>
      <c r="P24" s="1"/>
      <c r="Q24" s="1"/>
      <c r="R24" s="1"/>
      <c r="S24" s="1"/>
      <c r="T24" s="1"/>
      <c r="U24" s="1"/>
      <c r="V24" s="1"/>
      <c r="W24" s="1"/>
      <c r="X24" s="1"/>
    </row>
    <row r="25" spans="1:24" ht="18.75" outlineLevel="1" collapsed="1">
      <c r="A25" s="62"/>
      <c r="C25" s="1"/>
      <c r="D25" s="1"/>
      <c r="E25" s="9"/>
      <c r="F25" s="15"/>
      <c r="G25" s="14"/>
      <c r="H25" s="1"/>
      <c r="I25" s="1"/>
      <c r="J25" s="1"/>
      <c r="K25" s="460" t="s">
        <v>16</v>
      </c>
      <c r="L25" s="460"/>
      <c r="M25" s="447" t="s">
        <v>20</v>
      </c>
      <c r="N25" s="447"/>
      <c r="O25" s="447"/>
      <c r="P25" s="1"/>
      <c r="Q25" s="1"/>
      <c r="R25" s="1"/>
      <c r="S25" s="1"/>
      <c r="T25" s="1"/>
      <c r="U25" s="1"/>
      <c r="V25" s="1"/>
      <c r="W25" s="1"/>
      <c r="X25" s="1"/>
    </row>
    <row r="26" spans="1:24" outlineLevel="1">
      <c r="A26" s="62"/>
      <c r="B26" s="20" t="s">
        <v>8</v>
      </c>
      <c r="C26" s="455" t="s">
        <v>9</v>
      </c>
      <c r="D26" s="455"/>
      <c r="E26" s="455"/>
      <c r="F26" s="455"/>
      <c r="G26" s="455"/>
      <c r="H26" s="455"/>
      <c r="I26" s="455"/>
      <c r="J26" s="456"/>
      <c r="K26" s="89" t="s">
        <v>19</v>
      </c>
      <c r="L26" s="89" t="s">
        <v>15</v>
      </c>
      <c r="M26" s="89" t="s">
        <v>18</v>
      </c>
      <c r="N26" s="89" t="s">
        <v>44</v>
      </c>
      <c r="O26" s="89" t="s">
        <v>156</v>
      </c>
      <c r="P26" s="1"/>
      <c r="Q26" s="1"/>
      <c r="R26" s="1"/>
      <c r="S26" s="1"/>
      <c r="T26" s="1"/>
      <c r="U26" s="1"/>
      <c r="V26" s="1"/>
      <c r="W26" s="1"/>
      <c r="X26" s="1"/>
    </row>
    <row r="27" spans="1:24" outlineLevel="1">
      <c r="A27" s="62"/>
      <c r="B27" s="27" t="s">
        <v>21</v>
      </c>
      <c r="C27" s="28">
        <v>2</v>
      </c>
      <c r="D27" s="457" t="s">
        <v>25</v>
      </c>
      <c r="E27" s="458"/>
      <c r="F27" s="458"/>
      <c r="G27" s="458"/>
      <c r="H27" s="458"/>
      <c r="I27" s="458"/>
      <c r="J27" s="458"/>
      <c r="K27" s="107" t="e">
        <f>IF(AND(K29="Passed",K34="Passed"),"For review","For completion")</f>
        <v>#VALUE!</v>
      </c>
      <c r="L27" s="107" t="e">
        <f>IF(AND(L29="Passed",L34="Passed"),"QA ready","For completion")</f>
        <v>#VALUE!</v>
      </c>
      <c r="M27" s="107" t="e">
        <f>IF(AND(M29="Passed",M34="Passed"),"For verification","For completion")</f>
        <v>#VALUE!</v>
      </c>
      <c r="N27" s="107" t="e">
        <f>IF(AND(N29="Passed",N34="Passed"),"Demo ready","For completion")</f>
        <v>#VALUE!</v>
      </c>
      <c r="O27" s="107" t="e">
        <f>IF(AND(O29="Passed",O34="Passed"),"Production ready","For completion")</f>
        <v>#VALUE!</v>
      </c>
      <c r="P27" s="1"/>
      <c r="Q27" s="1"/>
      <c r="R27" s="1"/>
      <c r="S27" s="1"/>
      <c r="T27" s="1"/>
      <c r="U27" s="1"/>
      <c r="V27" s="1"/>
      <c r="W27" s="1"/>
      <c r="X27" s="1"/>
    </row>
    <row r="28" spans="1:24" ht="15" hidden="1" customHeight="1" outlineLevel="2">
      <c r="A28" s="62"/>
      <c r="B28" s="5"/>
      <c r="C28" s="8"/>
      <c r="D28" s="29" t="s">
        <v>23</v>
      </c>
      <c r="E28" s="453" t="s">
        <v>26</v>
      </c>
      <c r="F28" s="454"/>
      <c r="G28" s="454"/>
      <c r="H28" s="454"/>
      <c r="I28" s="454"/>
      <c r="J28" s="454"/>
      <c r="K28" s="108"/>
      <c r="L28" s="108"/>
      <c r="M28" s="88"/>
      <c r="N28" s="88"/>
      <c r="O28" s="88"/>
      <c r="P28" s="1"/>
      <c r="Q28" s="1"/>
      <c r="R28" s="1"/>
      <c r="S28" s="1"/>
      <c r="T28" s="1"/>
      <c r="U28" s="1"/>
      <c r="V28" s="1"/>
      <c r="W28" s="1"/>
      <c r="X28" s="1"/>
    </row>
    <row r="29" spans="1:24" ht="15" hidden="1" customHeight="1" outlineLevel="2">
      <c r="A29" s="62"/>
      <c r="B29" s="5"/>
      <c r="C29" s="8"/>
      <c r="D29" s="8"/>
      <c r="E29" s="33" t="s">
        <v>24</v>
      </c>
      <c r="F29" s="450" t="s">
        <v>34</v>
      </c>
      <c r="G29" s="450"/>
      <c r="H29" s="450"/>
      <c r="I29" s="450"/>
      <c r="J29" s="451"/>
      <c r="K29" s="306" t="e">
        <f t="shared" ref="K29:L29" si="5">IF(AND(K30:K33),"Passed","Failed")</f>
        <v>#VALUE!</v>
      </c>
      <c r="L29" s="306" t="e">
        <f t="shared" si="5"/>
        <v>#VALUE!</v>
      </c>
      <c r="M29" s="306" t="e">
        <f>IF(AND(M30:M33),"Passed","Failed")</f>
        <v>#VALUE!</v>
      </c>
      <c r="N29" s="306" t="e">
        <f t="shared" ref="N29:O29" si="6">IF(AND(N30:N33),"Passed","Failed")</f>
        <v>#VALUE!</v>
      </c>
      <c r="O29" s="306" t="e">
        <f t="shared" si="6"/>
        <v>#VALUE!</v>
      </c>
      <c r="P29" s="1"/>
      <c r="Q29" s="1"/>
      <c r="R29" s="1"/>
      <c r="S29" s="1"/>
      <c r="T29" s="1"/>
      <c r="U29" s="1"/>
      <c r="V29" s="1"/>
      <c r="W29" s="1"/>
      <c r="X29" s="1"/>
    </row>
    <row r="30" spans="1:24" ht="15" hidden="1" customHeight="1" outlineLevel="3">
      <c r="A30" s="62"/>
      <c r="B30" s="5"/>
      <c r="C30" s="8"/>
      <c r="D30" s="8"/>
      <c r="E30" s="16"/>
      <c r="F30" s="38" t="str">
        <f>HYPERLINK("#'Test Case'!A1","n.1.1.1")</f>
        <v>n.1.1.1</v>
      </c>
      <c r="G30" s="449" t="s">
        <v>68</v>
      </c>
      <c r="H30" s="449"/>
      <c r="I30" s="449"/>
      <c r="J30" s="452"/>
      <c r="K30" s="88"/>
      <c r="L30" s="88"/>
      <c r="M30" s="88"/>
      <c r="N30" s="88"/>
      <c r="O30" s="88"/>
      <c r="P30" s="1"/>
      <c r="Q30" s="1"/>
      <c r="R30" s="1"/>
      <c r="S30" s="1"/>
      <c r="T30" s="1"/>
      <c r="U30" s="1"/>
      <c r="V30" s="1"/>
      <c r="W30" s="1"/>
      <c r="X30" s="1"/>
    </row>
    <row r="31" spans="1:24" ht="15" hidden="1" customHeight="1" outlineLevel="3">
      <c r="A31" s="62"/>
      <c r="B31" s="5"/>
      <c r="C31" s="8"/>
      <c r="D31" s="8"/>
      <c r="E31" s="16"/>
      <c r="F31" s="38" t="str">
        <f>HYPERLINK("#'Test Case'!A1","n.1.1.2")</f>
        <v>n.1.1.2</v>
      </c>
      <c r="G31" s="449" t="s">
        <v>69</v>
      </c>
      <c r="H31" s="449"/>
      <c r="I31" s="449"/>
      <c r="J31" s="452"/>
      <c r="K31" s="88"/>
      <c r="L31" s="88"/>
      <c r="M31" s="88"/>
      <c r="N31" s="88"/>
      <c r="O31" s="88"/>
      <c r="P31" s="1"/>
      <c r="Q31" s="1"/>
      <c r="R31" s="1"/>
      <c r="S31" s="1"/>
      <c r="T31" s="1"/>
      <c r="U31" s="1"/>
      <c r="V31" s="1"/>
      <c r="W31" s="1"/>
      <c r="X31" s="1"/>
    </row>
    <row r="32" spans="1:24" ht="15" hidden="1" customHeight="1" outlineLevel="3">
      <c r="A32" s="62"/>
      <c r="B32" s="5"/>
      <c r="C32" s="8"/>
      <c r="D32" s="8"/>
      <c r="E32" s="16"/>
      <c r="F32" s="38" t="str">
        <f>HYPERLINK("#'Test Case'!A1","n.1.1.3")</f>
        <v>n.1.1.3</v>
      </c>
      <c r="G32" s="449" t="s">
        <v>70</v>
      </c>
      <c r="H32" s="449"/>
      <c r="I32" s="449"/>
      <c r="J32" s="452"/>
      <c r="K32" s="88"/>
      <c r="L32" s="88"/>
      <c r="M32" s="88"/>
      <c r="N32" s="88"/>
      <c r="O32" s="88"/>
      <c r="P32" s="1"/>
      <c r="Q32" s="1"/>
      <c r="R32" s="1"/>
      <c r="S32" s="1"/>
      <c r="T32" s="1"/>
      <c r="U32" s="1"/>
      <c r="V32" s="1"/>
      <c r="W32" s="1"/>
      <c r="X32" s="1"/>
    </row>
    <row r="33" spans="1:24" ht="15" hidden="1" customHeight="1" outlineLevel="3">
      <c r="A33" s="62"/>
      <c r="B33" s="5"/>
      <c r="C33" s="8"/>
      <c r="D33" s="8"/>
      <c r="E33" s="16"/>
      <c r="F33" s="38" t="str">
        <f>HYPERLINK("#'Test Case'!A1","n.1.1.4")</f>
        <v>n.1.1.4</v>
      </c>
      <c r="G33" s="449" t="s">
        <v>71</v>
      </c>
      <c r="H33" s="449"/>
      <c r="I33" s="449"/>
      <c r="J33" s="452"/>
      <c r="K33" s="88"/>
      <c r="L33" s="88"/>
      <c r="M33" s="88"/>
      <c r="N33" s="88"/>
      <c r="O33" s="88"/>
      <c r="P33" s="1"/>
      <c r="Q33" s="1"/>
      <c r="R33" s="1"/>
      <c r="S33" s="1"/>
      <c r="T33" s="1"/>
      <c r="U33" s="1"/>
      <c r="V33" s="1"/>
      <c r="W33" s="1"/>
      <c r="X33" s="1"/>
    </row>
    <row r="34" spans="1:24" ht="15" hidden="1" customHeight="1" outlineLevel="2" collapsed="1">
      <c r="A34" s="62"/>
      <c r="B34" s="5"/>
      <c r="C34" s="5"/>
      <c r="D34" s="5"/>
      <c r="E34" s="32" t="s">
        <v>28</v>
      </c>
      <c r="F34" s="450" t="s">
        <v>35</v>
      </c>
      <c r="G34" s="450"/>
      <c r="H34" s="450"/>
      <c r="I34" s="450"/>
      <c r="J34" s="451"/>
      <c r="K34" s="135" t="e">
        <f t="shared" ref="K34:L34" si="7">IF(AND(K35:K38),"Passed","Failed")</f>
        <v>#VALUE!</v>
      </c>
      <c r="L34" s="135" t="e">
        <f t="shared" si="7"/>
        <v>#VALUE!</v>
      </c>
      <c r="M34" s="135" t="e">
        <f>IF(AND(M35:M38),"Passed","Failed")</f>
        <v>#VALUE!</v>
      </c>
      <c r="N34" s="135" t="e">
        <f t="shared" ref="N34:O34" si="8">IF(AND(N35:N38),"Passed","Failed")</f>
        <v>#VALUE!</v>
      </c>
      <c r="O34" s="135" t="e">
        <f t="shared" si="8"/>
        <v>#VALUE!</v>
      </c>
      <c r="P34" s="1"/>
      <c r="Q34" s="1"/>
      <c r="R34" s="1"/>
      <c r="S34" s="1"/>
      <c r="T34" s="1"/>
      <c r="U34" s="1"/>
      <c r="V34" s="1"/>
      <c r="W34" s="1"/>
      <c r="X34" s="1"/>
    </row>
    <row r="35" spans="1:24" ht="15" hidden="1" customHeight="1" outlineLevel="3">
      <c r="A35" s="62"/>
      <c r="B35" s="5"/>
      <c r="C35" s="5"/>
      <c r="D35" s="5"/>
      <c r="E35" s="16"/>
      <c r="F35" s="38" t="str">
        <f>HYPERLINK("#'Test Case'!A1","n.2.1.1")</f>
        <v>n.2.1.1</v>
      </c>
      <c r="G35" s="449" t="s">
        <v>68</v>
      </c>
      <c r="H35" s="449"/>
      <c r="I35" s="449"/>
      <c r="J35" s="452"/>
      <c r="K35" s="88"/>
      <c r="L35" s="88"/>
      <c r="M35" s="88"/>
      <c r="N35" s="88"/>
      <c r="O35" s="88"/>
      <c r="P35" s="1"/>
      <c r="Q35" s="1"/>
      <c r="R35" s="1"/>
      <c r="S35" s="1"/>
      <c r="T35" s="1"/>
      <c r="U35" s="1"/>
      <c r="V35" s="1"/>
      <c r="W35" s="1"/>
      <c r="X35" s="1"/>
    </row>
    <row r="36" spans="1:24" ht="15" hidden="1" customHeight="1" outlineLevel="3">
      <c r="A36" s="62"/>
      <c r="B36" s="5"/>
      <c r="C36" s="5"/>
      <c r="D36" s="5"/>
      <c r="E36" s="16"/>
      <c r="F36" s="38" t="str">
        <f>HYPERLINK("#'Test Case'!A1","n.2.1.2")</f>
        <v>n.2.1.2</v>
      </c>
      <c r="G36" s="449" t="s">
        <v>69</v>
      </c>
      <c r="H36" s="449"/>
      <c r="I36" s="449"/>
      <c r="J36" s="452"/>
      <c r="K36" s="88"/>
      <c r="L36" s="88"/>
      <c r="M36" s="88"/>
      <c r="N36" s="88"/>
      <c r="O36" s="88"/>
      <c r="P36" s="1"/>
      <c r="Q36" s="1"/>
      <c r="R36" s="1"/>
      <c r="S36" s="1"/>
      <c r="T36" s="1"/>
      <c r="U36" s="1"/>
      <c r="V36" s="1"/>
      <c r="W36" s="1"/>
      <c r="X36" s="1"/>
    </row>
    <row r="37" spans="1:24" ht="15" hidden="1" customHeight="1" outlineLevel="3">
      <c r="A37" s="62"/>
      <c r="B37" s="1"/>
      <c r="C37" s="1"/>
      <c r="D37" s="1"/>
      <c r="E37" s="1"/>
      <c r="F37" s="38" t="str">
        <f>HYPERLINK("#'Test Case'!A1","n.2.1.3")</f>
        <v>n.2.1.3</v>
      </c>
      <c r="G37" s="449" t="s">
        <v>70</v>
      </c>
      <c r="H37" s="449"/>
      <c r="I37" s="449"/>
      <c r="J37" s="452"/>
      <c r="K37" s="88"/>
      <c r="L37" s="88"/>
      <c r="M37" s="88"/>
      <c r="N37" s="88"/>
      <c r="O37" s="88"/>
      <c r="P37" s="1"/>
      <c r="Q37" s="1"/>
      <c r="R37" s="1"/>
      <c r="S37" s="1"/>
      <c r="T37" s="1"/>
      <c r="U37" s="1"/>
      <c r="V37" s="1"/>
      <c r="W37" s="1"/>
      <c r="X37" s="1"/>
    </row>
    <row r="38" spans="1:24" ht="15" hidden="1" customHeight="1" outlineLevel="3">
      <c r="A38" s="62"/>
      <c r="B38" s="1"/>
      <c r="C38" s="1"/>
      <c r="D38" s="1"/>
      <c r="E38" s="1"/>
      <c r="F38" s="38" t="str">
        <f>HYPERLINK("#'Test Case'!A1","n.2.1.4")</f>
        <v>n.2.1.4</v>
      </c>
      <c r="G38" s="449" t="s">
        <v>71</v>
      </c>
      <c r="H38" s="449"/>
      <c r="I38" s="449"/>
      <c r="J38" s="452"/>
      <c r="K38" s="88"/>
      <c r="L38" s="88"/>
      <c r="M38" s="88"/>
      <c r="N38" s="88"/>
      <c r="O38" s="88"/>
      <c r="P38" s="1"/>
      <c r="Q38" s="1"/>
      <c r="R38" s="1"/>
      <c r="S38" s="1"/>
      <c r="T38" s="1"/>
      <c r="U38" s="1"/>
      <c r="V38" s="1"/>
      <c r="W38" s="1"/>
      <c r="X38" s="1"/>
    </row>
    <row r="39" spans="1:24" ht="15" hidden="1" customHeight="1" outlineLevel="2" collapsed="1">
      <c r="A39" s="62"/>
      <c r="B39" s="1"/>
      <c r="C39" s="1"/>
      <c r="D39" s="29" t="s">
        <v>27</v>
      </c>
      <c r="E39" s="453" t="s">
        <v>26</v>
      </c>
      <c r="F39" s="454"/>
      <c r="G39" s="454"/>
      <c r="H39" s="454"/>
      <c r="I39" s="454"/>
      <c r="J39" s="454"/>
      <c r="K39" s="108"/>
      <c r="L39" s="108"/>
      <c r="M39" s="88"/>
      <c r="N39" s="88"/>
      <c r="O39" s="88"/>
      <c r="P39" s="1"/>
      <c r="Q39" s="1"/>
      <c r="R39" s="1"/>
      <c r="S39" s="1"/>
      <c r="T39" s="1"/>
      <c r="U39" s="1"/>
      <c r="V39" s="1"/>
      <c r="W39" s="1"/>
      <c r="X39" s="1"/>
    </row>
    <row r="40" spans="1:24" ht="15" hidden="1" customHeight="1" outlineLevel="2">
      <c r="A40" s="62"/>
      <c r="B40" s="1"/>
      <c r="C40" s="1"/>
      <c r="D40" s="8"/>
      <c r="E40" s="33" t="s">
        <v>28</v>
      </c>
      <c r="F40" s="450" t="s">
        <v>36</v>
      </c>
      <c r="G40" s="450"/>
      <c r="H40" s="450"/>
      <c r="I40" s="450"/>
      <c r="J40" s="451"/>
      <c r="K40" s="135" t="e">
        <f t="shared" ref="K40:L40" si="9">IF(AND(K41:K44),"Passed","Failed")</f>
        <v>#VALUE!</v>
      </c>
      <c r="L40" s="135" t="e">
        <f t="shared" si="9"/>
        <v>#VALUE!</v>
      </c>
      <c r="M40" s="135" t="e">
        <f>IF(AND(M41:M44),"Passed","Failed")</f>
        <v>#VALUE!</v>
      </c>
      <c r="N40" s="135" t="e">
        <f t="shared" ref="N40:O40" si="10">IF(AND(N41:N44),"Passed","Failed")</f>
        <v>#VALUE!</v>
      </c>
      <c r="O40" s="135" t="e">
        <f t="shared" si="10"/>
        <v>#VALUE!</v>
      </c>
      <c r="P40" s="1"/>
      <c r="Q40" s="1"/>
      <c r="R40" s="1"/>
      <c r="S40" s="1"/>
      <c r="T40" s="1"/>
      <c r="U40" s="1"/>
      <c r="V40" s="1"/>
      <c r="W40" s="1"/>
      <c r="X40" s="1"/>
    </row>
    <row r="41" spans="1:24" ht="15" hidden="1" customHeight="1" outlineLevel="3">
      <c r="A41" s="62"/>
      <c r="B41" s="1"/>
      <c r="C41" s="1"/>
      <c r="D41" s="8"/>
      <c r="E41" s="16"/>
      <c r="F41" s="30" t="s">
        <v>30</v>
      </c>
      <c r="G41" s="449"/>
      <c r="H41" s="449"/>
      <c r="I41" s="449"/>
      <c r="J41" s="452"/>
      <c r="K41" s="88"/>
      <c r="L41" s="88"/>
      <c r="M41" s="88"/>
      <c r="N41" s="88"/>
      <c r="O41" s="88"/>
      <c r="P41" s="1"/>
      <c r="Q41" s="1"/>
      <c r="R41" s="1"/>
      <c r="S41" s="1"/>
      <c r="T41" s="1"/>
      <c r="U41" s="1"/>
      <c r="V41" s="1"/>
      <c r="W41" s="1"/>
      <c r="X41" s="1"/>
    </row>
    <row r="42" spans="1:24" ht="15" hidden="1" customHeight="1" outlineLevel="3">
      <c r="A42" s="62"/>
      <c r="B42" s="1"/>
      <c r="C42" s="1"/>
      <c r="D42" s="8"/>
      <c r="E42" s="16"/>
      <c r="F42" s="30" t="s">
        <v>31</v>
      </c>
      <c r="G42" s="449"/>
      <c r="H42" s="449"/>
      <c r="I42" s="449"/>
      <c r="J42" s="452"/>
      <c r="K42" s="88"/>
      <c r="L42" s="88"/>
      <c r="M42" s="88"/>
      <c r="N42" s="88"/>
      <c r="O42" s="88"/>
      <c r="P42" s="1"/>
      <c r="Q42" s="1"/>
      <c r="R42" s="1"/>
      <c r="S42" s="1"/>
      <c r="T42" s="1"/>
      <c r="U42" s="1"/>
      <c r="V42" s="1"/>
      <c r="W42" s="1"/>
      <c r="X42" s="1"/>
    </row>
    <row r="43" spans="1:24" ht="15" hidden="1" customHeight="1" outlineLevel="3">
      <c r="A43" s="62"/>
      <c r="B43" s="1"/>
      <c r="C43" s="1"/>
      <c r="D43" s="8"/>
      <c r="E43" s="16"/>
      <c r="F43" s="30" t="s">
        <v>32</v>
      </c>
      <c r="G43" s="449"/>
      <c r="H43" s="449"/>
      <c r="I43" s="449"/>
      <c r="J43" s="452"/>
      <c r="K43" s="88"/>
      <c r="L43" s="88"/>
      <c r="M43" s="88"/>
      <c r="N43" s="88"/>
      <c r="O43" s="88"/>
      <c r="P43" s="1"/>
      <c r="Q43" s="1"/>
      <c r="R43" s="1"/>
      <c r="S43" s="1"/>
      <c r="T43" s="1"/>
      <c r="U43" s="1"/>
      <c r="V43" s="1"/>
      <c r="W43" s="1"/>
      <c r="X43" s="1"/>
    </row>
    <row r="44" spans="1:24" ht="15" hidden="1" customHeight="1" outlineLevel="3">
      <c r="A44" s="62"/>
      <c r="B44" s="1"/>
      <c r="C44" s="1"/>
      <c r="D44" s="8"/>
      <c r="E44" s="16"/>
      <c r="F44" s="30" t="s">
        <v>33</v>
      </c>
      <c r="G44" s="449"/>
      <c r="H44" s="449"/>
      <c r="I44" s="449"/>
      <c r="J44" s="452"/>
      <c r="K44" s="88"/>
      <c r="L44" s="88"/>
      <c r="M44" s="88"/>
      <c r="N44" s="88"/>
      <c r="O44" s="88"/>
      <c r="P44" s="1"/>
      <c r="Q44" s="1"/>
      <c r="R44" s="1"/>
      <c r="S44" s="1"/>
      <c r="T44" s="1"/>
      <c r="U44" s="1"/>
      <c r="V44" s="1"/>
      <c r="W44" s="1"/>
      <c r="X44" s="1"/>
    </row>
    <row r="45" spans="1:24" ht="15" hidden="1" customHeight="1" outlineLevel="2" collapsed="1">
      <c r="A45" s="62"/>
      <c r="B45" s="1"/>
      <c r="C45" s="1"/>
      <c r="D45" s="5"/>
      <c r="E45" s="32" t="s">
        <v>29</v>
      </c>
      <c r="F45" s="450" t="s">
        <v>37</v>
      </c>
      <c r="G45" s="450"/>
      <c r="H45" s="450"/>
      <c r="I45" s="450"/>
      <c r="J45" s="451"/>
      <c r="K45" s="135" t="e">
        <f t="shared" ref="K45:L45" si="11">IF(AND(K46:K49),"Passed","Failed")</f>
        <v>#VALUE!</v>
      </c>
      <c r="L45" s="135" t="e">
        <f t="shared" si="11"/>
        <v>#VALUE!</v>
      </c>
      <c r="M45" s="135" t="e">
        <f>IF(AND(M46:M49),"Passed","Failed")</f>
        <v>#VALUE!</v>
      </c>
      <c r="N45" s="135" t="e">
        <f t="shared" ref="N45:O45" si="12">IF(AND(N46:N49),"Passed","Failed")</f>
        <v>#VALUE!</v>
      </c>
      <c r="O45" s="135" t="e">
        <f t="shared" si="12"/>
        <v>#VALUE!</v>
      </c>
      <c r="P45" s="1"/>
      <c r="Q45" s="1"/>
      <c r="R45" s="1"/>
      <c r="S45" s="1"/>
      <c r="T45" s="1"/>
      <c r="U45" s="1"/>
      <c r="V45" s="1"/>
      <c r="W45" s="1"/>
      <c r="X45" s="1"/>
    </row>
    <row r="46" spans="1:24" ht="15" hidden="1" customHeight="1" outlineLevel="3">
      <c r="A46" s="62"/>
      <c r="B46" s="1"/>
      <c r="C46" s="1"/>
      <c r="D46" s="5"/>
      <c r="E46" s="16"/>
      <c r="F46" s="31" t="s">
        <v>30</v>
      </c>
      <c r="G46" s="449"/>
      <c r="H46" s="449"/>
      <c r="I46" s="449"/>
      <c r="J46" s="452"/>
      <c r="K46" s="88"/>
      <c r="L46" s="88"/>
      <c r="M46" s="88"/>
      <c r="N46" s="88"/>
      <c r="O46" s="88"/>
      <c r="P46" s="1"/>
      <c r="Q46" s="1"/>
      <c r="R46" s="1"/>
      <c r="S46" s="1"/>
      <c r="T46" s="1"/>
      <c r="U46" s="1"/>
      <c r="V46" s="1"/>
      <c r="W46" s="1"/>
      <c r="X46" s="1"/>
    </row>
    <row r="47" spans="1:24" ht="15" hidden="1" customHeight="1" outlineLevel="3">
      <c r="A47" s="62"/>
      <c r="B47" s="1"/>
      <c r="C47" s="1"/>
      <c r="D47" s="5"/>
      <c r="E47" s="16"/>
      <c r="F47" s="31" t="s">
        <v>31</v>
      </c>
      <c r="G47" s="449"/>
      <c r="H47" s="449"/>
      <c r="I47" s="449"/>
      <c r="J47" s="452"/>
      <c r="K47" s="88"/>
      <c r="L47" s="88"/>
      <c r="M47" s="88"/>
      <c r="N47" s="88"/>
      <c r="O47" s="88"/>
      <c r="P47" s="1"/>
      <c r="Q47" s="1"/>
      <c r="R47" s="1"/>
      <c r="S47" s="1"/>
      <c r="T47" s="1"/>
      <c r="U47" s="1"/>
      <c r="V47" s="1"/>
      <c r="W47" s="1"/>
      <c r="X47" s="1"/>
    </row>
    <row r="48" spans="1:24" ht="15" hidden="1" customHeight="1" outlineLevel="3">
      <c r="A48" s="62"/>
      <c r="B48" s="1"/>
      <c r="C48" s="1"/>
      <c r="D48" s="1"/>
      <c r="E48" s="1"/>
      <c r="F48" s="31" t="s">
        <v>32</v>
      </c>
      <c r="G48" s="449"/>
      <c r="H48" s="449"/>
      <c r="I48" s="449"/>
      <c r="J48" s="452"/>
      <c r="K48" s="88"/>
      <c r="L48" s="88"/>
      <c r="M48" s="88"/>
      <c r="N48" s="88"/>
      <c r="O48" s="88"/>
      <c r="P48" s="1"/>
      <c r="Q48" s="1"/>
      <c r="R48" s="1"/>
      <c r="S48" s="1"/>
      <c r="T48" s="1"/>
      <c r="U48" s="1"/>
      <c r="V48" s="1"/>
      <c r="W48" s="1"/>
      <c r="X48" s="1"/>
    </row>
    <row r="49" spans="1:24" ht="15" hidden="1" customHeight="1" outlineLevel="3">
      <c r="A49" s="62"/>
      <c r="B49" s="1"/>
      <c r="C49" s="1"/>
      <c r="D49" s="1"/>
      <c r="E49" s="1"/>
      <c r="F49" s="31" t="s">
        <v>33</v>
      </c>
      <c r="G49" s="449"/>
      <c r="H49" s="449"/>
      <c r="I49" s="449"/>
      <c r="J49" s="452"/>
      <c r="K49" s="88"/>
      <c r="L49" s="88"/>
      <c r="M49" s="88"/>
      <c r="N49" s="88"/>
      <c r="O49" s="88"/>
      <c r="P49" s="1"/>
      <c r="Q49" s="1"/>
      <c r="R49" s="1"/>
      <c r="S49" s="1"/>
      <c r="T49" s="1"/>
      <c r="U49" s="1"/>
      <c r="V49" s="1"/>
      <c r="W49" s="1"/>
      <c r="X49" s="1"/>
    </row>
    <row r="50" spans="1:24" ht="15" hidden="1" customHeight="1" outlineLevel="2" collapsed="1">
      <c r="A50" s="62"/>
      <c r="B50" s="1"/>
      <c r="C50" s="1"/>
      <c r="D50" s="1"/>
      <c r="E50" s="1"/>
      <c r="F50" s="49"/>
      <c r="G50" s="50"/>
      <c r="H50" s="50"/>
      <c r="I50" s="50"/>
      <c r="J50" s="50"/>
      <c r="K50" s="88"/>
      <c r="L50" s="88"/>
      <c r="M50" s="88"/>
      <c r="N50" s="88"/>
      <c r="O50" s="88"/>
      <c r="P50" s="1"/>
      <c r="Q50" s="1"/>
      <c r="R50" s="1"/>
      <c r="S50" s="1"/>
      <c r="T50" s="1"/>
      <c r="U50" s="1"/>
      <c r="V50" s="1"/>
      <c r="W50" s="1"/>
      <c r="X50" s="1"/>
    </row>
    <row r="51" spans="1:24" ht="18.75" outlineLevel="1" collapsed="1">
      <c r="A51" s="62"/>
      <c r="B51" s="1"/>
      <c r="C51" s="1"/>
      <c r="D51" s="1"/>
      <c r="E51" s="9"/>
      <c r="F51" s="15"/>
      <c r="G51" s="14"/>
      <c r="H51" s="1"/>
      <c r="I51" s="1"/>
      <c r="J51" s="1"/>
      <c r="K51" s="460" t="s">
        <v>16</v>
      </c>
      <c r="L51" s="460"/>
      <c r="M51" s="447" t="s">
        <v>20</v>
      </c>
      <c r="N51" s="447"/>
      <c r="O51" s="447"/>
      <c r="P51" s="1"/>
      <c r="Q51" s="1"/>
      <c r="R51" s="1"/>
      <c r="S51" s="1"/>
      <c r="T51" s="1"/>
      <c r="U51" s="1"/>
      <c r="V51" s="1"/>
      <c r="W51" s="1"/>
      <c r="X51" s="1"/>
    </row>
    <row r="52" spans="1:24" outlineLevel="1">
      <c r="A52" s="62"/>
      <c r="B52" s="20" t="s">
        <v>8</v>
      </c>
      <c r="C52" s="455" t="s">
        <v>9</v>
      </c>
      <c r="D52" s="455"/>
      <c r="E52" s="455"/>
      <c r="F52" s="455"/>
      <c r="G52" s="455"/>
      <c r="H52" s="455"/>
      <c r="I52" s="455"/>
      <c r="J52" s="456"/>
      <c r="K52" s="89" t="s">
        <v>19</v>
      </c>
      <c r="L52" s="89" t="s">
        <v>15</v>
      </c>
      <c r="M52" s="89" t="s">
        <v>18</v>
      </c>
      <c r="N52" s="89" t="s">
        <v>44</v>
      </c>
      <c r="O52" s="89" t="s">
        <v>156</v>
      </c>
      <c r="P52" s="1"/>
      <c r="Q52" s="1"/>
      <c r="R52" s="1"/>
      <c r="S52" s="1"/>
      <c r="T52" s="1"/>
      <c r="U52" s="1"/>
      <c r="V52" s="1"/>
      <c r="W52" s="1"/>
      <c r="X52" s="1"/>
    </row>
    <row r="53" spans="1:24" outlineLevel="1">
      <c r="A53" s="62"/>
      <c r="B53" s="27" t="s">
        <v>21</v>
      </c>
      <c r="C53" s="28" t="s">
        <v>22</v>
      </c>
      <c r="D53" s="457" t="s">
        <v>25</v>
      </c>
      <c r="E53" s="458"/>
      <c r="F53" s="458"/>
      <c r="G53" s="458"/>
      <c r="H53" s="458"/>
      <c r="I53" s="458"/>
      <c r="J53" s="458"/>
      <c r="K53" s="107" t="e">
        <f>IF(AND(K55="Passed",K60="Passed"),"For review","For completion")</f>
        <v>#VALUE!</v>
      </c>
      <c r="L53" s="107" t="e">
        <f>IF(AND(L55="Passed",L60="Passed"),"QA ready","For completion")</f>
        <v>#VALUE!</v>
      </c>
      <c r="M53" s="107" t="e">
        <f>IF(AND(M55="Passed",M60="Passed"),"For verification","For completion")</f>
        <v>#VALUE!</v>
      </c>
      <c r="N53" s="107" t="e">
        <f>IF(AND(N55="Passed",N60="Passed"),"Demo ready","For completion")</f>
        <v>#VALUE!</v>
      </c>
      <c r="O53" s="107" t="e">
        <f>IF(AND(O55="Passed",O60="Passed"),"Production ready","For completion")</f>
        <v>#VALUE!</v>
      </c>
      <c r="P53" s="1"/>
      <c r="Q53" s="1"/>
      <c r="R53" s="1"/>
      <c r="S53" s="1"/>
      <c r="T53" s="1"/>
      <c r="U53" s="1"/>
      <c r="V53" s="1"/>
      <c r="W53" s="1"/>
      <c r="X53" s="1"/>
    </row>
    <row r="54" spans="1:24" ht="15" hidden="1" customHeight="1" outlineLevel="2">
      <c r="A54" s="62"/>
      <c r="B54" s="5"/>
      <c r="C54" s="8"/>
      <c r="D54" s="29" t="s">
        <v>23</v>
      </c>
      <c r="E54" s="453" t="s">
        <v>26</v>
      </c>
      <c r="F54" s="454"/>
      <c r="G54" s="454"/>
      <c r="H54" s="454"/>
      <c r="I54" s="454"/>
      <c r="J54" s="454"/>
      <c r="K54" s="108"/>
      <c r="L54" s="108"/>
      <c r="M54" s="88"/>
      <c r="N54" s="88"/>
      <c r="O54" s="88"/>
      <c r="P54" s="1"/>
      <c r="Q54" s="1"/>
      <c r="R54" s="1"/>
      <c r="S54" s="1"/>
      <c r="T54" s="1"/>
      <c r="U54" s="1"/>
      <c r="V54" s="1"/>
      <c r="W54" s="1"/>
      <c r="X54" s="1"/>
    </row>
    <row r="55" spans="1:24" ht="15" hidden="1" customHeight="1" outlineLevel="2">
      <c r="A55" s="62"/>
      <c r="B55" s="5"/>
      <c r="C55" s="8"/>
      <c r="D55" s="8"/>
      <c r="E55" s="33" t="s">
        <v>24</v>
      </c>
      <c r="F55" s="450" t="s">
        <v>34</v>
      </c>
      <c r="G55" s="450"/>
      <c r="H55" s="450"/>
      <c r="I55" s="450"/>
      <c r="J55" s="451"/>
      <c r="K55" s="306" t="e">
        <f t="shared" ref="K55:L55" si="13">IF(AND(K56:K59),"Passed","Failed")</f>
        <v>#VALUE!</v>
      </c>
      <c r="L55" s="306" t="e">
        <f t="shared" si="13"/>
        <v>#VALUE!</v>
      </c>
      <c r="M55" s="306" t="e">
        <f>IF(AND(M56:M59),"Passed","Failed")</f>
        <v>#VALUE!</v>
      </c>
      <c r="N55" s="306" t="e">
        <f t="shared" ref="N55:O55" si="14">IF(AND(N56:N59),"Passed","Failed")</f>
        <v>#VALUE!</v>
      </c>
      <c r="O55" s="306" t="e">
        <f t="shared" si="14"/>
        <v>#VALUE!</v>
      </c>
      <c r="P55" s="1"/>
      <c r="Q55" s="1"/>
      <c r="R55" s="1"/>
      <c r="S55" s="1"/>
      <c r="T55" s="1"/>
      <c r="U55" s="1"/>
      <c r="V55" s="1"/>
      <c r="W55" s="1"/>
      <c r="X55" s="1"/>
    </row>
    <row r="56" spans="1:24" ht="15" hidden="1" customHeight="1" outlineLevel="3">
      <c r="A56" s="62"/>
      <c r="B56" s="5"/>
      <c r="C56" s="8"/>
      <c r="D56" s="8"/>
      <c r="E56" s="16"/>
      <c r="F56" s="38" t="str">
        <f>HYPERLINK("#'Test Case'!A1","n.1.1.1")</f>
        <v>n.1.1.1</v>
      </c>
      <c r="G56" s="449" t="s">
        <v>68</v>
      </c>
      <c r="H56" s="449"/>
      <c r="I56" s="449"/>
      <c r="J56" s="452"/>
      <c r="K56" s="88"/>
      <c r="L56" s="88"/>
      <c r="M56" s="88"/>
      <c r="N56" s="88"/>
      <c r="O56" s="88"/>
      <c r="P56" s="1"/>
      <c r="Q56" s="1"/>
      <c r="R56" s="1"/>
      <c r="S56" s="1"/>
      <c r="T56" s="1"/>
      <c r="U56" s="1"/>
      <c r="V56" s="1"/>
      <c r="W56" s="1"/>
      <c r="X56" s="1"/>
    </row>
    <row r="57" spans="1:24" ht="15" hidden="1" customHeight="1" outlineLevel="3">
      <c r="A57" s="62"/>
      <c r="B57" s="5"/>
      <c r="C57" s="8"/>
      <c r="D57" s="8"/>
      <c r="E57" s="16"/>
      <c r="F57" s="38" t="str">
        <f>HYPERLINK("#'Test Case'!A1","n.1.1.2")</f>
        <v>n.1.1.2</v>
      </c>
      <c r="G57" s="449" t="s">
        <v>69</v>
      </c>
      <c r="H57" s="449"/>
      <c r="I57" s="449"/>
      <c r="J57" s="452"/>
      <c r="K57" s="88"/>
      <c r="L57" s="88"/>
      <c r="M57" s="88"/>
      <c r="N57" s="88"/>
      <c r="O57" s="88"/>
      <c r="P57" s="1"/>
      <c r="Q57" s="1"/>
      <c r="R57" s="1"/>
      <c r="S57" s="1"/>
      <c r="T57" s="1"/>
      <c r="U57" s="1"/>
      <c r="V57" s="1"/>
      <c r="W57" s="1"/>
      <c r="X57" s="1"/>
    </row>
    <row r="58" spans="1:24" ht="15" hidden="1" customHeight="1" outlineLevel="3">
      <c r="A58" s="62"/>
      <c r="B58" s="5"/>
      <c r="C58" s="8"/>
      <c r="D58" s="8"/>
      <c r="E58" s="16"/>
      <c r="F58" s="38" t="str">
        <f>HYPERLINK("#'Test Case'!A1","n.1.1.3")</f>
        <v>n.1.1.3</v>
      </c>
      <c r="G58" s="449" t="s">
        <v>70</v>
      </c>
      <c r="H58" s="449"/>
      <c r="I58" s="449"/>
      <c r="J58" s="452"/>
      <c r="K58" s="88"/>
      <c r="L58" s="88"/>
      <c r="M58" s="88"/>
      <c r="N58" s="88"/>
      <c r="O58" s="88"/>
      <c r="P58" s="1"/>
      <c r="Q58" s="1"/>
      <c r="R58" s="1"/>
      <c r="S58" s="1"/>
      <c r="T58" s="1"/>
      <c r="U58" s="1"/>
      <c r="V58" s="1"/>
      <c r="W58" s="1"/>
      <c r="X58" s="1"/>
    </row>
    <row r="59" spans="1:24" ht="15" hidden="1" customHeight="1" outlineLevel="3">
      <c r="A59" s="62"/>
      <c r="B59" s="5"/>
      <c r="C59" s="8"/>
      <c r="D59" s="8"/>
      <c r="E59" s="16"/>
      <c r="F59" s="38" t="str">
        <f>HYPERLINK("#'Test Case'!A1","n.1.1.4")</f>
        <v>n.1.1.4</v>
      </c>
      <c r="G59" s="449" t="s">
        <v>71</v>
      </c>
      <c r="H59" s="449"/>
      <c r="I59" s="449"/>
      <c r="J59" s="452"/>
      <c r="K59" s="88"/>
      <c r="L59" s="88"/>
      <c r="M59" s="88"/>
      <c r="N59" s="88"/>
      <c r="O59" s="88"/>
      <c r="P59" s="1"/>
      <c r="Q59" s="1"/>
      <c r="R59" s="1"/>
      <c r="S59" s="1"/>
      <c r="T59" s="1"/>
      <c r="U59" s="1"/>
      <c r="V59" s="1"/>
      <c r="W59" s="1"/>
      <c r="X59" s="1"/>
    </row>
    <row r="60" spans="1:24" ht="15" hidden="1" customHeight="1" outlineLevel="2" collapsed="1">
      <c r="A60" s="62"/>
      <c r="B60" s="5"/>
      <c r="C60" s="5"/>
      <c r="D60" s="5"/>
      <c r="E60" s="32" t="s">
        <v>28</v>
      </c>
      <c r="F60" s="450" t="s">
        <v>35</v>
      </c>
      <c r="G60" s="450"/>
      <c r="H60" s="450"/>
      <c r="I60" s="450"/>
      <c r="J60" s="451"/>
      <c r="K60" s="135" t="e">
        <f t="shared" ref="K60:L60" si="15">IF(AND(K61:K64),"Passed","Failed")</f>
        <v>#VALUE!</v>
      </c>
      <c r="L60" s="135" t="e">
        <f t="shared" si="15"/>
        <v>#VALUE!</v>
      </c>
      <c r="M60" s="135" t="e">
        <f>IF(AND(M61:M64),"Passed","Failed")</f>
        <v>#VALUE!</v>
      </c>
      <c r="N60" s="135" t="e">
        <f t="shared" ref="N60:O60" si="16">IF(AND(N61:N64),"Passed","Failed")</f>
        <v>#VALUE!</v>
      </c>
      <c r="O60" s="135" t="e">
        <f t="shared" si="16"/>
        <v>#VALUE!</v>
      </c>
      <c r="P60" s="1"/>
      <c r="Q60" s="1"/>
      <c r="R60" s="1"/>
      <c r="S60" s="1"/>
      <c r="T60" s="1"/>
      <c r="U60" s="1"/>
      <c r="V60" s="1"/>
      <c r="W60" s="1"/>
      <c r="X60" s="1"/>
    </row>
    <row r="61" spans="1:24" ht="15" hidden="1" customHeight="1" outlineLevel="3">
      <c r="A61" s="62"/>
      <c r="B61" s="5"/>
      <c r="C61" s="5"/>
      <c r="D61" s="5"/>
      <c r="E61" s="16"/>
      <c r="F61" s="38" t="str">
        <f>HYPERLINK("#'Test Case'!A1","n.2.1.1")</f>
        <v>n.2.1.1</v>
      </c>
      <c r="G61" s="449" t="s">
        <v>68</v>
      </c>
      <c r="H61" s="449"/>
      <c r="I61" s="449"/>
      <c r="J61" s="452"/>
      <c r="K61" s="88"/>
      <c r="L61" s="88"/>
      <c r="M61" s="88"/>
      <c r="N61" s="88"/>
      <c r="O61" s="88"/>
      <c r="P61" s="1"/>
      <c r="Q61" s="1"/>
      <c r="R61" s="1"/>
      <c r="S61" s="1"/>
      <c r="T61" s="1"/>
      <c r="U61" s="1"/>
      <c r="V61" s="1"/>
      <c r="W61" s="1"/>
      <c r="X61" s="1"/>
    </row>
    <row r="62" spans="1:24" ht="15" hidden="1" customHeight="1" outlineLevel="3">
      <c r="A62" s="62"/>
      <c r="B62" s="5"/>
      <c r="C62" s="5"/>
      <c r="D62" s="5"/>
      <c r="E62" s="16"/>
      <c r="F62" s="38" t="str">
        <f>HYPERLINK("#'Test Case'!A1","n.2.1.2")</f>
        <v>n.2.1.2</v>
      </c>
      <c r="G62" s="449" t="s">
        <v>69</v>
      </c>
      <c r="H62" s="449"/>
      <c r="I62" s="449"/>
      <c r="J62" s="452"/>
      <c r="K62" s="88"/>
      <c r="L62" s="88"/>
      <c r="M62" s="88"/>
      <c r="N62" s="88"/>
      <c r="O62" s="88"/>
      <c r="P62" s="1"/>
      <c r="Q62" s="1"/>
      <c r="R62" s="1"/>
      <c r="S62" s="1"/>
      <c r="T62" s="1"/>
      <c r="U62" s="1"/>
      <c r="V62" s="1"/>
      <c r="W62" s="1"/>
      <c r="X62" s="1"/>
    </row>
    <row r="63" spans="1:24" ht="15" hidden="1" customHeight="1" outlineLevel="3">
      <c r="A63" s="62"/>
      <c r="B63" s="1"/>
      <c r="C63" s="1"/>
      <c r="D63" s="1"/>
      <c r="E63" s="1"/>
      <c r="F63" s="38" t="str">
        <f>HYPERLINK("#'Test Case'!A1","n.2.1.3")</f>
        <v>n.2.1.3</v>
      </c>
      <c r="G63" s="449" t="s">
        <v>70</v>
      </c>
      <c r="H63" s="449"/>
      <c r="I63" s="449"/>
      <c r="J63" s="452"/>
      <c r="K63" s="88"/>
      <c r="L63" s="88"/>
      <c r="M63" s="88"/>
      <c r="N63" s="88"/>
      <c r="O63" s="88"/>
      <c r="P63" s="1"/>
      <c r="Q63" s="1"/>
      <c r="R63" s="1"/>
      <c r="S63" s="1"/>
      <c r="T63" s="1"/>
      <c r="U63" s="1"/>
      <c r="V63" s="1"/>
      <c r="W63" s="1"/>
      <c r="X63" s="1"/>
    </row>
    <row r="64" spans="1:24" ht="15" hidden="1" customHeight="1" outlineLevel="3">
      <c r="A64" s="62"/>
      <c r="B64" s="1"/>
      <c r="C64" s="1"/>
      <c r="D64" s="1"/>
      <c r="E64" s="1"/>
      <c r="F64" s="38" t="str">
        <f>HYPERLINK("#'Test Case'!A1","n.2.1.4")</f>
        <v>n.2.1.4</v>
      </c>
      <c r="G64" s="449" t="s">
        <v>71</v>
      </c>
      <c r="H64" s="449"/>
      <c r="I64" s="449"/>
      <c r="J64" s="452"/>
      <c r="K64" s="88"/>
      <c r="L64" s="88"/>
      <c r="M64" s="88"/>
      <c r="N64" s="88"/>
      <c r="O64" s="88"/>
      <c r="P64" s="1"/>
      <c r="Q64" s="1"/>
      <c r="R64" s="1"/>
      <c r="S64" s="1"/>
      <c r="T64" s="1"/>
      <c r="U64" s="1"/>
      <c r="V64" s="1"/>
      <c r="W64" s="1"/>
      <c r="X64" s="1"/>
    </row>
    <row r="65" spans="1:24" ht="15" hidden="1" customHeight="1" outlineLevel="2" collapsed="1">
      <c r="A65" s="62"/>
      <c r="B65" s="1"/>
      <c r="C65" s="1"/>
      <c r="D65" s="29" t="s">
        <v>27</v>
      </c>
      <c r="E65" s="453" t="s">
        <v>26</v>
      </c>
      <c r="F65" s="454"/>
      <c r="G65" s="454"/>
      <c r="H65" s="454"/>
      <c r="I65" s="454"/>
      <c r="J65" s="454"/>
      <c r="K65" s="108"/>
      <c r="L65" s="108"/>
      <c r="M65" s="88"/>
      <c r="N65" s="88"/>
      <c r="O65" s="88"/>
      <c r="P65" s="1"/>
      <c r="Q65" s="1"/>
      <c r="R65" s="1"/>
      <c r="S65" s="1"/>
      <c r="T65" s="1"/>
      <c r="U65" s="1"/>
      <c r="V65" s="1"/>
      <c r="W65" s="1"/>
      <c r="X65" s="1"/>
    </row>
    <row r="66" spans="1:24" ht="15" hidden="1" customHeight="1" outlineLevel="2">
      <c r="A66" s="62"/>
      <c r="B66" s="1"/>
      <c r="C66" s="1"/>
      <c r="D66" s="8"/>
      <c r="E66" s="33" t="s">
        <v>28</v>
      </c>
      <c r="F66" s="450" t="s">
        <v>36</v>
      </c>
      <c r="G66" s="450"/>
      <c r="H66" s="450"/>
      <c r="I66" s="450"/>
      <c r="J66" s="451"/>
      <c r="K66" s="135" t="e">
        <f t="shared" ref="K66:L66" si="17">IF(AND(K67:K70),"Passed","Failed")</f>
        <v>#VALUE!</v>
      </c>
      <c r="L66" s="135" t="e">
        <f t="shared" si="17"/>
        <v>#VALUE!</v>
      </c>
      <c r="M66" s="135" t="e">
        <f>IF(AND(M67:M70),"Passed","Failed")</f>
        <v>#VALUE!</v>
      </c>
      <c r="N66" s="135" t="e">
        <f t="shared" ref="N66:O66" si="18">IF(AND(N67:N70),"Passed","Failed")</f>
        <v>#VALUE!</v>
      </c>
      <c r="O66" s="135" t="e">
        <f t="shared" si="18"/>
        <v>#VALUE!</v>
      </c>
    </row>
    <row r="67" spans="1:24" ht="15" hidden="1" customHeight="1" outlineLevel="3">
      <c r="A67" s="62"/>
      <c r="B67" s="1"/>
      <c r="C67" s="1"/>
      <c r="D67" s="8"/>
      <c r="E67" s="16"/>
      <c r="F67" s="30" t="s">
        <v>30</v>
      </c>
      <c r="G67" s="449"/>
      <c r="H67" s="449"/>
      <c r="I67" s="449"/>
      <c r="J67" s="452"/>
      <c r="K67" s="88"/>
      <c r="L67" s="88"/>
      <c r="M67" s="88"/>
      <c r="N67" s="88"/>
      <c r="O67" s="88"/>
    </row>
    <row r="68" spans="1:24" ht="15" hidden="1" customHeight="1" outlineLevel="3">
      <c r="A68" s="62"/>
      <c r="B68" s="1"/>
      <c r="C68" s="1"/>
      <c r="D68" s="8"/>
      <c r="E68" s="16"/>
      <c r="F68" s="30" t="s">
        <v>31</v>
      </c>
      <c r="G68" s="449"/>
      <c r="H68" s="449"/>
      <c r="I68" s="449"/>
      <c r="J68" s="452"/>
      <c r="K68" s="88"/>
      <c r="L68" s="88"/>
      <c r="M68" s="88"/>
      <c r="N68" s="88"/>
      <c r="O68" s="88"/>
    </row>
    <row r="69" spans="1:24" ht="15" hidden="1" customHeight="1" outlineLevel="3">
      <c r="A69" s="62"/>
      <c r="B69" s="1"/>
      <c r="C69" s="1"/>
      <c r="D69" s="8"/>
      <c r="E69" s="16"/>
      <c r="F69" s="30" t="s">
        <v>32</v>
      </c>
      <c r="G69" s="449"/>
      <c r="H69" s="449"/>
      <c r="I69" s="449"/>
      <c r="J69" s="452"/>
      <c r="K69" s="88"/>
      <c r="L69" s="88"/>
      <c r="M69" s="88"/>
      <c r="N69" s="88"/>
      <c r="O69" s="88"/>
    </row>
    <row r="70" spans="1:24" ht="15" hidden="1" customHeight="1" outlineLevel="3">
      <c r="A70" s="62"/>
      <c r="B70" s="1"/>
      <c r="C70" s="1"/>
      <c r="D70" s="8"/>
      <c r="E70" s="16"/>
      <c r="F70" s="30" t="s">
        <v>33</v>
      </c>
      <c r="G70" s="449"/>
      <c r="H70" s="449"/>
      <c r="I70" s="449"/>
      <c r="J70" s="452"/>
      <c r="K70" s="88"/>
      <c r="L70" s="88"/>
      <c r="M70" s="88"/>
      <c r="N70" s="88"/>
      <c r="O70" s="88"/>
    </row>
    <row r="71" spans="1:24" ht="15" hidden="1" customHeight="1" outlineLevel="2" collapsed="1">
      <c r="A71" s="62"/>
      <c r="B71" s="1"/>
      <c r="C71" s="1"/>
      <c r="D71" s="5"/>
      <c r="E71" s="32" t="s">
        <v>29</v>
      </c>
      <c r="F71" s="450" t="s">
        <v>37</v>
      </c>
      <c r="G71" s="450"/>
      <c r="H71" s="450"/>
      <c r="I71" s="450"/>
      <c r="J71" s="451"/>
      <c r="K71" s="135" t="e">
        <f t="shared" ref="K71:L71" si="19">IF(AND(K72:K75),"Passed","Failed")</f>
        <v>#VALUE!</v>
      </c>
      <c r="L71" s="135" t="e">
        <f t="shared" si="19"/>
        <v>#VALUE!</v>
      </c>
      <c r="M71" s="135" t="e">
        <f>IF(AND(M72:M75),"Passed","Failed")</f>
        <v>#VALUE!</v>
      </c>
      <c r="N71" s="135" t="e">
        <f t="shared" ref="N71:O71" si="20">IF(AND(N72:N75),"Passed","Failed")</f>
        <v>#VALUE!</v>
      </c>
      <c r="O71" s="135" t="e">
        <f t="shared" si="20"/>
        <v>#VALUE!</v>
      </c>
      <c r="P71" s="1"/>
      <c r="Q71" s="1"/>
      <c r="R71" s="1"/>
      <c r="S71" s="1"/>
      <c r="T71" s="1"/>
      <c r="U71" s="1"/>
      <c r="V71" s="1"/>
      <c r="W71" s="1"/>
      <c r="X71" s="1"/>
    </row>
    <row r="72" spans="1:24" ht="15" hidden="1" customHeight="1" outlineLevel="3">
      <c r="A72" s="62"/>
      <c r="B72" s="1"/>
      <c r="C72" s="1"/>
      <c r="D72" s="5"/>
      <c r="E72" s="16"/>
      <c r="F72" s="31" t="s">
        <v>30</v>
      </c>
      <c r="G72" s="449"/>
      <c r="H72" s="449"/>
      <c r="I72" s="449"/>
      <c r="J72" s="452"/>
      <c r="K72" s="88"/>
      <c r="L72" s="88"/>
      <c r="M72" s="88"/>
      <c r="N72" s="88"/>
      <c r="O72" s="88"/>
      <c r="P72" s="1"/>
      <c r="Q72" s="1"/>
      <c r="R72" s="1"/>
      <c r="S72" s="1"/>
      <c r="T72" s="1"/>
      <c r="U72" s="1"/>
      <c r="V72" s="1"/>
      <c r="W72" s="1"/>
      <c r="X72" s="1"/>
    </row>
    <row r="73" spans="1:24" ht="15" hidden="1" customHeight="1" outlineLevel="3">
      <c r="A73" s="62"/>
      <c r="B73" s="1"/>
      <c r="C73" s="1"/>
      <c r="D73" s="5"/>
      <c r="E73" s="16"/>
      <c r="F73" s="31" t="s">
        <v>31</v>
      </c>
      <c r="G73" s="449"/>
      <c r="H73" s="449"/>
      <c r="I73" s="449"/>
      <c r="J73" s="452"/>
      <c r="K73" s="88"/>
      <c r="L73" s="88"/>
      <c r="M73" s="88"/>
      <c r="N73" s="88"/>
      <c r="O73" s="88"/>
      <c r="P73" s="1"/>
      <c r="Q73" s="1"/>
      <c r="R73" s="1"/>
      <c r="S73" s="1"/>
      <c r="T73" s="1"/>
      <c r="U73" s="1"/>
      <c r="V73" s="1"/>
      <c r="W73" s="1"/>
      <c r="X73" s="1"/>
    </row>
    <row r="74" spans="1:24" ht="15" hidden="1" customHeight="1" outlineLevel="3">
      <c r="A74" s="62"/>
      <c r="B74" s="1"/>
      <c r="C74" s="1"/>
      <c r="D74" s="1"/>
      <c r="E74" s="1"/>
      <c r="F74" s="31" t="s">
        <v>32</v>
      </c>
      <c r="G74" s="449"/>
      <c r="H74" s="449"/>
      <c r="I74" s="449"/>
      <c r="J74" s="452"/>
      <c r="K74" s="88"/>
      <c r="L74" s="88"/>
      <c r="M74" s="88"/>
      <c r="N74" s="88"/>
      <c r="O74" s="88"/>
      <c r="P74" s="1"/>
      <c r="Q74" s="1"/>
      <c r="R74" s="1"/>
      <c r="S74" s="1"/>
      <c r="T74" s="1"/>
      <c r="U74" s="1"/>
      <c r="V74" s="1"/>
      <c r="W74" s="1"/>
      <c r="X74" s="1"/>
    </row>
    <row r="75" spans="1:24" ht="15" hidden="1" customHeight="1" outlineLevel="3">
      <c r="A75" s="62"/>
      <c r="B75" s="1"/>
      <c r="C75" s="1"/>
      <c r="D75" s="1"/>
      <c r="E75" s="1"/>
      <c r="F75" s="31" t="s">
        <v>33</v>
      </c>
      <c r="G75" s="449"/>
      <c r="H75" s="449"/>
      <c r="I75" s="449"/>
      <c r="J75" s="452"/>
      <c r="K75" s="88"/>
      <c r="L75" s="88"/>
      <c r="M75" s="88"/>
      <c r="N75" s="88"/>
      <c r="O75" s="88"/>
      <c r="P75" s="1"/>
      <c r="Q75" s="1"/>
      <c r="R75" s="1"/>
      <c r="S75" s="1"/>
      <c r="T75" s="1"/>
      <c r="U75" s="1"/>
      <c r="V75" s="1"/>
      <c r="W75" s="1"/>
      <c r="X75" s="1"/>
    </row>
    <row r="76" spans="1:24" ht="15" hidden="1" customHeight="1" outlineLevel="2" collapsed="1">
      <c r="A76" s="62"/>
      <c r="B76" s="1"/>
      <c r="C76" s="1"/>
      <c r="D76" s="1"/>
      <c r="E76" s="1"/>
      <c r="F76" s="49"/>
      <c r="G76" s="50"/>
      <c r="H76" s="50"/>
      <c r="I76" s="50"/>
      <c r="J76" s="50"/>
      <c r="K76" s="88"/>
      <c r="L76" s="88"/>
      <c r="M76" s="88"/>
      <c r="N76" s="88"/>
      <c r="O76" s="88"/>
      <c r="P76" s="1"/>
      <c r="Q76" s="1"/>
      <c r="R76" s="1"/>
      <c r="S76" s="1"/>
      <c r="T76" s="1"/>
      <c r="U76" s="1"/>
      <c r="V76" s="1"/>
      <c r="W76" s="1"/>
      <c r="X76" s="1"/>
    </row>
    <row r="77" spans="1:24" ht="18.75" outlineLevel="1" collapsed="1">
      <c r="A77" s="62"/>
      <c r="B77" s="1"/>
      <c r="C77" s="1"/>
      <c r="D77" s="1"/>
      <c r="E77" s="9"/>
      <c r="F77" s="15"/>
      <c r="G77" s="14"/>
      <c r="H77" s="1"/>
      <c r="I77" s="1"/>
      <c r="J77" s="1"/>
      <c r="K77" s="460" t="s">
        <v>16</v>
      </c>
      <c r="L77" s="460"/>
      <c r="M77" s="447" t="s">
        <v>20</v>
      </c>
      <c r="N77" s="447"/>
      <c r="O77" s="447"/>
      <c r="P77" s="1"/>
      <c r="Q77" s="1"/>
      <c r="R77" s="1"/>
      <c r="S77" s="1"/>
      <c r="T77" s="1"/>
      <c r="U77" s="1"/>
      <c r="V77" s="1"/>
      <c r="W77" s="1"/>
    </row>
    <row r="78" spans="1:24" outlineLevel="1">
      <c r="A78" s="62"/>
      <c r="B78" s="20" t="s">
        <v>8</v>
      </c>
      <c r="C78" s="455" t="s">
        <v>9</v>
      </c>
      <c r="D78" s="455"/>
      <c r="E78" s="455"/>
      <c r="F78" s="455"/>
      <c r="G78" s="455"/>
      <c r="H78" s="455"/>
      <c r="I78" s="455"/>
      <c r="J78" s="456"/>
      <c r="K78" s="89" t="s">
        <v>19</v>
      </c>
      <c r="L78" s="89" t="s">
        <v>15</v>
      </c>
      <c r="M78" s="89" t="s">
        <v>18</v>
      </c>
      <c r="N78" s="89" t="s">
        <v>44</v>
      </c>
      <c r="O78" s="89" t="s">
        <v>156</v>
      </c>
      <c r="P78" s="1"/>
      <c r="Q78" s="1"/>
      <c r="R78" s="1"/>
      <c r="S78" s="1"/>
      <c r="T78" s="1"/>
      <c r="U78" s="1"/>
      <c r="V78" s="1"/>
      <c r="W78" s="1"/>
    </row>
    <row r="79" spans="1:24" outlineLevel="1">
      <c r="A79" s="62"/>
      <c r="B79" s="27" t="s">
        <v>21</v>
      </c>
      <c r="C79" s="28" t="s">
        <v>22</v>
      </c>
      <c r="D79" s="457" t="s">
        <v>25</v>
      </c>
      <c r="E79" s="458"/>
      <c r="F79" s="458"/>
      <c r="G79" s="458"/>
      <c r="H79" s="458"/>
      <c r="I79" s="458"/>
      <c r="J79" s="458"/>
      <c r="K79" s="107" t="e">
        <f>IF(AND(K81="Passed",K86="Passed"),"For review","For completion")</f>
        <v>#VALUE!</v>
      </c>
      <c r="L79" s="107" t="e">
        <f>IF(AND(L81="Passed",L86="Passed"),"QA ready","For completion")</f>
        <v>#VALUE!</v>
      </c>
      <c r="M79" s="107" t="e">
        <f>IF(AND(M81="Passed",M86="Passed"),"For verification","For completion")</f>
        <v>#VALUE!</v>
      </c>
      <c r="N79" s="107" t="e">
        <f>IF(AND(N81="Passed",N86="Passed"),"Demo ready","For completion")</f>
        <v>#VALUE!</v>
      </c>
      <c r="O79" s="107" t="e">
        <f>IF(AND(O81="Passed",O86="Passed"),"Production ready","For completion")</f>
        <v>#VALUE!</v>
      </c>
      <c r="P79" s="1"/>
      <c r="Q79" s="1"/>
      <c r="R79" s="1"/>
      <c r="S79" s="1"/>
      <c r="T79" s="1"/>
      <c r="U79" s="1"/>
      <c r="V79" s="1"/>
      <c r="W79" s="1"/>
    </row>
    <row r="80" spans="1:24" ht="15" hidden="1" customHeight="1" outlineLevel="2">
      <c r="A80" s="62"/>
      <c r="B80" s="5"/>
      <c r="C80" s="8"/>
      <c r="D80" s="29" t="s">
        <v>23</v>
      </c>
      <c r="E80" s="453" t="s">
        <v>26</v>
      </c>
      <c r="F80" s="454"/>
      <c r="G80" s="454"/>
      <c r="H80" s="454"/>
      <c r="I80" s="454"/>
      <c r="J80" s="454"/>
      <c r="K80" s="108"/>
      <c r="L80" s="108"/>
      <c r="M80" s="88"/>
      <c r="N80" s="88"/>
      <c r="O80" s="88"/>
      <c r="P80" s="1"/>
      <c r="Q80" s="1"/>
      <c r="R80" s="1"/>
      <c r="S80" s="1"/>
      <c r="T80" s="1"/>
      <c r="U80" s="1"/>
      <c r="V80" s="1"/>
      <c r="W80" s="1"/>
    </row>
    <row r="81" spans="1:23" ht="15" hidden="1" customHeight="1" outlineLevel="2">
      <c r="A81" s="62"/>
      <c r="B81" s="5"/>
      <c r="C81" s="8"/>
      <c r="D81" s="8"/>
      <c r="E81" s="33" t="s">
        <v>24</v>
      </c>
      <c r="F81" s="450" t="s">
        <v>34</v>
      </c>
      <c r="G81" s="450"/>
      <c r="H81" s="450"/>
      <c r="I81" s="450"/>
      <c r="J81" s="451"/>
      <c r="K81" s="306" t="e">
        <f t="shared" ref="K81:L81" si="21">IF(AND(K82:K85),"Passed","Failed")</f>
        <v>#VALUE!</v>
      </c>
      <c r="L81" s="306" t="e">
        <f t="shared" si="21"/>
        <v>#VALUE!</v>
      </c>
      <c r="M81" s="306" t="e">
        <f>IF(AND(M82:M85),"Passed","Failed")</f>
        <v>#VALUE!</v>
      </c>
      <c r="N81" s="306" t="e">
        <f t="shared" ref="N81:O81" si="22">IF(AND(N82:N85),"Passed","Failed")</f>
        <v>#VALUE!</v>
      </c>
      <c r="O81" s="306" t="e">
        <f t="shared" si="22"/>
        <v>#VALUE!</v>
      </c>
      <c r="P81" s="1"/>
      <c r="Q81" s="1"/>
      <c r="R81" s="1"/>
      <c r="S81" s="1"/>
      <c r="T81" s="1"/>
      <c r="U81" s="1"/>
      <c r="V81" s="1"/>
      <c r="W81" s="1"/>
    </row>
    <row r="82" spans="1:23" ht="15" hidden="1" customHeight="1" outlineLevel="3">
      <c r="A82" s="62"/>
      <c r="B82" s="5"/>
      <c r="C82" s="8"/>
      <c r="D82" s="8"/>
      <c r="E82" s="16"/>
      <c r="F82" s="38" t="str">
        <f>HYPERLINK("#'Test Case'!A1","n.1.1.1")</f>
        <v>n.1.1.1</v>
      </c>
      <c r="G82" s="449" t="s">
        <v>68</v>
      </c>
      <c r="H82" s="449"/>
      <c r="I82" s="449"/>
      <c r="J82" s="452"/>
      <c r="K82" s="88"/>
      <c r="L82" s="88"/>
      <c r="M82" s="88"/>
      <c r="N82" s="88"/>
      <c r="O82" s="88"/>
      <c r="P82" s="1"/>
      <c r="Q82" s="1"/>
      <c r="R82" s="1"/>
      <c r="S82" s="1"/>
      <c r="T82" s="1"/>
      <c r="U82" s="1"/>
      <c r="V82" s="1"/>
      <c r="W82" s="1"/>
    </row>
    <row r="83" spans="1:23" ht="15" hidden="1" customHeight="1" outlineLevel="3">
      <c r="A83" s="62"/>
      <c r="B83" s="5"/>
      <c r="C83" s="8"/>
      <c r="D83" s="8"/>
      <c r="E83" s="16"/>
      <c r="F83" s="38" t="str">
        <f>HYPERLINK("#'Test Case'!A1","n.1.1.2")</f>
        <v>n.1.1.2</v>
      </c>
      <c r="G83" s="449" t="s">
        <v>69</v>
      </c>
      <c r="H83" s="449"/>
      <c r="I83" s="449"/>
      <c r="J83" s="452"/>
      <c r="K83" s="88"/>
      <c r="L83" s="88"/>
      <c r="M83" s="88"/>
      <c r="N83" s="88"/>
      <c r="O83" s="88"/>
      <c r="P83" s="1"/>
      <c r="Q83" s="1"/>
      <c r="R83" s="1"/>
      <c r="S83" s="1"/>
      <c r="T83" s="1"/>
      <c r="U83" s="1"/>
      <c r="V83" s="1"/>
      <c r="W83" s="1"/>
    </row>
    <row r="84" spans="1:23" ht="15" hidden="1" customHeight="1" outlineLevel="3">
      <c r="A84" s="62"/>
      <c r="B84" s="5"/>
      <c r="C84" s="8"/>
      <c r="D84" s="8"/>
      <c r="E84" s="16"/>
      <c r="F84" s="38" t="str">
        <f>HYPERLINK("#'Test Case'!A1","n.1.1.3")</f>
        <v>n.1.1.3</v>
      </c>
      <c r="G84" s="449" t="s">
        <v>70</v>
      </c>
      <c r="H84" s="449"/>
      <c r="I84" s="449"/>
      <c r="J84" s="452"/>
      <c r="K84" s="88"/>
      <c r="L84" s="88"/>
      <c r="M84" s="88"/>
      <c r="N84" s="88"/>
      <c r="O84" s="88"/>
      <c r="P84" s="1"/>
      <c r="Q84" s="1"/>
      <c r="R84" s="1"/>
      <c r="S84" s="1"/>
      <c r="T84" s="1"/>
      <c r="U84" s="1"/>
      <c r="V84" s="1"/>
      <c r="W84" s="1"/>
    </row>
    <row r="85" spans="1:23" ht="15" hidden="1" customHeight="1" outlineLevel="3">
      <c r="A85" s="62"/>
      <c r="B85" s="5"/>
      <c r="C85" s="8"/>
      <c r="D85" s="8"/>
      <c r="E85" s="16"/>
      <c r="F85" s="38" t="str">
        <f>HYPERLINK("#'Test Case'!A1","n.1.1.4")</f>
        <v>n.1.1.4</v>
      </c>
      <c r="G85" s="449" t="s">
        <v>71</v>
      </c>
      <c r="H85" s="449"/>
      <c r="I85" s="449"/>
      <c r="J85" s="452"/>
      <c r="K85" s="88"/>
      <c r="L85" s="88"/>
      <c r="M85" s="88"/>
      <c r="N85" s="88"/>
      <c r="O85" s="88"/>
      <c r="P85" s="1"/>
      <c r="Q85" s="1"/>
      <c r="R85" s="1"/>
      <c r="S85" s="1"/>
      <c r="T85" s="1"/>
      <c r="U85" s="1"/>
      <c r="V85" s="1"/>
      <c r="W85" s="1"/>
    </row>
    <row r="86" spans="1:23" ht="15" hidden="1" customHeight="1" outlineLevel="2" collapsed="1">
      <c r="A86" s="62"/>
      <c r="B86" s="5"/>
      <c r="C86" s="5"/>
      <c r="D86" s="5"/>
      <c r="E86" s="32" t="s">
        <v>28</v>
      </c>
      <c r="F86" s="450" t="s">
        <v>35</v>
      </c>
      <c r="G86" s="450"/>
      <c r="H86" s="450"/>
      <c r="I86" s="450"/>
      <c r="J86" s="451"/>
      <c r="K86" s="135" t="e">
        <f t="shared" ref="K86:L86" si="23">IF(AND(K87:K90),"Passed","Failed")</f>
        <v>#VALUE!</v>
      </c>
      <c r="L86" s="135" t="e">
        <f t="shared" si="23"/>
        <v>#VALUE!</v>
      </c>
      <c r="M86" s="135" t="e">
        <f>IF(AND(M87:M90),"Passed","Failed")</f>
        <v>#VALUE!</v>
      </c>
      <c r="N86" s="135" t="e">
        <f t="shared" ref="N86:O86" si="24">IF(AND(N87:N90),"Passed","Failed")</f>
        <v>#VALUE!</v>
      </c>
      <c r="O86" s="135" t="e">
        <f t="shared" si="24"/>
        <v>#VALUE!</v>
      </c>
      <c r="P86" s="1"/>
      <c r="Q86" s="1"/>
      <c r="R86" s="1"/>
      <c r="S86" s="1"/>
      <c r="T86" s="1"/>
      <c r="U86" s="1"/>
      <c r="V86" s="1"/>
      <c r="W86" s="1"/>
    </row>
    <row r="87" spans="1:23" ht="15" hidden="1" customHeight="1" outlineLevel="3">
      <c r="A87" s="62"/>
      <c r="B87" s="5"/>
      <c r="C87" s="5"/>
      <c r="D87" s="5"/>
      <c r="E87" s="16"/>
      <c r="F87" s="38" t="str">
        <f>HYPERLINK("#'Test Case'!A1","n.2.1.1")</f>
        <v>n.2.1.1</v>
      </c>
      <c r="G87" s="449" t="s">
        <v>68</v>
      </c>
      <c r="H87" s="449"/>
      <c r="I87" s="449"/>
      <c r="J87" s="452"/>
      <c r="K87" s="88"/>
      <c r="L87" s="88"/>
      <c r="M87" s="88"/>
      <c r="N87" s="88"/>
      <c r="O87" s="88"/>
      <c r="P87" s="1"/>
      <c r="Q87" s="1"/>
      <c r="R87" s="1"/>
      <c r="S87" s="1"/>
      <c r="T87" s="1"/>
      <c r="U87" s="1"/>
      <c r="V87" s="1"/>
      <c r="W87" s="1"/>
    </row>
    <row r="88" spans="1:23" ht="15" hidden="1" customHeight="1" outlineLevel="3">
      <c r="A88" s="62"/>
      <c r="B88" s="5"/>
      <c r="C88" s="5"/>
      <c r="D88" s="5"/>
      <c r="E88" s="16"/>
      <c r="F88" s="38" t="str">
        <f>HYPERLINK("#'Test Case'!A1","n.2.1.2")</f>
        <v>n.2.1.2</v>
      </c>
      <c r="G88" s="449" t="s">
        <v>69</v>
      </c>
      <c r="H88" s="449"/>
      <c r="I88" s="449"/>
      <c r="J88" s="452"/>
      <c r="K88" s="88"/>
      <c r="L88" s="88"/>
      <c r="M88" s="88"/>
      <c r="N88" s="88"/>
      <c r="O88" s="88"/>
      <c r="P88" s="1"/>
      <c r="Q88" s="1"/>
      <c r="R88" s="1"/>
      <c r="S88" s="1"/>
      <c r="T88" s="1"/>
      <c r="U88" s="1"/>
      <c r="V88" s="1"/>
      <c r="W88" s="1"/>
    </row>
    <row r="89" spans="1:23" ht="15" hidden="1" customHeight="1" outlineLevel="3">
      <c r="A89" s="62"/>
      <c r="B89" s="1"/>
      <c r="C89" s="1"/>
      <c r="D89" s="1"/>
      <c r="E89" s="1"/>
      <c r="F89" s="38" t="str">
        <f>HYPERLINK("#'Test Case'!A1","n.2.1.3")</f>
        <v>n.2.1.3</v>
      </c>
      <c r="G89" s="449" t="s">
        <v>70</v>
      </c>
      <c r="H89" s="449"/>
      <c r="I89" s="449"/>
      <c r="J89" s="452"/>
      <c r="K89" s="88"/>
      <c r="L89" s="88"/>
      <c r="M89" s="88"/>
      <c r="N89" s="88"/>
      <c r="O89" s="88"/>
      <c r="P89" s="1"/>
      <c r="Q89" s="1"/>
      <c r="R89" s="1"/>
      <c r="S89" s="1"/>
      <c r="T89" s="1"/>
      <c r="U89" s="1"/>
      <c r="V89" s="1"/>
      <c r="W89" s="1"/>
    </row>
    <row r="90" spans="1:23" ht="15" hidden="1" customHeight="1" outlineLevel="3">
      <c r="A90" s="62"/>
      <c r="B90" s="1"/>
      <c r="C90" s="1"/>
      <c r="D90" s="1"/>
      <c r="E90" s="1"/>
      <c r="F90" s="38" t="str">
        <f>HYPERLINK("#'Test Case'!A1","n.2.1.4")</f>
        <v>n.2.1.4</v>
      </c>
      <c r="G90" s="449" t="s">
        <v>71</v>
      </c>
      <c r="H90" s="449"/>
      <c r="I90" s="449"/>
      <c r="J90" s="452"/>
      <c r="K90" s="88"/>
      <c r="L90" s="88"/>
      <c r="M90" s="88"/>
      <c r="N90" s="88"/>
      <c r="O90" s="88"/>
      <c r="P90" s="1"/>
      <c r="Q90" s="1"/>
      <c r="R90" s="1"/>
      <c r="S90" s="1"/>
      <c r="T90" s="1"/>
      <c r="U90" s="1"/>
      <c r="V90" s="1"/>
      <c r="W90" s="1"/>
    </row>
    <row r="91" spans="1:23" ht="15" hidden="1" customHeight="1" outlineLevel="2" collapsed="1">
      <c r="A91" s="62"/>
      <c r="B91" s="1"/>
      <c r="C91" s="1"/>
      <c r="D91" s="29" t="s">
        <v>27</v>
      </c>
      <c r="E91" s="453" t="s">
        <v>26</v>
      </c>
      <c r="F91" s="454"/>
      <c r="G91" s="454"/>
      <c r="H91" s="454"/>
      <c r="I91" s="454"/>
      <c r="J91" s="454"/>
      <c r="K91" s="108"/>
      <c r="L91" s="108"/>
      <c r="M91" s="88"/>
      <c r="N91" s="88"/>
      <c r="O91" s="88"/>
      <c r="P91" s="1"/>
      <c r="Q91" s="1"/>
      <c r="R91" s="1"/>
      <c r="S91" s="1"/>
      <c r="T91" s="1"/>
      <c r="U91" s="1"/>
      <c r="V91" s="1"/>
      <c r="W91" s="1"/>
    </row>
    <row r="92" spans="1:23" ht="15" hidden="1" customHeight="1" outlineLevel="2">
      <c r="A92" s="62"/>
      <c r="B92" s="1"/>
      <c r="C92" s="1"/>
      <c r="D92" s="8"/>
      <c r="E92" s="33" t="s">
        <v>28</v>
      </c>
      <c r="F92" s="450" t="s">
        <v>36</v>
      </c>
      <c r="G92" s="450"/>
      <c r="H92" s="450"/>
      <c r="I92" s="450"/>
      <c r="J92" s="451"/>
      <c r="K92" s="135" t="e">
        <f t="shared" ref="K92:L92" si="25">IF(AND(K93:K96),"Passed","Failed")</f>
        <v>#VALUE!</v>
      </c>
      <c r="L92" s="135" t="e">
        <f t="shared" si="25"/>
        <v>#VALUE!</v>
      </c>
      <c r="M92" s="135" t="e">
        <f>IF(AND(M93:M96),"Passed","Failed")</f>
        <v>#VALUE!</v>
      </c>
      <c r="N92" s="135" t="e">
        <f t="shared" ref="N92:O92" si="26">IF(AND(N93:N96),"Passed","Failed")</f>
        <v>#VALUE!</v>
      </c>
      <c r="O92" s="135" t="e">
        <f t="shared" si="26"/>
        <v>#VALUE!</v>
      </c>
      <c r="P92" s="1"/>
      <c r="Q92" s="1"/>
      <c r="R92" s="1"/>
      <c r="S92" s="1"/>
      <c r="T92" s="1"/>
      <c r="U92" s="1"/>
      <c r="V92" s="1"/>
      <c r="W92" s="1"/>
    </row>
    <row r="93" spans="1:23" ht="15" hidden="1" customHeight="1" outlineLevel="3">
      <c r="A93" s="62"/>
      <c r="B93" s="1"/>
      <c r="C93" s="1"/>
      <c r="D93" s="8"/>
      <c r="E93" s="16"/>
      <c r="F93" s="30" t="s">
        <v>30</v>
      </c>
      <c r="G93" s="449"/>
      <c r="H93" s="449"/>
      <c r="I93" s="449"/>
      <c r="J93" s="452"/>
      <c r="K93" s="88"/>
      <c r="L93" s="88"/>
      <c r="M93" s="88"/>
      <c r="N93" s="88"/>
      <c r="O93" s="88"/>
      <c r="P93" s="1"/>
      <c r="Q93" s="1"/>
      <c r="R93" s="1"/>
      <c r="S93" s="1"/>
      <c r="T93" s="1"/>
      <c r="U93" s="1"/>
      <c r="V93" s="1"/>
      <c r="W93" s="1"/>
    </row>
    <row r="94" spans="1:23" ht="15" hidden="1" customHeight="1" outlineLevel="3">
      <c r="A94" s="62"/>
      <c r="B94" s="1"/>
      <c r="C94" s="1"/>
      <c r="D94" s="8"/>
      <c r="E94" s="16"/>
      <c r="F94" s="30" t="s">
        <v>31</v>
      </c>
      <c r="G94" s="449"/>
      <c r="H94" s="449"/>
      <c r="I94" s="449"/>
      <c r="J94" s="452"/>
      <c r="K94" s="88"/>
      <c r="L94" s="88"/>
      <c r="M94" s="88"/>
      <c r="N94" s="88"/>
      <c r="O94" s="88"/>
      <c r="P94" s="1"/>
      <c r="Q94" s="1"/>
      <c r="R94" s="1"/>
      <c r="S94" s="1"/>
      <c r="T94" s="1"/>
      <c r="U94" s="1"/>
      <c r="V94" s="1"/>
      <c r="W94" s="1"/>
    </row>
    <row r="95" spans="1:23" ht="15" hidden="1" customHeight="1" outlineLevel="3">
      <c r="A95" s="62"/>
      <c r="B95" s="1"/>
      <c r="C95" s="1"/>
      <c r="D95" s="8"/>
      <c r="E95" s="16"/>
      <c r="F95" s="30" t="s">
        <v>32</v>
      </c>
      <c r="G95" s="449"/>
      <c r="H95" s="449"/>
      <c r="I95" s="449"/>
      <c r="J95" s="452"/>
      <c r="K95" s="88"/>
      <c r="L95" s="88"/>
      <c r="M95" s="88"/>
      <c r="N95" s="88"/>
      <c r="O95" s="88"/>
      <c r="P95" s="1"/>
      <c r="Q95" s="1"/>
      <c r="R95" s="1"/>
      <c r="S95" s="1"/>
      <c r="T95" s="1"/>
      <c r="U95" s="1"/>
      <c r="V95" s="1"/>
      <c r="W95" s="1"/>
    </row>
    <row r="96" spans="1:23" ht="15" hidden="1" customHeight="1" outlineLevel="3">
      <c r="A96" s="62"/>
      <c r="B96" s="1"/>
      <c r="C96" s="1"/>
      <c r="D96" s="8"/>
      <c r="E96" s="16"/>
      <c r="F96" s="30" t="s">
        <v>33</v>
      </c>
      <c r="G96" s="449"/>
      <c r="H96" s="449"/>
      <c r="I96" s="449"/>
      <c r="J96" s="452"/>
      <c r="K96" s="88"/>
      <c r="L96" s="88"/>
      <c r="M96" s="88"/>
      <c r="N96" s="88"/>
      <c r="O96" s="88"/>
      <c r="P96" s="1"/>
      <c r="Q96" s="1"/>
      <c r="R96" s="1"/>
      <c r="S96" s="1"/>
      <c r="T96" s="1"/>
      <c r="U96" s="1"/>
      <c r="V96" s="1"/>
      <c r="W96" s="1"/>
    </row>
    <row r="97" spans="1:23" ht="15" hidden="1" customHeight="1" outlineLevel="2" collapsed="1">
      <c r="A97" s="62"/>
      <c r="B97" s="1"/>
      <c r="C97" s="1"/>
      <c r="D97" s="5"/>
      <c r="E97" s="32" t="s">
        <v>29</v>
      </c>
      <c r="F97" s="450" t="s">
        <v>37</v>
      </c>
      <c r="G97" s="450"/>
      <c r="H97" s="450"/>
      <c r="I97" s="450"/>
      <c r="J97" s="451"/>
      <c r="K97" s="135" t="e">
        <f t="shared" ref="K97:L97" si="27">IF(AND(K98:K101),"Passed","Failed")</f>
        <v>#VALUE!</v>
      </c>
      <c r="L97" s="135" t="e">
        <f t="shared" si="27"/>
        <v>#VALUE!</v>
      </c>
      <c r="M97" s="135" t="e">
        <f>IF(AND(M98:M101),"Passed","Failed")</f>
        <v>#VALUE!</v>
      </c>
      <c r="N97" s="135" t="e">
        <f t="shared" ref="N97:O97" si="28">IF(AND(N98:N101),"Passed","Failed")</f>
        <v>#VALUE!</v>
      </c>
      <c r="O97" s="135" t="e">
        <f t="shared" si="28"/>
        <v>#VALUE!</v>
      </c>
      <c r="P97" s="1"/>
      <c r="Q97" s="1"/>
      <c r="R97" s="1"/>
      <c r="S97" s="1"/>
      <c r="T97" s="1"/>
      <c r="U97" s="1"/>
      <c r="V97" s="1"/>
      <c r="W97" s="1"/>
    </row>
    <row r="98" spans="1:23" ht="15" hidden="1" customHeight="1" outlineLevel="3">
      <c r="A98" s="62"/>
      <c r="B98" s="1"/>
      <c r="C98" s="1"/>
      <c r="D98" s="5"/>
      <c r="E98" s="16"/>
      <c r="F98" s="31" t="s">
        <v>30</v>
      </c>
      <c r="G98" s="449"/>
      <c r="H98" s="449"/>
      <c r="I98" s="449"/>
      <c r="J98" s="452"/>
      <c r="K98" s="88"/>
      <c r="L98" s="88"/>
      <c r="M98" s="88"/>
      <c r="N98" s="88"/>
      <c r="O98" s="88"/>
      <c r="P98" s="1"/>
      <c r="Q98" s="1"/>
      <c r="R98" s="1"/>
      <c r="S98" s="1"/>
      <c r="T98" s="1"/>
      <c r="U98" s="1"/>
      <c r="V98" s="1"/>
      <c r="W98" s="1"/>
    </row>
    <row r="99" spans="1:23" ht="15" hidden="1" customHeight="1" outlineLevel="3">
      <c r="A99" s="62"/>
      <c r="B99" s="1"/>
      <c r="C99" s="1"/>
      <c r="D99" s="5"/>
      <c r="E99" s="16"/>
      <c r="F99" s="31" t="s">
        <v>31</v>
      </c>
      <c r="G99" s="449"/>
      <c r="H99" s="449"/>
      <c r="I99" s="449"/>
      <c r="J99" s="452"/>
      <c r="K99" s="88"/>
      <c r="L99" s="88"/>
      <c r="M99" s="88"/>
      <c r="N99" s="88"/>
      <c r="O99" s="88"/>
      <c r="P99" s="1"/>
      <c r="Q99" s="1"/>
      <c r="R99" s="1"/>
      <c r="S99" s="1"/>
      <c r="T99" s="1"/>
      <c r="U99" s="1"/>
      <c r="V99" s="1"/>
      <c r="W99" s="1"/>
    </row>
    <row r="100" spans="1:23" ht="15" hidden="1" customHeight="1" outlineLevel="3">
      <c r="A100" s="62"/>
      <c r="B100" s="1"/>
      <c r="C100" s="1"/>
      <c r="D100" s="1"/>
      <c r="E100" s="1"/>
      <c r="F100" s="31" t="s">
        <v>32</v>
      </c>
      <c r="G100" s="449"/>
      <c r="H100" s="449"/>
      <c r="I100" s="449"/>
      <c r="J100" s="452"/>
      <c r="K100" s="88"/>
      <c r="L100" s="88"/>
      <c r="M100" s="88"/>
      <c r="N100" s="88"/>
      <c r="O100" s="88"/>
      <c r="P100" s="1"/>
      <c r="Q100" s="1"/>
      <c r="R100" s="1"/>
      <c r="S100" s="1"/>
      <c r="T100" s="1"/>
      <c r="U100" s="1"/>
      <c r="V100" s="1"/>
      <c r="W100" s="1"/>
    </row>
    <row r="101" spans="1:23" ht="15" hidden="1" customHeight="1" outlineLevel="3">
      <c r="A101" s="62"/>
      <c r="B101" s="1"/>
      <c r="C101" s="1"/>
      <c r="D101" s="1"/>
      <c r="E101" s="1"/>
      <c r="F101" s="31" t="s">
        <v>33</v>
      </c>
      <c r="G101" s="449"/>
      <c r="H101" s="449"/>
      <c r="I101" s="449"/>
      <c r="J101" s="452"/>
      <c r="K101" s="88"/>
      <c r="L101" s="88"/>
      <c r="M101" s="88"/>
      <c r="N101" s="88"/>
      <c r="O101" s="88"/>
      <c r="P101" s="1"/>
      <c r="Q101" s="1"/>
      <c r="R101" s="1"/>
      <c r="S101" s="1"/>
      <c r="T101" s="1"/>
      <c r="U101" s="1"/>
      <c r="V101" s="1"/>
      <c r="W101" s="1"/>
    </row>
    <row r="102" spans="1:23" ht="15" hidden="1" customHeight="1" outlineLevel="2" collapsed="1">
      <c r="A102" s="62"/>
      <c r="B102" s="1"/>
      <c r="C102" s="1"/>
      <c r="D102" s="1"/>
      <c r="E102" s="1"/>
      <c r="F102" s="1"/>
      <c r="G102" s="1"/>
      <c r="H102" s="1"/>
      <c r="I102" s="1"/>
      <c r="J102" s="1"/>
      <c r="K102" s="88"/>
      <c r="L102" s="88"/>
      <c r="M102" s="88"/>
      <c r="N102" s="88"/>
      <c r="O102" s="88"/>
      <c r="P102" s="1"/>
      <c r="Q102" s="1"/>
      <c r="R102" s="1"/>
      <c r="S102" s="1"/>
      <c r="T102" s="1"/>
      <c r="U102" s="1"/>
      <c r="V102" s="1"/>
      <c r="W102" s="1"/>
    </row>
    <row r="103" spans="1:23" ht="18.75" outlineLevel="1" collapsed="1">
      <c r="A103" s="62"/>
      <c r="B103" s="1"/>
      <c r="C103" s="1"/>
      <c r="D103" s="1"/>
      <c r="E103" s="9"/>
      <c r="F103" s="15"/>
      <c r="G103" s="14"/>
      <c r="H103" s="1"/>
      <c r="I103" s="1"/>
      <c r="J103" s="1"/>
      <c r="K103" s="460" t="s">
        <v>16</v>
      </c>
      <c r="L103" s="460"/>
      <c r="M103" s="447" t="s">
        <v>20</v>
      </c>
      <c r="N103" s="447"/>
      <c r="O103" s="447"/>
      <c r="P103" s="1"/>
      <c r="Q103" s="1"/>
      <c r="R103" s="1"/>
      <c r="S103" s="1"/>
      <c r="T103" s="1"/>
      <c r="U103" s="1"/>
      <c r="V103" s="1"/>
      <c r="W103" s="1"/>
    </row>
    <row r="104" spans="1:23" outlineLevel="1">
      <c r="A104" s="62"/>
      <c r="B104" s="20" t="s">
        <v>8</v>
      </c>
      <c r="C104" s="455" t="s">
        <v>9</v>
      </c>
      <c r="D104" s="455"/>
      <c r="E104" s="455"/>
      <c r="F104" s="455"/>
      <c r="G104" s="455"/>
      <c r="H104" s="455"/>
      <c r="I104" s="455"/>
      <c r="J104" s="456"/>
      <c r="K104" s="89" t="s">
        <v>19</v>
      </c>
      <c r="L104" s="89" t="s">
        <v>15</v>
      </c>
      <c r="M104" s="89" t="s">
        <v>18</v>
      </c>
      <c r="N104" s="89" t="s">
        <v>44</v>
      </c>
      <c r="O104" s="89" t="s">
        <v>156</v>
      </c>
      <c r="P104" s="1"/>
      <c r="Q104" s="1"/>
      <c r="R104" s="1"/>
      <c r="S104" s="1"/>
      <c r="T104" s="1"/>
      <c r="U104" s="1"/>
      <c r="V104" s="1"/>
      <c r="W104" s="1"/>
    </row>
    <row r="105" spans="1:23" outlineLevel="1">
      <c r="A105" s="62"/>
      <c r="B105" s="27" t="s">
        <v>21</v>
      </c>
      <c r="C105" s="28" t="s">
        <v>22</v>
      </c>
      <c r="D105" s="457" t="s">
        <v>25</v>
      </c>
      <c r="E105" s="458"/>
      <c r="F105" s="458"/>
      <c r="G105" s="458"/>
      <c r="H105" s="458"/>
      <c r="I105" s="458"/>
      <c r="J105" s="458"/>
      <c r="K105" s="107" t="e">
        <f>IF(AND(K107="Passed",K112="Passed"),"For review","For completion")</f>
        <v>#VALUE!</v>
      </c>
      <c r="L105" s="107" t="e">
        <f>IF(AND(L107="Passed",L112="Passed"),"QA ready","For completion")</f>
        <v>#VALUE!</v>
      </c>
      <c r="M105" s="107" t="e">
        <f>IF(AND(M107="Passed",M112="Passed"),"For verification","For completion")</f>
        <v>#VALUE!</v>
      </c>
      <c r="N105" s="107" t="e">
        <f>IF(AND(N107="Passed",N112="Passed"),"Demo ready","For completion")</f>
        <v>#VALUE!</v>
      </c>
      <c r="O105" s="107" t="e">
        <f>IF(AND(O107="Passed",O112="Passed"),"Production ready","For completion")</f>
        <v>#VALUE!</v>
      </c>
      <c r="P105" s="1"/>
      <c r="Q105" s="1"/>
      <c r="R105" s="1"/>
      <c r="S105" s="1"/>
      <c r="T105" s="1"/>
      <c r="U105" s="1"/>
      <c r="V105" s="1"/>
      <c r="W105" s="1"/>
    </row>
    <row r="106" spans="1:23" ht="15" hidden="1" customHeight="1" outlineLevel="2">
      <c r="A106" s="62"/>
      <c r="B106" s="5"/>
      <c r="C106" s="8"/>
      <c r="D106" s="29" t="s">
        <v>23</v>
      </c>
      <c r="E106" s="453" t="s">
        <v>26</v>
      </c>
      <c r="F106" s="454"/>
      <c r="G106" s="454"/>
      <c r="H106" s="454"/>
      <c r="I106" s="454"/>
      <c r="J106" s="454"/>
      <c r="K106" s="108"/>
      <c r="L106" s="108"/>
      <c r="M106" s="88"/>
      <c r="N106" s="88"/>
      <c r="O106" s="88"/>
      <c r="P106" s="1"/>
      <c r="Q106" s="1"/>
      <c r="R106" s="1"/>
      <c r="S106" s="1"/>
      <c r="T106" s="1"/>
      <c r="U106" s="1"/>
      <c r="V106" s="1"/>
      <c r="W106" s="1"/>
    </row>
    <row r="107" spans="1:23" ht="15" hidden="1" customHeight="1" outlineLevel="2">
      <c r="A107" s="62"/>
      <c r="B107" s="5"/>
      <c r="C107" s="8"/>
      <c r="D107" s="8"/>
      <c r="E107" s="33" t="s">
        <v>24</v>
      </c>
      <c r="F107" s="450" t="s">
        <v>34</v>
      </c>
      <c r="G107" s="450"/>
      <c r="H107" s="450"/>
      <c r="I107" s="450"/>
      <c r="J107" s="451"/>
      <c r="K107" s="306" t="e">
        <f t="shared" ref="K107:L107" si="29">IF(AND(K108:K111),"Passed","Failed")</f>
        <v>#VALUE!</v>
      </c>
      <c r="L107" s="306" t="e">
        <f t="shared" si="29"/>
        <v>#VALUE!</v>
      </c>
      <c r="M107" s="306" t="e">
        <f>IF(AND(M108:M111),"Passed","Failed")</f>
        <v>#VALUE!</v>
      </c>
      <c r="N107" s="306" t="e">
        <f t="shared" ref="N107:O107" si="30">IF(AND(N108:N111),"Passed","Failed")</f>
        <v>#VALUE!</v>
      </c>
      <c r="O107" s="306" t="e">
        <f t="shared" si="30"/>
        <v>#VALUE!</v>
      </c>
      <c r="P107" s="1"/>
      <c r="Q107" s="1"/>
      <c r="R107" s="1"/>
      <c r="S107" s="1"/>
      <c r="T107" s="1"/>
      <c r="U107" s="1"/>
      <c r="V107" s="1"/>
      <c r="W107" s="1"/>
    </row>
    <row r="108" spans="1:23" ht="15" hidden="1" customHeight="1" outlineLevel="3">
      <c r="A108" s="62"/>
      <c r="B108" s="5"/>
      <c r="C108" s="8"/>
      <c r="D108" s="8"/>
      <c r="E108" s="16"/>
      <c r="F108" s="38" t="str">
        <f>HYPERLINK("#'Test Case'!A1","n.1.1.1")</f>
        <v>n.1.1.1</v>
      </c>
      <c r="G108" s="449" t="s">
        <v>68</v>
      </c>
      <c r="H108" s="449"/>
      <c r="I108" s="449"/>
      <c r="J108" s="452"/>
      <c r="K108" s="88"/>
      <c r="L108" s="88"/>
      <c r="M108" s="88"/>
      <c r="N108" s="88"/>
      <c r="O108" s="88"/>
      <c r="P108" s="1"/>
      <c r="Q108" s="1"/>
      <c r="R108" s="1"/>
      <c r="S108" s="1"/>
      <c r="T108" s="1"/>
      <c r="U108" s="1"/>
      <c r="V108" s="1"/>
      <c r="W108" s="1"/>
    </row>
    <row r="109" spans="1:23" ht="15" hidden="1" customHeight="1" outlineLevel="3">
      <c r="A109" s="62"/>
      <c r="B109" s="5"/>
      <c r="C109" s="8"/>
      <c r="D109" s="8"/>
      <c r="E109" s="16"/>
      <c r="F109" s="38" t="str">
        <f>HYPERLINK("#'Test Case'!A1","n.1.1.2")</f>
        <v>n.1.1.2</v>
      </c>
      <c r="G109" s="449" t="s">
        <v>69</v>
      </c>
      <c r="H109" s="449"/>
      <c r="I109" s="449"/>
      <c r="J109" s="452"/>
      <c r="K109" s="88"/>
      <c r="L109" s="88"/>
      <c r="M109" s="88"/>
      <c r="N109" s="88"/>
      <c r="O109" s="88"/>
      <c r="P109" s="1"/>
      <c r="Q109" s="1"/>
      <c r="R109" s="1"/>
      <c r="S109" s="1"/>
      <c r="T109" s="1"/>
      <c r="U109" s="1"/>
      <c r="V109" s="1"/>
      <c r="W109" s="1"/>
    </row>
    <row r="110" spans="1:23" ht="15" hidden="1" customHeight="1" outlineLevel="3">
      <c r="A110" s="62"/>
      <c r="B110" s="5"/>
      <c r="C110" s="8"/>
      <c r="D110" s="8"/>
      <c r="E110" s="16"/>
      <c r="F110" s="38" t="str">
        <f>HYPERLINK("#'Test Case'!A1","n.1.1.3")</f>
        <v>n.1.1.3</v>
      </c>
      <c r="G110" s="449" t="s">
        <v>70</v>
      </c>
      <c r="H110" s="449"/>
      <c r="I110" s="449"/>
      <c r="J110" s="452"/>
      <c r="K110" s="88"/>
      <c r="L110" s="88"/>
      <c r="M110" s="88"/>
      <c r="N110" s="88"/>
      <c r="O110" s="88"/>
      <c r="P110" s="1"/>
      <c r="Q110" s="1"/>
      <c r="R110" s="1"/>
      <c r="S110" s="1"/>
      <c r="T110" s="1"/>
      <c r="U110" s="1"/>
      <c r="V110" s="1"/>
      <c r="W110" s="1"/>
    </row>
    <row r="111" spans="1:23" ht="15" hidden="1" customHeight="1" outlineLevel="3">
      <c r="A111" s="62"/>
      <c r="B111" s="5"/>
      <c r="C111" s="8"/>
      <c r="D111" s="8"/>
      <c r="E111" s="16"/>
      <c r="F111" s="38" t="str">
        <f>HYPERLINK("#'Test Case'!A1","n.1.1.4")</f>
        <v>n.1.1.4</v>
      </c>
      <c r="G111" s="449" t="s">
        <v>71</v>
      </c>
      <c r="H111" s="449"/>
      <c r="I111" s="449"/>
      <c r="J111" s="452"/>
      <c r="K111" s="88"/>
      <c r="L111" s="88"/>
      <c r="M111" s="88"/>
      <c r="N111" s="88"/>
      <c r="O111" s="88"/>
      <c r="P111" s="1"/>
      <c r="Q111" s="1"/>
      <c r="R111" s="1"/>
      <c r="S111" s="1"/>
      <c r="T111" s="1"/>
      <c r="U111" s="1"/>
      <c r="V111" s="1"/>
      <c r="W111" s="1"/>
    </row>
    <row r="112" spans="1:23" ht="15" hidden="1" customHeight="1" outlineLevel="2" collapsed="1">
      <c r="A112" s="62"/>
      <c r="B112" s="5"/>
      <c r="C112" s="5"/>
      <c r="D112" s="5"/>
      <c r="E112" s="32" t="s">
        <v>28</v>
      </c>
      <c r="F112" s="450" t="s">
        <v>35</v>
      </c>
      <c r="G112" s="450"/>
      <c r="H112" s="450"/>
      <c r="I112" s="450"/>
      <c r="J112" s="451"/>
      <c r="K112" s="135" t="e">
        <f t="shared" ref="K112:L112" si="31">IF(AND(K113:K116),"Passed","Failed")</f>
        <v>#VALUE!</v>
      </c>
      <c r="L112" s="135" t="e">
        <f t="shared" si="31"/>
        <v>#VALUE!</v>
      </c>
      <c r="M112" s="135" t="e">
        <f>IF(AND(M113:M116),"Passed","Failed")</f>
        <v>#VALUE!</v>
      </c>
      <c r="N112" s="135" t="e">
        <f t="shared" ref="N112:O112" si="32">IF(AND(N113:N116),"Passed","Failed")</f>
        <v>#VALUE!</v>
      </c>
      <c r="O112" s="135" t="e">
        <f t="shared" si="32"/>
        <v>#VALUE!</v>
      </c>
      <c r="P112" s="1"/>
      <c r="Q112" s="1"/>
      <c r="R112" s="1"/>
      <c r="S112" s="1"/>
      <c r="T112" s="1"/>
      <c r="U112" s="1"/>
      <c r="V112" s="1"/>
      <c r="W112" s="1"/>
    </row>
    <row r="113" spans="1:23" ht="15" hidden="1" customHeight="1" outlineLevel="3">
      <c r="A113" s="62"/>
      <c r="B113" s="5"/>
      <c r="C113" s="5"/>
      <c r="D113" s="5"/>
      <c r="E113" s="16"/>
      <c r="F113" s="38" t="str">
        <f>HYPERLINK("#'Test Case'!A1","n.2.1.1")</f>
        <v>n.2.1.1</v>
      </c>
      <c r="G113" s="449" t="s">
        <v>68</v>
      </c>
      <c r="H113" s="449"/>
      <c r="I113" s="449"/>
      <c r="J113" s="452"/>
      <c r="K113" s="88"/>
      <c r="L113" s="88"/>
      <c r="M113" s="88"/>
      <c r="N113" s="88"/>
      <c r="O113" s="88"/>
      <c r="P113" s="1"/>
      <c r="Q113" s="1"/>
      <c r="R113" s="1"/>
      <c r="S113" s="1"/>
      <c r="T113" s="1"/>
      <c r="U113" s="1"/>
      <c r="V113" s="1"/>
      <c r="W113" s="1"/>
    </row>
    <row r="114" spans="1:23" ht="15" hidden="1" customHeight="1" outlineLevel="3">
      <c r="A114" s="62"/>
      <c r="B114" s="5"/>
      <c r="C114" s="5"/>
      <c r="D114" s="5"/>
      <c r="E114" s="16"/>
      <c r="F114" s="38" t="str">
        <f>HYPERLINK("#'Test Case'!A1","n.2.1.2")</f>
        <v>n.2.1.2</v>
      </c>
      <c r="G114" s="449" t="s">
        <v>69</v>
      </c>
      <c r="H114" s="449"/>
      <c r="I114" s="449"/>
      <c r="J114" s="452"/>
      <c r="K114" s="88"/>
      <c r="L114" s="88"/>
      <c r="M114" s="88"/>
      <c r="N114" s="88"/>
      <c r="O114" s="88"/>
      <c r="P114" s="1"/>
      <c r="Q114" s="1"/>
      <c r="R114" s="1"/>
      <c r="S114" s="1"/>
      <c r="T114" s="1"/>
      <c r="U114" s="1"/>
      <c r="V114" s="1"/>
      <c r="W114" s="1"/>
    </row>
    <row r="115" spans="1:23" ht="15" hidden="1" customHeight="1" outlineLevel="3">
      <c r="A115" s="62"/>
      <c r="B115" s="1"/>
      <c r="C115" s="1"/>
      <c r="D115" s="1"/>
      <c r="E115" s="1"/>
      <c r="F115" s="38" t="str">
        <f>HYPERLINK("#'Test Case'!A1","n.2.1.3")</f>
        <v>n.2.1.3</v>
      </c>
      <c r="G115" s="449" t="s">
        <v>70</v>
      </c>
      <c r="H115" s="449"/>
      <c r="I115" s="449"/>
      <c r="J115" s="452"/>
      <c r="K115" s="88"/>
      <c r="L115" s="88"/>
      <c r="M115" s="88"/>
      <c r="N115" s="88"/>
      <c r="O115" s="88"/>
      <c r="P115" s="1"/>
      <c r="Q115" s="1"/>
      <c r="R115" s="1"/>
      <c r="S115" s="1"/>
      <c r="T115" s="1"/>
      <c r="U115" s="1"/>
      <c r="V115" s="1"/>
      <c r="W115" s="1"/>
    </row>
    <row r="116" spans="1:23" ht="15" hidden="1" customHeight="1" outlineLevel="3">
      <c r="A116" s="62"/>
      <c r="B116" s="1"/>
      <c r="C116" s="1"/>
      <c r="D116" s="1"/>
      <c r="E116" s="1"/>
      <c r="F116" s="38" t="str">
        <f>HYPERLINK("#'Test Case'!A1","n.2.1.4")</f>
        <v>n.2.1.4</v>
      </c>
      <c r="G116" s="449" t="s">
        <v>71</v>
      </c>
      <c r="H116" s="449"/>
      <c r="I116" s="449"/>
      <c r="J116" s="452"/>
      <c r="K116" s="88"/>
      <c r="L116" s="88"/>
      <c r="M116" s="88"/>
      <c r="N116" s="88"/>
      <c r="O116" s="88"/>
      <c r="P116" s="1"/>
      <c r="Q116" s="1"/>
      <c r="R116" s="1"/>
      <c r="S116" s="1"/>
      <c r="T116" s="1"/>
      <c r="U116" s="1"/>
      <c r="V116" s="1"/>
      <c r="W116" s="1"/>
    </row>
    <row r="117" spans="1:23" ht="15" hidden="1" customHeight="1" outlineLevel="2" collapsed="1">
      <c r="A117" s="62"/>
      <c r="B117" s="1"/>
      <c r="C117" s="1"/>
      <c r="D117" s="29" t="s">
        <v>27</v>
      </c>
      <c r="E117" s="453" t="s">
        <v>26</v>
      </c>
      <c r="F117" s="454"/>
      <c r="G117" s="454"/>
      <c r="H117" s="454"/>
      <c r="I117" s="454"/>
      <c r="J117" s="454"/>
      <c r="K117" s="108"/>
      <c r="L117" s="108"/>
      <c r="M117" s="88"/>
      <c r="N117" s="88"/>
      <c r="O117" s="88"/>
      <c r="P117" s="1"/>
      <c r="Q117" s="1"/>
      <c r="R117" s="1"/>
      <c r="S117" s="1"/>
      <c r="T117" s="1"/>
      <c r="U117" s="1"/>
      <c r="V117" s="1"/>
      <c r="W117" s="1"/>
    </row>
    <row r="118" spans="1:23" ht="15" hidden="1" customHeight="1" outlineLevel="2">
      <c r="A118" s="62"/>
      <c r="B118" s="1"/>
      <c r="C118" s="1"/>
      <c r="D118" s="8"/>
      <c r="E118" s="33" t="s">
        <v>28</v>
      </c>
      <c r="F118" s="450" t="s">
        <v>36</v>
      </c>
      <c r="G118" s="450"/>
      <c r="H118" s="450"/>
      <c r="I118" s="450"/>
      <c r="J118" s="451"/>
      <c r="K118" s="135" t="e">
        <f t="shared" ref="K118:L118" si="33">IF(AND(K119:K122),"Passed","Failed")</f>
        <v>#VALUE!</v>
      </c>
      <c r="L118" s="135" t="e">
        <f t="shared" si="33"/>
        <v>#VALUE!</v>
      </c>
      <c r="M118" s="135" t="e">
        <f>IF(AND(M119:M122),"Passed","Failed")</f>
        <v>#VALUE!</v>
      </c>
      <c r="N118" s="135" t="e">
        <f t="shared" ref="N118:O118" si="34">IF(AND(N119:N122),"Passed","Failed")</f>
        <v>#VALUE!</v>
      </c>
      <c r="O118" s="135" t="e">
        <f t="shared" si="34"/>
        <v>#VALUE!</v>
      </c>
      <c r="P118" s="1"/>
      <c r="Q118" s="1"/>
      <c r="R118" s="1"/>
      <c r="S118" s="1"/>
      <c r="T118" s="1"/>
      <c r="U118" s="1"/>
      <c r="V118" s="1"/>
      <c r="W118" s="1"/>
    </row>
    <row r="119" spans="1:23" ht="15" hidden="1" customHeight="1" outlineLevel="3">
      <c r="A119" s="62"/>
      <c r="B119" s="1"/>
      <c r="C119" s="1"/>
      <c r="D119" s="8"/>
      <c r="E119" s="16"/>
      <c r="F119" s="30" t="s">
        <v>30</v>
      </c>
      <c r="G119" s="449"/>
      <c r="H119" s="449"/>
      <c r="I119" s="449"/>
      <c r="J119" s="452"/>
      <c r="K119" s="88"/>
      <c r="L119" s="88"/>
      <c r="M119" s="88"/>
      <c r="N119" s="88"/>
      <c r="O119" s="88"/>
      <c r="P119" s="1"/>
      <c r="Q119" s="1"/>
      <c r="R119" s="1"/>
      <c r="S119" s="1"/>
      <c r="T119" s="1"/>
      <c r="U119" s="1"/>
      <c r="V119" s="1"/>
      <c r="W119" s="1"/>
    </row>
    <row r="120" spans="1:23" ht="15" hidden="1" customHeight="1" outlineLevel="3">
      <c r="A120" s="62"/>
      <c r="B120" s="1"/>
      <c r="C120" s="1"/>
      <c r="D120" s="8"/>
      <c r="E120" s="16"/>
      <c r="F120" s="30" t="s">
        <v>31</v>
      </c>
      <c r="G120" s="449"/>
      <c r="H120" s="449"/>
      <c r="I120" s="449"/>
      <c r="J120" s="452"/>
      <c r="K120" s="88"/>
      <c r="L120" s="88"/>
      <c r="M120" s="88"/>
      <c r="N120" s="88"/>
      <c r="O120" s="88"/>
      <c r="P120" s="1"/>
      <c r="Q120" s="1"/>
      <c r="R120" s="1"/>
      <c r="S120" s="1"/>
      <c r="T120" s="1"/>
      <c r="U120" s="1"/>
      <c r="V120" s="1"/>
      <c r="W120" s="1"/>
    </row>
    <row r="121" spans="1:23" ht="15" hidden="1" customHeight="1" outlineLevel="3">
      <c r="A121" s="62"/>
      <c r="B121" s="1"/>
      <c r="C121" s="1"/>
      <c r="D121" s="8"/>
      <c r="E121" s="16"/>
      <c r="F121" s="30" t="s">
        <v>32</v>
      </c>
      <c r="G121" s="449"/>
      <c r="H121" s="449"/>
      <c r="I121" s="449"/>
      <c r="J121" s="452"/>
      <c r="K121" s="88"/>
      <c r="L121" s="88"/>
      <c r="M121" s="88"/>
      <c r="N121" s="88"/>
      <c r="O121" s="88"/>
      <c r="P121" s="1"/>
      <c r="Q121" s="1"/>
      <c r="R121" s="1"/>
      <c r="S121" s="1"/>
      <c r="T121" s="1"/>
      <c r="U121" s="1"/>
      <c r="V121" s="1"/>
      <c r="W121" s="1"/>
    </row>
    <row r="122" spans="1:23" ht="15" hidden="1" customHeight="1" outlineLevel="3">
      <c r="A122" s="62"/>
      <c r="B122" s="1"/>
      <c r="C122" s="1"/>
      <c r="D122" s="8"/>
      <c r="E122" s="16"/>
      <c r="F122" s="30" t="s">
        <v>33</v>
      </c>
      <c r="G122" s="449"/>
      <c r="H122" s="449"/>
      <c r="I122" s="449"/>
      <c r="J122" s="452"/>
      <c r="K122" s="88"/>
      <c r="L122" s="88"/>
      <c r="M122" s="88"/>
      <c r="N122" s="88"/>
      <c r="O122" s="88"/>
      <c r="P122" s="1"/>
      <c r="Q122" s="1"/>
      <c r="R122" s="1"/>
      <c r="S122" s="1"/>
      <c r="T122" s="1"/>
      <c r="U122" s="1"/>
      <c r="V122" s="1"/>
      <c r="W122" s="1"/>
    </row>
    <row r="123" spans="1:23" ht="15" hidden="1" customHeight="1" outlineLevel="2" collapsed="1">
      <c r="A123" s="62"/>
      <c r="B123" s="1"/>
      <c r="C123" s="1"/>
      <c r="D123" s="5"/>
      <c r="E123" s="32" t="s">
        <v>29</v>
      </c>
      <c r="F123" s="450" t="s">
        <v>37</v>
      </c>
      <c r="G123" s="450"/>
      <c r="H123" s="450"/>
      <c r="I123" s="450"/>
      <c r="J123" s="451"/>
      <c r="K123" s="135" t="e">
        <f t="shared" ref="K123:L123" si="35">IF(AND(K124:K127),"Passed","Failed")</f>
        <v>#VALUE!</v>
      </c>
      <c r="L123" s="135" t="e">
        <f t="shared" si="35"/>
        <v>#VALUE!</v>
      </c>
      <c r="M123" s="135" t="e">
        <f>IF(AND(M124:M127),"Passed","Failed")</f>
        <v>#VALUE!</v>
      </c>
      <c r="N123" s="135" t="e">
        <f t="shared" ref="N123:O123" si="36">IF(AND(N124:N127),"Passed","Failed")</f>
        <v>#VALUE!</v>
      </c>
      <c r="O123" s="135" t="e">
        <f t="shared" si="36"/>
        <v>#VALUE!</v>
      </c>
      <c r="P123" s="1"/>
      <c r="Q123" s="1"/>
      <c r="R123" s="1"/>
      <c r="S123" s="1"/>
      <c r="T123" s="1"/>
      <c r="U123" s="1"/>
      <c r="V123" s="1"/>
      <c r="W123" s="1"/>
    </row>
    <row r="124" spans="1:23" ht="15" hidden="1" customHeight="1" outlineLevel="3">
      <c r="A124" s="62"/>
      <c r="B124" s="1"/>
      <c r="C124" s="1"/>
      <c r="D124" s="5"/>
      <c r="E124" s="16"/>
      <c r="F124" s="31" t="s">
        <v>30</v>
      </c>
      <c r="G124" s="449"/>
      <c r="H124" s="449"/>
      <c r="I124" s="449"/>
      <c r="J124" s="452"/>
      <c r="K124" s="88"/>
      <c r="L124" s="88"/>
      <c r="M124" s="88"/>
      <c r="N124" s="88"/>
      <c r="O124" s="88"/>
      <c r="P124" s="1"/>
      <c r="Q124" s="1"/>
      <c r="R124" s="1"/>
      <c r="S124" s="1"/>
      <c r="T124" s="1"/>
      <c r="U124" s="1"/>
      <c r="V124" s="1"/>
      <c r="W124" s="1"/>
    </row>
    <row r="125" spans="1:23" ht="15" hidden="1" customHeight="1" outlineLevel="3">
      <c r="A125" s="62"/>
      <c r="B125" s="1"/>
      <c r="C125" s="1"/>
      <c r="D125" s="5"/>
      <c r="E125" s="16"/>
      <c r="F125" s="31" t="s">
        <v>31</v>
      </c>
      <c r="G125" s="449"/>
      <c r="H125" s="449"/>
      <c r="I125" s="449"/>
      <c r="J125" s="452"/>
      <c r="K125" s="88"/>
      <c r="L125" s="88"/>
      <c r="M125" s="88"/>
      <c r="N125" s="88"/>
      <c r="O125" s="88"/>
      <c r="P125" s="1"/>
      <c r="Q125" s="1"/>
      <c r="R125" s="1"/>
      <c r="S125" s="1"/>
      <c r="T125" s="1"/>
      <c r="U125" s="1"/>
      <c r="V125" s="1"/>
      <c r="W125" s="1"/>
    </row>
    <row r="126" spans="1:23" ht="15" hidden="1" customHeight="1" outlineLevel="3">
      <c r="A126" s="62"/>
      <c r="B126" s="1"/>
      <c r="C126" s="1"/>
      <c r="D126" s="1"/>
      <c r="E126" s="1"/>
      <c r="F126" s="31" t="s">
        <v>32</v>
      </c>
      <c r="G126" s="449"/>
      <c r="H126" s="449"/>
      <c r="I126" s="449"/>
      <c r="J126" s="452"/>
      <c r="K126" s="88"/>
      <c r="L126" s="88"/>
      <c r="M126" s="88"/>
      <c r="N126" s="88"/>
      <c r="O126" s="88"/>
      <c r="P126" s="1"/>
      <c r="Q126" s="1"/>
      <c r="R126" s="1"/>
      <c r="S126" s="1"/>
      <c r="T126" s="1"/>
      <c r="U126" s="1"/>
      <c r="V126" s="1"/>
      <c r="W126" s="1"/>
    </row>
    <row r="127" spans="1:23" ht="15" hidden="1" customHeight="1" outlineLevel="3">
      <c r="A127" s="62"/>
      <c r="B127" s="1"/>
      <c r="C127" s="1"/>
      <c r="D127" s="1"/>
      <c r="E127" s="1"/>
      <c r="F127" s="31" t="s">
        <v>33</v>
      </c>
      <c r="G127" s="449"/>
      <c r="H127" s="449"/>
      <c r="I127" s="449"/>
      <c r="J127" s="452"/>
      <c r="K127" s="88"/>
      <c r="L127" s="88"/>
      <c r="M127" s="88"/>
      <c r="N127" s="88"/>
      <c r="O127" s="88"/>
      <c r="P127" s="1"/>
      <c r="Q127" s="1"/>
      <c r="R127" s="1"/>
      <c r="S127" s="1"/>
      <c r="T127" s="1"/>
      <c r="U127" s="1"/>
      <c r="V127" s="1"/>
      <c r="W127" s="1"/>
    </row>
    <row r="128" spans="1:23" ht="15" hidden="1" customHeight="1" outlineLevel="2" collapsed="1">
      <c r="A128" s="62"/>
      <c r="B128" s="1"/>
      <c r="C128" s="1"/>
      <c r="D128" s="1"/>
      <c r="E128" s="1"/>
      <c r="F128" s="1"/>
      <c r="G128" s="1"/>
      <c r="H128" s="1"/>
      <c r="I128" s="1"/>
      <c r="J128" s="1"/>
      <c r="K128" s="88"/>
      <c r="L128" s="88"/>
      <c r="M128" s="88"/>
      <c r="N128" s="88"/>
      <c r="O128" s="88"/>
      <c r="P128" s="1"/>
      <c r="Q128" s="1"/>
      <c r="R128" s="1"/>
      <c r="S128" s="1"/>
      <c r="T128" s="1"/>
      <c r="U128" s="1"/>
      <c r="V128" s="1"/>
      <c r="W128" s="1"/>
    </row>
    <row r="129" spans="1:23" ht="18.75" outlineLevel="1" collapsed="1">
      <c r="A129" s="62"/>
      <c r="B129" s="1"/>
      <c r="C129" s="1"/>
      <c r="D129" s="1"/>
      <c r="E129" s="9"/>
      <c r="F129" s="15"/>
      <c r="G129" s="14"/>
      <c r="H129" s="1"/>
      <c r="I129" s="1"/>
      <c r="J129" s="1"/>
      <c r="K129" s="460" t="s">
        <v>16</v>
      </c>
      <c r="L129" s="460"/>
      <c r="M129" s="447" t="s">
        <v>20</v>
      </c>
      <c r="N129" s="447"/>
      <c r="O129" s="447"/>
      <c r="P129" s="1"/>
      <c r="Q129" s="1"/>
      <c r="R129" s="1"/>
      <c r="S129" s="1"/>
      <c r="T129" s="1"/>
      <c r="U129" s="1"/>
      <c r="V129" s="1"/>
      <c r="W129" s="1"/>
    </row>
    <row r="130" spans="1:23" outlineLevel="1">
      <c r="A130" s="62"/>
      <c r="B130" s="20" t="s">
        <v>8</v>
      </c>
      <c r="C130" s="455" t="s">
        <v>9</v>
      </c>
      <c r="D130" s="455"/>
      <c r="E130" s="455"/>
      <c r="F130" s="455"/>
      <c r="G130" s="455"/>
      <c r="H130" s="455"/>
      <c r="I130" s="455"/>
      <c r="J130" s="456"/>
      <c r="K130" s="89" t="s">
        <v>19</v>
      </c>
      <c r="L130" s="89" t="s">
        <v>15</v>
      </c>
      <c r="M130" s="89" t="s">
        <v>18</v>
      </c>
      <c r="N130" s="89" t="s">
        <v>44</v>
      </c>
      <c r="O130" s="89" t="s">
        <v>156</v>
      </c>
      <c r="P130" s="1"/>
      <c r="Q130" s="1"/>
      <c r="R130" s="1"/>
      <c r="S130" s="1"/>
      <c r="T130" s="1"/>
      <c r="U130" s="1"/>
      <c r="V130" s="1"/>
      <c r="W130" s="1"/>
    </row>
    <row r="131" spans="1:23" outlineLevel="1">
      <c r="A131" s="62"/>
      <c r="B131" s="27" t="s">
        <v>21</v>
      </c>
      <c r="C131" s="28" t="s">
        <v>22</v>
      </c>
      <c r="D131" s="457" t="s">
        <v>25</v>
      </c>
      <c r="E131" s="458"/>
      <c r="F131" s="458"/>
      <c r="G131" s="458"/>
      <c r="H131" s="458"/>
      <c r="I131" s="458"/>
      <c r="J131" s="458"/>
      <c r="K131" s="107" t="e">
        <f>IF(AND(K133="Passed",K138="Passed"),"For review","For completion")</f>
        <v>#VALUE!</v>
      </c>
      <c r="L131" s="107" t="e">
        <f>IF(AND(L133="Passed",L138="Passed"),"QA ready","For completion")</f>
        <v>#VALUE!</v>
      </c>
      <c r="M131" s="107" t="e">
        <f>IF(AND(M133="Passed",M138="Passed"),"For verification","For completion")</f>
        <v>#VALUE!</v>
      </c>
      <c r="N131" s="107" t="e">
        <f>IF(AND(N133="Passed",N138="Passed"),"Demo ready","For completion")</f>
        <v>#VALUE!</v>
      </c>
      <c r="O131" s="107" t="e">
        <f>IF(AND(O133="Passed",O138="Passed"),"Production ready","For completion")</f>
        <v>#VALUE!</v>
      </c>
      <c r="P131" s="1"/>
      <c r="Q131" s="1"/>
      <c r="R131" s="1"/>
      <c r="S131" s="1"/>
      <c r="T131" s="1"/>
      <c r="U131" s="1"/>
      <c r="V131" s="1"/>
      <c r="W131" s="1"/>
    </row>
    <row r="132" spans="1:23" ht="15" hidden="1" customHeight="1" outlineLevel="2">
      <c r="A132" s="62"/>
      <c r="B132" s="5"/>
      <c r="C132" s="8"/>
      <c r="D132" s="29" t="s">
        <v>23</v>
      </c>
      <c r="E132" s="453" t="s">
        <v>26</v>
      </c>
      <c r="F132" s="454"/>
      <c r="G132" s="454"/>
      <c r="H132" s="454"/>
      <c r="I132" s="454"/>
      <c r="J132" s="454"/>
      <c r="K132" s="108"/>
      <c r="L132" s="108"/>
      <c r="M132" s="88"/>
      <c r="N132" s="88"/>
      <c r="O132" s="88"/>
      <c r="P132" s="1"/>
      <c r="Q132" s="1"/>
      <c r="R132" s="1"/>
      <c r="S132" s="1"/>
      <c r="T132" s="1"/>
      <c r="U132" s="1"/>
      <c r="V132" s="1"/>
      <c r="W132" s="1"/>
    </row>
    <row r="133" spans="1:23" ht="15" hidden="1" customHeight="1" outlineLevel="2">
      <c r="A133" s="62"/>
      <c r="B133" s="5"/>
      <c r="C133" s="8"/>
      <c r="D133" s="8"/>
      <c r="E133" s="33" t="s">
        <v>24</v>
      </c>
      <c r="F133" s="450" t="s">
        <v>34</v>
      </c>
      <c r="G133" s="450"/>
      <c r="H133" s="450"/>
      <c r="I133" s="450"/>
      <c r="J133" s="451"/>
      <c r="K133" s="306" t="e">
        <f t="shared" ref="K133:L133" si="37">IF(AND(K134:K137),"Passed","Failed")</f>
        <v>#VALUE!</v>
      </c>
      <c r="L133" s="306" t="e">
        <f t="shared" si="37"/>
        <v>#VALUE!</v>
      </c>
      <c r="M133" s="306" t="e">
        <f>IF(AND(M134:M137),"Passed","Failed")</f>
        <v>#VALUE!</v>
      </c>
      <c r="N133" s="306" t="e">
        <f t="shared" ref="N133:O133" si="38">IF(AND(N134:N137),"Passed","Failed")</f>
        <v>#VALUE!</v>
      </c>
      <c r="O133" s="306" t="e">
        <f t="shared" si="38"/>
        <v>#VALUE!</v>
      </c>
      <c r="P133" s="1"/>
      <c r="Q133" s="1"/>
      <c r="R133" s="1"/>
      <c r="S133" s="1"/>
      <c r="T133" s="1"/>
      <c r="U133" s="1"/>
      <c r="V133" s="1"/>
      <c r="W133" s="1"/>
    </row>
    <row r="134" spans="1:23" ht="15" hidden="1" customHeight="1" outlineLevel="3">
      <c r="A134" s="62"/>
      <c r="B134" s="5"/>
      <c r="C134" s="8"/>
      <c r="D134" s="8"/>
      <c r="E134" s="16"/>
      <c r="F134" s="38" t="str">
        <f>HYPERLINK("#'Test Case'!A1","n.1.1.1")</f>
        <v>n.1.1.1</v>
      </c>
      <c r="G134" s="449" t="s">
        <v>68</v>
      </c>
      <c r="H134" s="449"/>
      <c r="I134" s="449"/>
      <c r="J134" s="452"/>
      <c r="K134" s="88"/>
      <c r="L134" s="88"/>
      <c r="M134" s="88"/>
      <c r="N134" s="88"/>
      <c r="O134" s="88"/>
      <c r="P134" s="1"/>
      <c r="Q134" s="1"/>
      <c r="R134" s="1"/>
      <c r="S134" s="1"/>
      <c r="T134" s="1"/>
      <c r="U134" s="1"/>
      <c r="V134" s="1"/>
      <c r="W134" s="1"/>
    </row>
    <row r="135" spans="1:23" ht="15" hidden="1" customHeight="1" outlineLevel="3">
      <c r="A135" s="62"/>
      <c r="B135" s="5"/>
      <c r="C135" s="8"/>
      <c r="D135" s="8"/>
      <c r="E135" s="16"/>
      <c r="F135" s="38" t="str">
        <f>HYPERLINK("#'Test Case'!A1","n.1.1.2")</f>
        <v>n.1.1.2</v>
      </c>
      <c r="G135" s="449" t="s">
        <v>69</v>
      </c>
      <c r="H135" s="449"/>
      <c r="I135" s="449"/>
      <c r="J135" s="452"/>
      <c r="K135" s="88"/>
      <c r="L135" s="88"/>
      <c r="M135" s="88"/>
      <c r="N135" s="88"/>
      <c r="O135" s="88"/>
      <c r="P135" s="1"/>
      <c r="Q135" s="1"/>
      <c r="R135" s="1"/>
      <c r="S135" s="1"/>
      <c r="T135" s="1"/>
      <c r="U135" s="1"/>
      <c r="V135" s="1"/>
      <c r="W135" s="1"/>
    </row>
    <row r="136" spans="1:23" ht="15" hidden="1" customHeight="1" outlineLevel="3">
      <c r="A136" s="62"/>
      <c r="B136" s="5"/>
      <c r="C136" s="8"/>
      <c r="D136" s="8"/>
      <c r="E136" s="16"/>
      <c r="F136" s="38" t="str">
        <f>HYPERLINK("#'Test Case'!A1","n.1.1.3")</f>
        <v>n.1.1.3</v>
      </c>
      <c r="G136" s="449" t="s">
        <v>70</v>
      </c>
      <c r="H136" s="449"/>
      <c r="I136" s="449"/>
      <c r="J136" s="452"/>
      <c r="K136" s="88"/>
      <c r="L136" s="88"/>
      <c r="M136" s="88"/>
      <c r="N136" s="88"/>
      <c r="O136" s="88"/>
      <c r="P136" s="1"/>
      <c r="Q136" s="1"/>
      <c r="R136" s="1"/>
      <c r="S136" s="1"/>
      <c r="T136" s="1"/>
      <c r="U136" s="1"/>
      <c r="V136" s="1"/>
      <c r="W136" s="1"/>
    </row>
    <row r="137" spans="1:23" ht="15" hidden="1" customHeight="1" outlineLevel="3">
      <c r="A137" s="62"/>
      <c r="B137" s="5"/>
      <c r="C137" s="8"/>
      <c r="D137" s="8"/>
      <c r="E137" s="16"/>
      <c r="F137" s="38" t="str">
        <f>HYPERLINK("#'Test Case'!A1","n.1.1.4")</f>
        <v>n.1.1.4</v>
      </c>
      <c r="G137" s="449" t="s">
        <v>71</v>
      </c>
      <c r="H137" s="449"/>
      <c r="I137" s="449"/>
      <c r="J137" s="452"/>
      <c r="K137" s="88"/>
      <c r="L137" s="88"/>
      <c r="M137" s="88"/>
      <c r="N137" s="88"/>
      <c r="O137" s="88"/>
      <c r="P137" s="1"/>
      <c r="Q137" s="1"/>
      <c r="R137" s="1"/>
      <c r="S137" s="1"/>
      <c r="T137" s="1"/>
      <c r="U137" s="1"/>
      <c r="V137" s="1"/>
      <c r="W137" s="1"/>
    </row>
    <row r="138" spans="1:23" ht="15" hidden="1" customHeight="1" outlineLevel="2" collapsed="1">
      <c r="A138" s="62"/>
      <c r="B138" s="5"/>
      <c r="C138" s="5"/>
      <c r="D138" s="5"/>
      <c r="E138" s="32" t="s">
        <v>28</v>
      </c>
      <c r="F138" s="450" t="s">
        <v>35</v>
      </c>
      <c r="G138" s="450"/>
      <c r="H138" s="450"/>
      <c r="I138" s="450"/>
      <c r="J138" s="451"/>
      <c r="K138" s="135" t="e">
        <f t="shared" ref="K138:L138" si="39">IF(AND(K139:K142),"Passed","Failed")</f>
        <v>#VALUE!</v>
      </c>
      <c r="L138" s="135" t="e">
        <f t="shared" si="39"/>
        <v>#VALUE!</v>
      </c>
      <c r="M138" s="135" t="e">
        <f>IF(AND(M139:M142),"Passed","Failed")</f>
        <v>#VALUE!</v>
      </c>
      <c r="N138" s="135" t="e">
        <f t="shared" ref="N138:O138" si="40">IF(AND(N139:N142),"Passed","Failed")</f>
        <v>#VALUE!</v>
      </c>
      <c r="O138" s="135" t="e">
        <f t="shared" si="40"/>
        <v>#VALUE!</v>
      </c>
      <c r="P138" s="1"/>
      <c r="Q138" s="1"/>
      <c r="R138" s="1"/>
      <c r="S138" s="1"/>
      <c r="T138" s="1"/>
      <c r="U138" s="1"/>
      <c r="V138" s="1"/>
      <c r="W138" s="1"/>
    </row>
    <row r="139" spans="1:23" ht="15" hidden="1" customHeight="1" outlineLevel="3">
      <c r="A139" s="62"/>
      <c r="B139" s="5"/>
      <c r="C139" s="5"/>
      <c r="D139" s="5"/>
      <c r="E139" s="16"/>
      <c r="F139" s="38" t="str">
        <f>HYPERLINK("#'Test Case'!A1","n.2.1.1")</f>
        <v>n.2.1.1</v>
      </c>
      <c r="G139" s="449" t="s">
        <v>68</v>
      </c>
      <c r="H139" s="449"/>
      <c r="I139" s="449"/>
      <c r="J139" s="452"/>
      <c r="K139" s="88"/>
      <c r="L139" s="88"/>
      <c r="M139" s="88"/>
      <c r="N139" s="88"/>
      <c r="O139" s="88"/>
      <c r="P139" s="1"/>
      <c r="Q139" s="1"/>
      <c r="R139" s="1"/>
      <c r="S139" s="1"/>
      <c r="T139" s="1"/>
      <c r="U139" s="1"/>
      <c r="V139" s="1"/>
      <c r="W139" s="1"/>
    </row>
    <row r="140" spans="1:23" ht="15" hidden="1" customHeight="1" outlineLevel="3">
      <c r="A140" s="62"/>
      <c r="B140" s="5"/>
      <c r="C140" s="5"/>
      <c r="D140" s="5"/>
      <c r="E140" s="16"/>
      <c r="F140" s="38" t="str">
        <f>HYPERLINK("#'Test Case'!A1","n.2.1.2")</f>
        <v>n.2.1.2</v>
      </c>
      <c r="G140" s="449" t="s">
        <v>69</v>
      </c>
      <c r="H140" s="449"/>
      <c r="I140" s="449"/>
      <c r="J140" s="452"/>
      <c r="K140" s="88"/>
      <c r="L140" s="88"/>
      <c r="M140" s="88"/>
      <c r="N140" s="88"/>
      <c r="O140" s="88"/>
      <c r="P140" s="1"/>
      <c r="Q140" s="1"/>
      <c r="R140" s="1"/>
      <c r="S140" s="1"/>
      <c r="T140" s="1"/>
      <c r="U140" s="1"/>
      <c r="V140" s="1"/>
      <c r="W140" s="1"/>
    </row>
    <row r="141" spans="1:23" ht="15" hidden="1" customHeight="1" outlineLevel="3">
      <c r="A141" s="62"/>
      <c r="B141" s="1"/>
      <c r="C141" s="1"/>
      <c r="D141" s="1"/>
      <c r="E141" s="1"/>
      <c r="F141" s="38" t="str">
        <f>HYPERLINK("#'Test Case'!A1","n.2.1.3")</f>
        <v>n.2.1.3</v>
      </c>
      <c r="G141" s="449" t="s">
        <v>70</v>
      </c>
      <c r="H141" s="449"/>
      <c r="I141" s="449"/>
      <c r="J141" s="452"/>
      <c r="K141" s="88"/>
      <c r="L141" s="88"/>
      <c r="M141" s="88"/>
      <c r="N141" s="88"/>
      <c r="O141" s="88"/>
      <c r="P141" s="1"/>
      <c r="Q141" s="1"/>
      <c r="R141" s="1"/>
      <c r="S141" s="1"/>
      <c r="T141" s="1"/>
      <c r="U141" s="1"/>
      <c r="V141" s="1"/>
      <c r="W141" s="1"/>
    </row>
    <row r="142" spans="1:23" ht="15" hidden="1" customHeight="1" outlineLevel="3">
      <c r="A142" s="62"/>
      <c r="B142" s="1"/>
      <c r="C142" s="1"/>
      <c r="D142" s="1"/>
      <c r="E142" s="1"/>
      <c r="F142" s="38" t="str">
        <f>HYPERLINK("#'Test Case'!A1","n.2.1.4")</f>
        <v>n.2.1.4</v>
      </c>
      <c r="G142" s="449" t="s">
        <v>71</v>
      </c>
      <c r="H142" s="449"/>
      <c r="I142" s="449"/>
      <c r="J142" s="452"/>
      <c r="K142" s="88"/>
      <c r="L142" s="88"/>
      <c r="M142" s="88"/>
      <c r="N142" s="88"/>
      <c r="O142" s="88"/>
      <c r="P142" s="1"/>
      <c r="Q142" s="1"/>
      <c r="R142" s="1"/>
      <c r="S142" s="1"/>
      <c r="T142" s="1"/>
      <c r="U142" s="1"/>
      <c r="V142" s="1"/>
      <c r="W142" s="1"/>
    </row>
    <row r="143" spans="1:23" ht="15" hidden="1" customHeight="1" outlineLevel="2" collapsed="1">
      <c r="A143" s="62"/>
      <c r="B143" s="1"/>
      <c r="C143" s="1"/>
      <c r="D143" s="29" t="s">
        <v>27</v>
      </c>
      <c r="E143" s="453" t="s">
        <v>26</v>
      </c>
      <c r="F143" s="454"/>
      <c r="G143" s="454"/>
      <c r="H143" s="454"/>
      <c r="I143" s="454"/>
      <c r="J143" s="454"/>
      <c r="K143" s="108"/>
      <c r="L143" s="108"/>
      <c r="M143" s="88"/>
      <c r="N143" s="88"/>
      <c r="O143" s="88"/>
      <c r="P143" s="1"/>
      <c r="Q143" s="1"/>
      <c r="R143" s="1"/>
      <c r="S143" s="1"/>
      <c r="T143" s="1"/>
      <c r="U143" s="1"/>
      <c r="V143" s="1"/>
      <c r="W143" s="1"/>
    </row>
    <row r="144" spans="1:23" ht="15" hidden="1" customHeight="1" outlineLevel="2">
      <c r="A144" s="62"/>
      <c r="B144" s="1"/>
      <c r="C144" s="1"/>
      <c r="D144" s="8"/>
      <c r="E144" s="33" t="s">
        <v>28</v>
      </c>
      <c r="F144" s="450" t="s">
        <v>36</v>
      </c>
      <c r="G144" s="450"/>
      <c r="H144" s="450"/>
      <c r="I144" s="450"/>
      <c r="J144" s="451"/>
      <c r="K144" s="135" t="e">
        <f t="shared" ref="K144:L144" si="41">IF(AND(K145:K148),"Passed","Failed")</f>
        <v>#VALUE!</v>
      </c>
      <c r="L144" s="135" t="e">
        <f t="shared" si="41"/>
        <v>#VALUE!</v>
      </c>
      <c r="M144" s="135" t="e">
        <f>IF(AND(M145:M148),"Passed","Failed")</f>
        <v>#VALUE!</v>
      </c>
      <c r="N144" s="135" t="e">
        <f t="shared" ref="N144:O144" si="42">IF(AND(N145:N148),"Passed","Failed")</f>
        <v>#VALUE!</v>
      </c>
      <c r="O144" s="135" t="e">
        <f t="shared" si="42"/>
        <v>#VALUE!</v>
      </c>
      <c r="P144" s="1"/>
      <c r="Q144" s="1"/>
      <c r="R144" s="1"/>
      <c r="S144" s="1"/>
      <c r="T144" s="1"/>
      <c r="U144" s="1"/>
      <c r="V144" s="1"/>
      <c r="W144" s="1"/>
    </row>
    <row r="145" spans="1:23" ht="15" hidden="1" customHeight="1" outlineLevel="3">
      <c r="A145" s="62"/>
      <c r="B145" s="1"/>
      <c r="C145" s="1"/>
      <c r="D145" s="8"/>
      <c r="E145" s="16"/>
      <c r="F145" s="30" t="s">
        <v>30</v>
      </c>
      <c r="G145" s="449"/>
      <c r="H145" s="449"/>
      <c r="I145" s="449"/>
      <c r="J145" s="452"/>
      <c r="K145" s="88"/>
      <c r="L145" s="88"/>
      <c r="M145" s="88"/>
      <c r="N145" s="88"/>
      <c r="O145" s="88"/>
      <c r="P145" s="1"/>
      <c r="Q145" s="1"/>
      <c r="R145" s="1"/>
      <c r="S145" s="1"/>
      <c r="T145" s="1"/>
      <c r="U145" s="1"/>
      <c r="V145" s="1"/>
      <c r="W145" s="1"/>
    </row>
    <row r="146" spans="1:23" ht="15" hidden="1" customHeight="1" outlineLevel="3">
      <c r="A146" s="62"/>
      <c r="B146" s="1"/>
      <c r="C146" s="1"/>
      <c r="D146" s="8"/>
      <c r="E146" s="16"/>
      <c r="F146" s="30" t="s">
        <v>31</v>
      </c>
      <c r="G146" s="449"/>
      <c r="H146" s="449"/>
      <c r="I146" s="449"/>
      <c r="J146" s="452"/>
      <c r="K146" s="88"/>
      <c r="L146" s="88"/>
      <c r="M146" s="88"/>
      <c r="N146" s="88"/>
      <c r="O146" s="88"/>
      <c r="P146" s="1"/>
      <c r="Q146" s="1"/>
      <c r="R146" s="1"/>
      <c r="S146" s="1"/>
      <c r="T146" s="1"/>
      <c r="U146" s="1"/>
      <c r="V146" s="1"/>
      <c r="W146" s="1"/>
    </row>
    <row r="147" spans="1:23" ht="15" hidden="1" customHeight="1" outlineLevel="3">
      <c r="A147" s="62"/>
      <c r="B147" s="1"/>
      <c r="C147" s="1"/>
      <c r="D147" s="8"/>
      <c r="E147" s="16"/>
      <c r="F147" s="30" t="s">
        <v>32</v>
      </c>
      <c r="G147" s="449"/>
      <c r="H147" s="449"/>
      <c r="I147" s="449"/>
      <c r="J147" s="452"/>
      <c r="K147" s="88"/>
      <c r="L147" s="88"/>
      <c r="M147" s="88"/>
      <c r="N147" s="88"/>
      <c r="O147" s="88"/>
      <c r="P147" s="1"/>
      <c r="Q147" s="1"/>
      <c r="R147" s="1"/>
      <c r="S147" s="1"/>
      <c r="T147" s="1"/>
      <c r="U147" s="1"/>
      <c r="V147" s="1"/>
      <c r="W147" s="1"/>
    </row>
    <row r="148" spans="1:23" ht="15" hidden="1" customHeight="1" outlineLevel="3">
      <c r="A148" s="62"/>
      <c r="B148" s="1"/>
      <c r="C148" s="1"/>
      <c r="D148" s="8"/>
      <c r="E148" s="16"/>
      <c r="F148" s="30" t="s">
        <v>33</v>
      </c>
      <c r="G148" s="449"/>
      <c r="H148" s="449"/>
      <c r="I148" s="449"/>
      <c r="J148" s="452"/>
      <c r="K148" s="88"/>
      <c r="L148" s="88"/>
      <c r="M148" s="88"/>
      <c r="N148" s="88"/>
      <c r="O148" s="88"/>
      <c r="P148" s="1"/>
      <c r="Q148" s="1"/>
      <c r="R148" s="1"/>
      <c r="S148" s="1"/>
      <c r="T148" s="1"/>
      <c r="U148" s="1"/>
      <c r="V148" s="1"/>
      <c r="W148" s="1"/>
    </row>
    <row r="149" spans="1:23" ht="15" hidden="1" customHeight="1" outlineLevel="2" collapsed="1">
      <c r="A149" s="62"/>
      <c r="B149" s="1"/>
      <c r="C149" s="1"/>
      <c r="D149" s="5"/>
      <c r="E149" s="32" t="s">
        <v>29</v>
      </c>
      <c r="F149" s="450" t="s">
        <v>37</v>
      </c>
      <c r="G149" s="450"/>
      <c r="H149" s="450"/>
      <c r="I149" s="450"/>
      <c r="J149" s="451"/>
      <c r="K149" s="135" t="e">
        <f t="shared" ref="K149:L149" si="43">IF(AND(K150:K153),"Passed","Failed")</f>
        <v>#VALUE!</v>
      </c>
      <c r="L149" s="135" t="e">
        <f t="shared" si="43"/>
        <v>#VALUE!</v>
      </c>
      <c r="M149" s="135" t="e">
        <f>IF(AND(M150:M153),"Passed","Failed")</f>
        <v>#VALUE!</v>
      </c>
      <c r="N149" s="135" t="e">
        <f t="shared" ref="N149:O149" si="44">IF(AND(N150:N153),"Passed","Failed")</f>
        <v>#VALUE!</v>
      </c>
      <c r="O149" s="135" t="e">
        <f t="shared" si="44"/>
        <v>#VALUE!</v>
      </c>
      <c r="P149" s="1"/>
      <c r="Q149" s="1"/>
      <c r="R149" s="1"/>
      <c r="S149" s="1"/>
      <c r="T149" s="1"/>
      <c r="U149" s="1"/>
      <c r="V149" s="1"/>
      <c r="W149" s="1"/>
    </row>
    <row r="150" spans="1:23" ht="15" hidden="1" customHeight="1" outlineLevel="3">
      <c r="A150" s="62"/>
      <c r="B150" s="1"/>
      <c r="C150" s="1"/>
      <c r="D150" s="5"/>
      <c r="E150" s="16"/>
      <c r="F150" s="31" t="s">
        <v>30</v>
      </c>
      <c r="G150" s="449"/>
      <c r="H150" s="449"/>
      <c r="I150" s="449"/>
      <c r="J150" s="452"/>
      <c r="K150" s="88"/>
      <c r="L150" s="88"/>
      <c r="M150" s="88"/>
      <c r="N150" s="88"/>
      <c r="O150" s="88"/>
      <c r="P150" s="1"/>
      <c r="Q150" s="1"/>
      <c r="R150" s="1"/>
      <c r="S150" s="1"/>
      <c r="T150" s="1"/>
      <c r="U150" s="1"/>
      <c r="V150" s="1"/>
      <c r="W150" s="1"/>
    </row>
    <row r="151" spans="1:23" ht="15" hidden="1" customHeight="1" outlineLevel="3">
      <c r="A151" s="62"/>
      <c r="B151" s="1"/>
      <c r="C151" s="1"/>
      <c r="D151" s="5"/>
      <c r="E151" s="16"/>
      <c r="F151" s="31" t="s">
        <v>31</v>
      </c>
      <c r="G151" s="449"/>
      <c r="H151" s="449"/>
      <c r="I151" s="449"/>
      <c r="J151" s="452"/>
      <c r="K151" s="88"/>
      <c r="L151" s="88"/>
      <c r="M151" s="88"/>
      <c r="N151" s="88"/>
      <c r="O151" s="88"/>
      <c r="P151" s="1"/>
      <c r="Q151" s="1"/>
      <c r="R151" s="1"/>
      <c r="S151" s="1"/>
      <c r="T151" s="1"/>
      <c r="U151" s="1"/>
      <c r="V151" s="1"/>
      <c r="W151" s="1"/>
    </row>
    <row r="152" spans="1:23" ht="15" hidden="1" customHeight="1" outlineLevel="3">
      <c r="A152" s="62"/>
      <c r="B152" s="1"/>
      <c r="C152" s="1"/>
      <c r="D152" s="1"/>
      <c r="E152" s="1"/>
      <c r="F152" s="31" t="s">
        <v>32</v>
      </c>
      <c r="G152" s="449"/>
      <c r="H152" s="449"/>
      <c r="I152" s="449"/>
      <c r="J152" s="452"/>
      <c r="K152" s="88"/>
      <c r="L152" s="88"/>
      <c r="M152" s="88"/>
      <c r="N152" s="88"/>
      <c r="O152" s="88"/>
      <c r="P152" s="1"/>
      <c r="Q152" s="1"/>
      <c r="R152" s="1"/>
      <c r="S152" s="1"/>
      <c r="T152" s="1"/>
      <c r="U152" s="1"/>
      <c r="V152" s="1"/>
      <c r="W152" s="1"/>
    </row>
    <row r="153" spans="1:23" ht="15" hidden="1" customHeight="1" outlineLevel="3">
      <c r="A153" s="62"/>
      <c r="B153" s="1"/>
      <c r="C153" s="1"/>
      <c r="D153" s="1"/>
      <c r="E153" s="1"/>
      <c r="F153" s="31" t="s">
        <v>33</v>
      </c>
      <c r="G153" s="449"/>
      <c r="H153" s="449"/>
      <c r="I153" s="449"/>
      <c r="J153" s="452"/>
      <c r="K153" s="88"/>
      <c r="L153" s="88"/>
      <c r="M153" s="88"/>
      <c r="N153" s="88"/>
      <c r="O153" s="88"/>
      <c r="P153" s="1"/>
      <c r="Q153" s="1"/>
      <c r="R153" s="1"/>
      <c r="S153" s="1"/>
      <c r="T153" s="1"/>
      <c r="U153" s="1"/>
      <c r="V153" s="1"/>
      <c r="W153" s="1"/>
    </row>
    <row r="154" spans="1:23" ht="15" hidden="1" customHeight="1" outlineLevel="2" collapsed="1">
      <c r="A154" s="62"/>
      <c r="B154" s="1"/>
      <c r="C154" s="1"/>
      <c r="D154" s="1"/>
      <c r="E154" s="1"/>
      <c r="F154" s="1"/>
      <c r="G154" s="1"/>
      <c r="H154" s="1"/>
      <c r="I154" s="1"/>
      <c r="J154" s="1"/>
      <c r="K154" s="88"/>
      <c r="L154" s="88"/>
      <c r="M154" s="88"/>
      <c r="N154" s="88"/>
      <c r="O154" s="88"/>
      <c r="P154" s="1"/>
      <c r="Q154" s="1"/>
      <c r="R154" s="1"/>
      <c r="S154" s="1"/>
      <c r="T154" s="1"/>
      <c r="U154" s="1"/>
      <c r="V154" s="1"/>
      <c r="W154" s="1"/>
    </row>
    <row r="155" spans="1:23" ht="18.75" outlineLevel="1" collapsed="1">
      <c r="A155" s="62"/>
      <c r="B155" s="1"/>
      <c r="C155" s="1"/>
      <c r="D155" s="1"/>
      <c r="E155" s="9"/>
      <c r="F155" s="15"/>
      <c r="G155" s="14"/>
      <c r="H155" s="1"/>
      <c r="I155" s="1"/>
      <c r="J155" s="1"/>
      <c r="K155" s="460" t="s">
        <v>16</v>
      </c>
      <c r="L155" s="460"/>
      <c r="M155" s="447" t="s">
        <v>20</v>
      </c>
      <c r="N155" s="447"/>
      <c r="O155" s="447"/>
      <c r="P155" s="1"/>
      <c r="Q155" s="1"/>
      <c r="R155" s="1"/>
      <c r="S155" s="1"/>
      <c r="T155" s="1"/>
      <c r="U155" s="1"/>
      <c r="V155" s="1"/>
      <c r="W155" s="1"/>
    </row>
    <row r="156" spans="1:23" outlineLevel="1">
      <c r="A156" s="62"/>
      <c r="B156" s="20" t="s">
        <v>8</v>
      </c>
      <c r="C156" s="455" t="s">
        <v>9</v>
      </c>
      <c r="D156" s="455"/>
      <c r="E156" s="455"/>
      <c r="F156" s="455"/>
      <c r="G156" s="455"/>
      <c r="H156" s="455"/>
      <c r="I156" s="455"/>
      <c r="J156" s="456"/>
      <c r="K156" s="89" t="s">
        <v>19</v>
      </c>
      <c r="L156" s="89" t="s">
        <v>15</v>
      </c>
      <c r="M156" s="89" t="s">
        <v>18</v>
      </c>
      <c r="N156" s="89" t="s">
        <v>44</v>
      </c>
      <c r="O156" s="89" t="s">
        <v>156</v>
      </c>
      <c r="P156" s="1"/>
      <c r="Q156" s="1"/>
      <c r="R156" s="1"/>
      <c r="S156" s="1"/>
      <c r="T156" s="1"/>
      <c r="U156" s="1"/>
      <c r="V156" s="1"/>
      <c r="W156" s="1"/>
    </row>
    <row r="157" spans="1:23" outlineLevel="1">
      <c r="A157" s="62"/>
      <c r="B157" s="27" t="s">
        <v>21</v>
      </c>
      <c r="C157" s="28" t="s">
        <v>22</v>
      </c>
      <c r="D157" s="457" t="s">
        <v>25</v>
      </c>
      <c r="E157" s="458"/>
      <c r="F157" s="458"/>
      <c r="G157" s="458"/>
      <c r="H157" s="458"/>
      <c r="I157" s="458"/>
      <c r="J157" s="458"/>
      <c r="K157" s="107" t="e">
        <f>IF(AND(K159="Passed",K164="Passed"),"For review","For completion")</f>
        <v>#VALUE!</v>
      </c>
      <c r="L157" s="107" t="e">
        <f>IF(AND(L159="Passed",L164="Passed"),"QA ready","For completion")</f>
        <v>#VALUE!</v>
      </c>
      <c r="M157" s="107" t="e">
        <f>IF(AND(M159="Passed",M164="Passed"),"For verification","For completion")</f>
        <v>#VALUE!</v>
      </c>
      <c r="N157" s="107" t="e">
        <f>IF(AND(N159="Passed",N164="Passed"),"Demo ready","For completion")</f>
        <v>#VALUE!</v>
      </c>
      <c r="O157" s="107" t="e">
        <f>IF(AND(O159="Passed",O164="Passed"),"Production ready","For completion")</f>
        <v>#VALUE!</v>
      </c>
      <c r="P157" s="1"/>
      <c r="Q157" s="1"/>
      <c r="R157" s="1"/>
      <c r="S157" s="1"/>
      <c r="T157" s="1"/>
      <c r="U157" s="1"/>
      <c r="V157" s="1"/>
      <c r="W157" s="1"/>
    </row>
    <row r="158" spans="1:23" ht="15" hidden="1" customHeight="1" outlineLevel="2">
      <c r="A158" s="62"/>
      <c r="B158" s="5"/>
      <c r="C158" s="8"/>
      <c r="D158" s="29" t="s">
        <v>23</v>
      </c>
      <c r="E158" s="453" t="s">
        <v>26</v>
      </c>
      <c r="F158" s="454"/>
      <c r="G158" s="454"/>
      <c r="H158" s="454"/>
      <c r="I158" s="454"/>
      <c r="J158" s="454"/>
      <c r="K158" s="108"/>
      <c r="L158" s="108"/>
      <c r="M158" s="88"/>
      <c r="N158" s="88"/>
      <c r="O158" s="88"/>
      <c r="P158" s="1"/>
      <c r="Q158" s="1"/>
      <c r="R158" s="1"/>
      <c r="S158" s="1"/>
      <c r="T158" s="1"/>
      <c r="U158" s="1"/>
      <c r="V158" s="1"/>
      <c r="W158" s="1"/>
    </row>
    <row r="159" spans="1:23" ht="15" hidden="1" customHeight="1" outlineLevel="2">
      <c r="A159" s="62"/>
      <c r="B159" s="5"/>
      <c r="C159" s="8"/>
      <c r="D159" s="8"/>
      <c r="E159" s="33" t="s">
        <v>24</v>
      </c>
      <c r="F159" s="450" t="s">
        <v>34</v>
      </c>
      <c r="G159" s="450"/>
      <c r="H159" s="450"/>
      <c r="I159" s="450"/>
      <c r="J159" s="451"/>
      <c r="K159" s="306" t="e">
        <f t="shared" ref="K159:L159" si="45">IF(AND(K160:K163),"Passed","Failed")</f>
        <v>#VALUE!</v>
      </c>
      <c r="L159" s="306" t="e">
        <f t="shared" si="45"/>
        <v>#VALUE!</v>
      </c>
      <c r="M159" s="306" t="e">
        <f>IF(AND(M160:M163),"Passed","Failed")</f>
        <v>#VALUE!</v>
      </c>
      <c r="N159" s="306" t="e">
        <f t="shared" ref="N159:O159" si="46">IF(AND(N160:N163),"Passed","Failed")</f>
        <v>#VALUE!</v>
      </c>
      <c r="O159" s="306" t="e">
        <f t="shared" si="46"/>
        <v>#VALUE!</v>
      </c>
      <c r="P159" s="1"/>
      <c r="Q159" s="1"/>
      <c r="R159" s="1"/>
      <c r="S159" s="1"/>
      <c r="T159" s="1"/>
      <c r="U159" s="1"/>
      <c r="V159" s="1"/>
      <c r="W159" s="1"/>
    </row>
    <row r="160" spans="1:23" ht="15" hidden="1" customHeight="1" outlineLevel="3">
      <c r="A160" s="62"/>
      <c r="B160" s="5"/>
      <c r="C160" s="8"/>
      <c r="D160" s="8"/>
      <c r="E160" s="16"/>
      <c r="F160" s="38" t="str">
        <f>HYPERLINK("#'Test Case'!A1","n.1.1.1")</f>
        <v>n.1.1.1</v>
      </c>
      <c r="G160" s="449" t="s">
        <v>68</v>
      </c>
      <c r="H160" s="449"/>
      <c r="I160" s="449"/>
      <c r="J160" s="452"/>
      <c r="K160" s="88"/>
      <c r="L160" s="88"/>
      <c r="M160" s="88"/>
      <c r="N160" s="88"/>
      <c r="O160" s="88"/>
      <c r="P160" s="1"/>
      <c r="Q160" s="1"/>
      <c r="R160" s="1"/>
      <c r="S160" s="1"/>
      <c r="T160" s="1"/>
      <c r="U160" s="1"/>
      <c r="V160" s="1"/>
      <c r="W160" s="1"/>
    </row>
    <row r="161" spans="1:23" ht="15" hidden="1" customHeight="1" outlineLevel="3">
      <c r="A161" s="62"/>
      <c r="B161" s="5"/>
      <c r="C161" s="8"/>
      <c r="D161" s="8"/>
      <c r="E161" s="16"/>
      <c r="F161" s="38" t="str">
        <f>HYPERLINK("#'Test Case'!A1","n.1.1.2")</f>
        <v>n.1.1.2</v>
      </c>
      <c r="G161" s="449" t="s">
        <v>69</v>
      </c>
      <c r="H161" s="449"/>
      <c r="I161" s="449"/>
      <c r="J161" s="452"/>
      <c r="K161" s="88"/>
      <c r="L161" s="88"/>
      <c r="M161" s="88"/>
      <c r="N161" s="88"/>
      <c r="O161" s="88"/>
      <c r="P161" s="1"/>
      <c r="Q161" s="1"/>
      <c r="R161" s="1"/>
      <c r="S161" s="1"/>
      <c r="T161" s="1"/>
      <c r="U161" s="1"/>
      <c r="V161" s="1"/>
      <c r="W161" s="1"/>
    </row>
    <row r="162" spans="1:23" ht="15" hidden="1" customHeight="1" outlineLevel="3">
      <c r="A162" s="62"/>
      <c r="B162" s="5"/>
      <c r="C162" s="8"/>
      <c r="D162" s="8"/>
      <c r="E162" s="16"/>
      <c r="F162" s="38" t="str">
        <f>HYPERLINK("#'Test Case'!A1","n.1.1.3")</f>
        <v>n.1.1.3</v>
      </c>
      <c r="G162" s="449" t="s">
        <v>70</v>
      </c>
      <c r="H162" s="449"/>
      <c r="I162" s="449"/>
      <c r="J162" s="452"/>
      <c r="K162" s="88"/>
      <c r="L162" s="88"/>
      <c r="M162" s="88"/>
      <c r="N162" s="88"/>
      <c r="O162" s="88"/>
      <c r="P162" s="1"/>
      <c r="Q162" s="1"/>
      <c r="R162" s="1"/>
      <c r="S162" s="1"/>
      <c r="T162" s="1"/>
      <c r="U162" s="1"/>
      <c r="V162" s="1"/>
      <c r="W162" s="1"/>
    </row>
    <row r="163" spans="1:23" ht="15" hidden="1" customHeight="1" outlineLevel="3">
      <c r="A163" s="62"/>
      <c r="B163" s="5"/>
      <c r="C163" s="8"/>
      <c r="D163" s="8"/>
      <c r="E163" s="16"/>
      <c r="F163" s="38" t="str">
        <f>HYPERLINK("#'Test Case'!A1","n.1.1.4")</f>
        <v>n.1.1.4</v>
      </c>
      <c r="G163" s="449" t="s">
        <v>71</v>
      </c>
      <c r="H163" s="449"/>
      <c r="I163" s="449"/>
      <c r="J163" s="452"/>
      <c r="K163" s="88"/>
      <c r="L163" s="88"/>
      <c r="M163" s="88"/>
      <c r="N163" s="88"/>
      <c r="O163" s="88"/>
      <c r="P163" s="1"/>
      <c r="Q163" s="1"/>
      <c r="R163" s="1"/>
      <c r="S163" s="1"/>
      <c r="T163" s="1"/>
      <c r="U163" s="1"/>
      <c r="V163" s="1"/>
      <c r="W163" s="1"/>
    </row>
    <row r="164" spans="1:23" ht="15" hidden="1" customHeight="1" outlineLevel="2" collapsed="1">
      <c r="A164" s="62"/>
      <c r="B164" s="5"/>
      <c r="C164" s="5"/>
      <c r="D164" s="5"/>
      <c r="E164" s="32" t="s">
        <v>28</v>
      </c>
      <c r="F164" s="450" t="s">
        <v>35</v>
      </c>
      <c r="G164" s="450"/>
      <c r="H164" s="450"/>
      <c r="I164" s="450"/>
      <c r="J164" s="451"/>
      <c r="K164" s="135" t="e">
        <f t="shared" ref="K164:L164" si="47">IF(AND(K165:K168),"Passed","Failed")</f>
        <v>#VALUE!</v>
      </c>
      <c r="L164" s="135" t="e">
        <f t="shared" si="47"/>
        <v>#VALUE!</v>
      </c>
      <c r="M164" s="135" t="e">
        <f>IF(AND(M165:M168),"Passed","Failed")</f>
        <v>#VALUE!</v>
      </c>
      <c r="N164" s="135" t="e">
        <f t="shared" ref="N164:O164" si="48">IF(AND(N165:N168),"Passed","Failed")</f>
        <v>#VALUE!</v>
      </c>
      <c r="O164" s="135" t="e">
        <f t="shared" si="48"/>
        <v>#VALUE!</v>
      </c>
      <c r="P164" s="1"/>
      <c r="Q164" s="1"/>
      <c r="R164" s="1"/>
      <c r="S164" s="1"/>
      <c r="T164" s="1"/>
      <c r="U164" s="1"/>
      <c r="V164" s="1"/>
      <c r="W164" s="1"/>
    </row>
    <row r="165" spans="1:23" ht="15" hidden="1" customHeight="1" outlineLevel="3">
      <c r="A165" s="62"/>
      <c r="B165" s="5"/>
      <c r="C165" s="5"/>
      <c r="D165" s="5"/>
      <c r="E165" s="16"/>
      <c r="F165" s="38" t="str">
        <f>HYPERLINK("#'Test Case'!A1","n.2.1.1")</f>
        <v>n.2.1.1</v>
      </c>
      <c r="G165" s="449" t="s">
        <v>68</v>
      </c>
      <c r="H165" s="449"/>
      <c r="I165" s="449"/>
      <c r="J165" s="452"/>
      <c r="K165" s="88"/>
      <c r="L165" s="88"/>
      <c r="M165" s="88"/>
      <c r="N165" s="88"/>
      <c r="O165" s="88"/>
      <c r="P165" s="1"/>
      <c r="Q165" s="1"/>
      <c r="R165" s="1"/>
      <c r="S165" s="1"/>
      <c r="T165" s="1"/>
      <c r="U165" s="1"/>
      <c r="V165" s="1"/>
      <c r="W165" s="1"/>
    </row>
    <row r="166" spans="1:23" ht="15" hidden="1" customHeight="1" outlineLevel="3">
      <c r="A166" s="62"/>
      <c r="B166" s="5"/>
      <c r="C166" s="5"/>
      <c r="D166" s="5"/>
      <c r="E166" s="16"/>
      <c r="F166" s="38" t="str">
        <f>HYPERLINK("#'Test Case'!A1","n.2.1.2")</f>
        <v>n.2.1.2</v>
      </c>
      <c r="G166" s="449" t="s">
        <v>69</v>
      </c>
      <c r="H166" s="449"/>
      <c r="I166" s="449"/>
      <c r="J166" s="452"/>
      <c r="K166" s="88"/>
      <c r="L166" s="88"/>
      <c r="M166" s="88"/>
      <c r="N166" s="88"/>
      <c r="O166" s="88"/>
      <c r="P166" s="1"/>
      <c r="Q166" s="1"/>
      <c r="R166" s="1"/>
      <c r="S166" s="1"/>
      <c r="T166" s="1"/>
      <c r="U166" s="1"/>
      <c r="V166" s="1"/>
      <c r="W166" s="1"/>
    </row>
    <row r="167" spans="1:23" ht="15" hidden="1" customHeight="1" outlineLevel="3">
      <c r="A167" s="62"/>
      <c r="B167" s="1"/>
      <c r="C167" s="1"/>
      <c r="D167" s="1"/>
      <c r="E167" s="1"/>
      <c r="F167" s="38" t="str">
        <f>HYPERLINK("#'Test Case'!A1","n.2.1.3")</f>
        <v>n.2.1.3</v>
      </c>
      <c r="G167" s="449" t="s">
        <v>70</v>
      </c>
      <c r="H167" s="449"/>
      <c r="I167" s="449"/>
      <c r="J167" s="452"/>
      <c r="K167" s="88"/>
      <c r="L167" s="88"/>
      <c r="M167" s="88"/>
      <c r="N167" s="88"/>
      <c r="O167" s="88"/>
      <c r="P167" s="1"/>
      <c r="Q167" s="1"/>
      <c r="R167" s="1"/>
      <c r="S167" s="1"/>
      <c r="T167" s="1"/>
      <c r="U167" s="1"/>
      <c r="V167" s="1"/>
      <c r="W167" s="1"/>
    </row>
    <row r="168" spans="1:23" ht="15" hidden="1" customHeight="1" outlineLevel="3">
      <c r="A168" s="62"/>
      <c r="B168" s="1"/>
      <c r="C168" s="1"/>
      <c r="D168" s="1"/>
      <c r="E168" s="1"/>
      <c r="F168" s="38" t="str">
        <f>HYPERLINK("#'Test Case'!A1","n.2.1.4")</f>
        <v>n.2.1.4</v>
      </c>
      <c r="G168" s="449" t="s">
        <v>71</v>
      </c>
      <c r="H168" s="449"/>
      <c r="I168" s="449"/>
      <c r="J168" s="452"/>
      <c r="K168" s="88"/>
      <c r="L168" s="88"/>
      <c r="M168" s="88"/>
      <c r="N168" s="88"/>
      <c r="O168" s="88"/>
      <c r="P168" s="1"/>
      <c r="Q168" s="1"/>
      <c r="R168" s="1"/>
      <c r="S168" s="1"/>
      <c r="T168" s="1"/>
      <c r="U168" s="1"/>
      <c r="V168" s="1"/>
      <c r="W168" s="1"/>
    </row>
    <row r="169" spans="1:23" ht="15" hidden="1" customHeight="1" outlineLevel="2" collapsed="1">
      <c r="A169" s="62"/>
      <c r="B169" s="1"/>
      <c r="C169" s="1"/>
      <c r="D169" s="29" t="s">
        <v>27</v>
      </c>
      <c r="E169" s="453" t="s">
        <v>26</v>
      </c>
      <c r="F169" s="454"/>
      <c r="G169" s="454"/>
      <c r="H169" s="454"/>
      <c r="I169" s="454"/>
      <c r="J169" s="454"/>
      <c r="K169" s="108"/>
      <c r="L169" s="108"/>
      <c r="M169" s="88"/>
      <c r="N169" s="88"/>
      <c r="O169" s="88"/>
      <c r="P169" s="1"/>
      <c r="Q169" s="1"/>
      <c r="R169" s="1"/>
      <c r="S169" s="1"/>
      <c r="T169" s="1"/>
      <c r="U169" s="1"/>
      <c r="V169" s="1"/>
      <c r="W169" s="1"/>
    </row>
    <row r="170" spans="1:23" ht="15" hidden="1" customHeight="1" outlineLevel="2">
      <c r="A170" s="62"/>
      <c r="B170" s="1"/>
      <c r="C170" s="1"/>
      <c r="D170" s="8"/>
      <c r="E170" s="33" t="s">
        <v>28</v>
      </c>
      <c r="F170" s="450" t="s">
        <v>36</v>
      </c>
      <c r="G170" s="450"/>
      <c r="H170" s="450"/>
      <c r="I170" s="450"/>
      <c r="J170" s="451"/>
      <c r="K170" s="135" t="e">
        <f t="shared" ref="K170:L170" si="49">IF(AND(K171:K174),"Passed","Failed")</f>
        <v>#VALUE!</v>
      </c>
      <c r="L170" s="135" t="e">
        <f t="shared" si="49"/>
        <v>#VALUE!</v>
      </c>
      <c r="M170" s="135" t="e">
        <f>IF(AND(M171:M174),"Passed","Failed")</f>
        <v>#VALUE!</v>
      </c>
      <c r="N170" s="135" t="e">
        <f t="shared" ref="N170:O170" si="50">IF(AND(N171:N174),"Passed","Failed")</f>
        <v>#VALUE!</v>
      </c>
      <c r="O170" s="135" t="e">
        <f t="shared" si="50"/>
        <v>#VALUE!</v>
      </c>
      <c r="P170" s="1"/>
      <c r="Q170" s="1"/>
      <c r="R170" s="1"/>
      <c r="S170" s="1"/>
      <c r="T170" s="1"/>
      <c r="U170" s="1"/>
      <c r="V170" s="1"/>
      <c r="W170" s="1"/>
    </row>
    <row r="171" spans="1:23" ht="15" hidden="1" customHeight="1" outlineLevel="3">
      <c r="A171" s="62"/>
      <c r="B171" s="1"/>
      <c r="C171" s="1"/>
      <c r="D171" s="8"/>
      <c r="E171" s="16"/>
      <c r="F171" s="30" t="s">
        <v>30</v>
      </c>
      <c r="G171" s="449"/>
      <c r="H171" s="449"/>
      <c r="I171" s="449"/>
      <c r="J171" s="452"/>
      <c r="K171" s="88"/>
      <c r="L171" s="88"/>
      <c r="M171" s="88"/>
      <c r="N171" s="88"/>
      <c r="O171" s="88"/>
      <c r="P171" s="1"/>
      <c r="Q171" s="1"/>
      <c r="R171" s="1"/>
      <c r="S171" s="1"/>
      <c r="T171" s="1"/>
      <c r="U171" s="1"/>
      <c r="V171" s="1"/>
      <c r="W171" s="1"/>
    </row>
    <row r="172" spans="1:23" ht="15" hidden="1" customHeight="1" outlineLevel="3">
      <c r="A172" s="62"/>
      <c r="B172" s="1"/>
      <c r="C172" s="1"/>
      <c r="D172" s="8"/>
      <c r="E172" s="16"/>
      <c r="F172" s="30" t="s">
        <v>31</v>
      </c>
      <c r="G172" s="449"/>
      <c r="H172" s="449"/>
      <c r="I172" s="449"/>
      <c r="J172" s="452"/>
      <c r="K172" s="88"/>
      <c r="L172" s="88"/>
      <c r="M172" s="88"/>
      <c r="N172" s="88"/>
      <c r="O172" s="88"/>
      <c r="P172" s="1"/>
      <c r="Q172" s="1"/>
      <c r="R172" s="1"/>
      <c r="S172" s="1"/>
      <c r="T172" s="1"/>
      <c r="U172" s="1"/>
      <c r="V172" s="1"/>
      <c r="W172" s="1"/>
    </row>
    <row r="173" spans="1:23" ht="15" hidden="1" customHeight="1" outlineLevel="3">
      <c r="A173" s="62"/>
      <c r="B173" s="1"/>
      <c r="C173" s="1"/>
      <c r="D173" s="8"/>
      <c r="E173" s="16"/>
      <c r="F173" s="30" t="s">
        <v>32</v>
      </c>
      <c r="G173" s="449"/>
      <c r="H173" s="449"/>
      <c r="I173" s="449"/>
      <c r="J173" s="452"/>
      <c r="K173" s="88"/>
      <c r="L173" s="88"/>
      <c r="M173" s="88"/>
      <c r="N173" s="88"/>
      <c r="O173" s="88"/>
      <c r="P173" s="1"/>
      <c r="Q173" s="1"/>
      <c r="R173" s="1"/>
      <c r="S173" s="1"/>
      <c r="T173" s="1"/>
      <c r="U173" s="1"/>
      <c r="V173" s="1"/>
      <c r="W173" s="1"/>
    </row>
    <row r="174" spans="1:23" ht="15" hidden="1" customHeight="1" outlineLevel="3">
      <c r="A174" s="62"/>
      <c r="B174" s="1"/>
      <c r="C174" s="1"/>
      <c r="D174" s="8"/>
      <c r="E174" s="16"/>
      <c r="F174" s="30" t="s">
        <v>33</v>
      </c>
      <c r="G174" s="449"/>
      <c r="H174" s="449"/>
      <c r="I174" s="449"/>
      <c r="J174" s="452"/>
      <c r="K174" s="88"/>
      <c r="L174" s="88"/>
      <c r="M174" s="88"/>
      <c r="N174" s="88"/>
      <c r="O174" s="88"/>
      <c r="P174" s="1"/>
      <c r="Q174" s="1"/>
      <c r="R174" s="1"/>
      <c r="S174" s="1"/>
      <c r="T174" s="1"/>
      <c r="U174" s="1"/>
      <c r="V174" s="1"/>
      <c r="W174" s="1"/>
    </row>
    <row r="175" spans="1:23" ht="15" hidden="1" customHeight="1" outlineLevel="2" collapsed="1">
      <c r="A175" s="62"/>
      <c r="B175" s="1"/>
      <c r="C175" s="1"/>
      <c r="D175" s="5"/>
      <c r="E175" s="32" t="s">
        <v>29</v>
      </c>
      <c r="F175" s="450" t="s">
        <v>37</v>
      </c>
      <c r="G175" s="450"/>
      <c r="H175" s="450"/>
      <c r="I175" s="450"/>
      <c r="J175" s="451"/>
      <c r="K175" s="135" t="e">
        <f t="shared" ref="K175:L175" si="51">IF(AND(K176:K179),"Passed","Failed")</f>
        <v>#VALUE!</v>
      </c>
      <c r="L175" s="135" t="e">
        <f t="shared" si="51"/>
        <v>#VALUE!</v>
      </c>
      <c r="M175" s="135" t="e">
        <f>IF(AND(M176:M179),"Passed","Failed")</f>
        <v>#VALUE!</v>
      </c>
      <c r="N175" s="135" t="e">
        <f t="shared" ref="N175:O175" si="52">IF(AND(N176:N179),"Passed","Failed")</f>
        <v>#VALUE!</v>
      </c>
      <c r="O175" s="135" t="e">
        <f t="shared" si="52"/>
        <v>#VALUE!</v>
      </c>
      <c r="P175" s="1"/>
      <c r="Q175" s="1"/>
      <c r="R175" s="1"/>
      <c r="S175" s="1"/>
      <c r="T175" s="1"/>
      <c r="U175" s="1"/>
      <c r="V175" s="1"/>
      <c r="W175" s="1"/>
    </row>
    <row r="176" spans="1:23" ht="15" hidden="1" customHeight="1" outlineLevel="3">
      <c r="A176" s="62"/>
      <c r="B176" s="1"/>
      <c r="C176" s="1"/>
      <c r="D176" s="5"/>
      <c r="E176" s="16"/>
      <c r="F176" s="31" t="s">
        <v>30</v>
      </c>
      <c r="G176" s="449"/>
      <c r="H176" s="449"/>
      <c r="I176" s="449"/>
      <c r="J176" s="452"/>
      <c r="K176" s="88"/>
      <c r="L176" s="88"/>
      <c r="M176" s="88"/>
      <c r="N176" s="88"/>
      <c r="O176" s="88"/>
      <c r="P176" s="1"/>
      <c r="Q176" s="1"/>
      <c r="R176" s="1"/>
      <c r="S176" s="1"/>
      <c r="T176" s="1"/>
      <c r="U176" s="1"/>
      <c r="V176" s="1"/>
      <c r="W176" s="1"/>
    </row>
    <row r="177" spans="1:23" ht="15" hidden="1" customHeight="1" outlineLevel="3">
      <c r="A177" s="62"/>
      <c r="B177" s="1"/>
      <c r="C177" s="1"/>
      <c r="D177" s="5"/>
      <c r="E177" s="16"/>
      <c r="F177" s="31" t="s">
        <v>31</v>
      </c>
      <c r="G177" s="449"/>
      <c r="H177" s="449"/>
      <c r="I177" s="449"/>
      <c r="J177" s="452"/>
      <c r="K177" s="88"/>
      <c r="L177" s="88"/>
      <c r="M177" s="88"/>
      <c r="N177" s="88"/>
      <c r="O177" s="88"/>
      <c r="P177" s="1"/>
      <c r="Q177" s="1"/>
      <c r="R177" s="1"/>
      <c r="S177" s="1"/>
      <c r="T177" s="1"/>
      <c r="U177" s="1"/>
      <c r="V177" s="1"/>
      <c r="W177" s="1"/>
    </row>
    <row r="178" spans="1:23" ht="15" hidden="1" customHeight="1" outlineLevel="3">
      <c r="A178" s="62"/>
      <c r="B178" s="1"/>
      <c r="C178" s="1"/>
      <c r="D178" s="1"/>
      <c r="E178" s="1"/>
      <c r="F178" s="31" t="s">
        <v>32</v>
      </c>
      <c r="G178" s="449"/>
      <c r="H178" s="449"/>
      <c r="I178" s="449"/>
      <c r="J178" s="452"/>
      <c r="K178" s="88"/>
      <c r="L178" s="88"/>
      <c r="M178" s="88"/>
      <c r="N178" s="88"/>
      <c r="O178" s="88"/>
      <c r="P178" s="1"/>
      <c r="Q178" s="1"/>
      <c r="R178" s="1"/>
      <c r="S178" s="1"/>
      <c r="T178" s="1"/>
      <c r="U178" s="1"/>
      <c r="V178" s="1"/>
      <c r="W178" s="1"/>
    </row>
    <row r="179" spans="1:23" ht="15" hidden="1" customHeight="1" outlineLevel="3">
      <c r="A179" s="62"/>
      <c r="B179" s="1"/>
      <c r="C179" s="1"/>
      <c r="D179" s="1"/>
      <c r="E179" s="1"/>
      <c r="F179" s="31" t="s">
        <v>33</v>
      </c>
      <c r="G179" s="449"/>
      <c r="H179" s="449"/>
      <c r="I179" s="449"/>
      <c r="J179" s="452"/>
      <c r="K179" s="88"/>
      <c r="L179" s="88"/>
      <c r="M179" s="88"/>
      <c r="N179" s="88"/>
      <c r="O179" s="88"/>
      <c r="P179" s="1"/>
      <c r="Q179" s="1"/>
      <c r="R179" s="1"/>
      <c r="S179" s="1"/>
      <c r="T179" s="1"/>
      <c r="U179" s="1"/>
      <c r="V179" s="1"/>
      <c r="W179" s="1"/>
    </row>
    <row r="180" spans="1:23" ht="15" hidden="1" customHeight="1" outlineLevel="2" collapsed="1">
      <c r="A180" s="62"/>
      <c r="B180" s="1"/>
      <c r="C180" s="1"/>
      <c r="D180" s="1"/>
      <c r="E180" s="1"/>
      <c r="F180" s="1"/>
      <c r="G180" s="1"/>
      <c r="H180" s="1"/>
      <c r="I180" s="1"/>
      <c r="J180" s="1"/>
      <c r="K180" s="88"/>
      <c r="L180" s="88"/>
      <c r="M180" s="88"/>
      <c r="N180" s="88"/>
      <c r="O180" s="88"/>
      <c r="P180" s="1"/>
      <c r="Q180" s="1"/>
      <c r="R180" s="1"/>
      <c r="S180" s="1"/>
      <c r="T180" s="1"/>
      <c r="U180" s="1"/>
      <c r="V180" s="1"/>
      <c r="W180" s="1"/>
    </row>
    <row r="181" spans="1:23" ht="18.75" outlineLevel="1" collapsed="1">
      <c r="A181" s="62"/>
      <c r="B181" s="1"/>
      <c r="C181" s="1"/>
      <c r="D181" s="1"/>
      <c r="E181" s="9"/>
      <c r="F181" s="15"/>
      <c r="G181" s="14"/>
      <c r="H181" s="1"/>
      <c r="I181" s="1"/>
      <c r="J181" s="1"/>
      <c r="K181" s="460" t="s">
        <v>16</v>
      </c>
      <c r="L181" s="460"/>
      <c r="M181" s="447" t="s">
        <v>20</v>
      </c>
      <c r="N181" s="447"/>
      <c r="O181" s="447"/>
      <c r="P181" s="1"/>
      <c r="Q181" s="1"/>
      <c r="R181" s="1"/>
      <c r="S181" s="1"/>
      <c r="T181" s="1"/>
      <c r="U181" s="1"/>
      <c r="V181" s="1"/>
      <c r="W181" s="1"/>
    </row>
    <row r="182" spans="1:23" outlineLevel="1">
      <c r="A182" s="62"/>
      <c r="B182" s="20" t="s">
        <v>8</v>
      </c>
      <c r="C182" s="455" t="s">
        <v>9</v>
      </c>
      <c r="D182" s="455"/>
      <c r="E182" s="455"/>
      <c r="F182" s="455"/>
      <c r="G182" s="455"/>
      <c r="H182" s="455"/>
      <c r="I182" s="455"/>
      <c r="J182" s="456"/>
      <c r="K182" s="89" t="s">
        <v>19</v>
      </c>
      <c r="L182" s="89" t="s">
        <v>15</v>
      </c>
      <c r="M182" s="89" t="s">
        <v>18</v>
      </c>
      <c r="N182" s="89" t="s">
        <v>44</v>
      </c>
      <c r="O182" s="89" t="s">
        <v>156</v>
      </c>
      <c r="P182" s="1"/>
      <c r="Q182" s="1"/>
      <c r="R182" s="1"/>
      <c r="S182" s="1"/>
      <c r="T182" s="1"/>
      <c r="U182" s="1"/>
      <c r="V182" s="1"/>
      <c r="W182" s="1"/>
    </row>
    <row r="183" spans="1:23" outlineLevel="1">
      <c r="A183" s="62"/>
      <c r="B183" s="27" t="s">
        <v>21</v>
      </c>
      <c r="C183" s="28" t="s">
        <v>22</v>
      </c>
      <c r="D183" s="457" t="s">
        <v>25</v>
      </c>
      <c r="E183" s="458"/>
      <c r="F183" s="458"/>
      <c r="G183" s="458"/>
      <c r="H183" s="458"/>
      <c r="I183" s="458"/>
      <c r="J183" s="458"/>
      <c r="K183" s="107" t="e">
        <f>IF(AND(K185="Passed",K190="Passed"),"For review","For completion")</f>
        <v>#VALUE!</v>
      </c>
      <c r="L183" s="107" t="e">
        <f>IF(AND(L185="Passed",L190="Passed"),"QA ready","For completion")</f>
        <v>#VALUE!</v>
      </c>
      <c r="M183" s="107" t="e">
        <f>IF(AND(M185="Passed",M190="Passed"),"For verification","For completion")</f>
        <v>#VALUE!</v>
      </c>
      <c r="N183" s="107" t="e">
        <f>IF(AND(N185="Passed",N190="Passed"),"Demo ready","For completion")</f>
        <v>#VALUE!</v>
      </c>
      <c r="O183" s="107" t="e">
        <f>IF(AND(O185="Passed",O190="Passed"),"Production ready","For completion")</f>
        <v>#VALUE!</v>
      </c>
      <c r="P183" s="1"/>
      <c r="Q183" s="1"/>
      <c r="R183" s="1"/>
      <c r="S183" s="1"/>
      <c r="T183" s="1"/>
    </row>
    <row r="184" spans="1:23" ht="15" hidden="1" customHeight="1" outlineLevel="2">
      <c r="A184" s="62"/>
      <c r="B184" s="5"/>
      <c r="C184" s="8"/>
      <c r="D184" s="29" t="s">
        <v>23</v>
      </c>
      <c r="E184" s="453" t="s">
        <v>26</v>
      </c>
      <c r="F184" s="454"/>
      <c r="G184" s="454"/>
      <c r="H184" s="454"/>
      <c r="I184" s="454"/>
      <c r="J184" s="454"/>
      <c r="K184" s="108"/>
      <c r="L184" s="108"/>
      <c r="M184" s="88"/>
      <c r="N184" s="88"/>
      <c r="O184" s="88"/>
      <c r="P184" s="1"/>
      <c r="Q184" s="1"/>
      <c r="R184" s="1"/>
      <c r="S184" s="1"/>
      <c r="T184" s="1"/>
    </row>
    <row r="185" spans="1:23" ht="15" hidden="1" customHeight="1" outlineLevel="2">
      <c r="A185" s="62"/>
      <c r="B185" s="5"/>
      <c r="C185" s="8"/>
      <c r="D185" s="8"/>
      <c r="E185" s="33" t="s">
        <v>24</v>
      </c>
      <c r="F185" s="450" t="s">
        <v>34</v>
      </c>
      <c r="G185" s="450"/>
      <c r="H185" s="450"/>
      <c r="I185" s="450"/>
      <c r="J185" s="451"/>
      <c r="K185" s="306" t="e">
        <f t="shared" ref="K185:L185" si="53">IF(AND(K186:K189),"Passed","Failed")</f>
        <v>#VALUE!</v>
      </c>
      <c r="L185" s="306" t="e">
        <f t="shared" si="53"/>
        <v>#VALUE!</v>
      </c>
      <c r="M185" s="306" t="e">
        <f>IF(AND(M186:M189),"Passed","Failed")</f>
        <v>#VALUE!</v>
      </c>
      <c r="N185" s="306" t="e">
        <f t="shared" ref="N185:O185" si="54">IF(AND(N186:N189),"Passed","Failed")</f>
        <v>#VALUE!</v>
      </c>
      <c r="O185" s="306" t="e">
        <f t="shared" si="54"/>
        <v>#VALUE!</v>
      </c>
      <c r="P185" s="1"/>
      <c r="Q185" s="1"/>
      <c r="R185" s="1"/>
      <c r="S185" s="1"/>
      <c r="T185" s="1"/>
    </row>
    <row r="186" spans="1:23" ht="15" hidden="1" customHeight="1" outlineLevel="3">
      <c r="A186" s="62"/>
      <c r="B186" s="5"/>
      <c r="C186" s="8"/>
      <c r="D186" s="8"/>
      <c r="E186" s="16"/>
      <c r="F186" s="38" t="str">
        <f>HYPERLINK("#'Test Case'!A1","n.1.1.1")</f>
        <v>n.1.1.1</v>
      </c>
      <c r="G186" s="449" t="s">
        <v>68</v>
      </c>
      <c r="H186" s="449"/>
      <c r="I186" s="449"/>
      <c r="J186" s="452"/>
      <c r="K186" s="88"/>
      <c r="L186" s="88"/>
      <c r="M186" s="88"/>
      <c r="N186" s="88"/>
      <c r="O186" s="88"/>
      <c r="P186" s="1"/>
      <c r="Q186" s="1"/>
      <c r="R186" s="1"/>
      <c r="S186" s="1"/>
      <c r="T186" s="1"/>
    </row>
    <row r="187" spans="1:23" ht="15" hidden="1" customHeight="1" outlineLevel="3">
      <c r="A187" s="62"/>
      <c r="B187" s="5"/>
      <c r="C187" s="8"/>
      <c r="D187" s="8"/>
      <c r="E187" s="16"/>
      <c r="F187" s="38" t="str">
        <f>HYPERLINK("#'Test Case'!A1","n.1.1.2")</f>
        <v>n.1.1.2</v>
      </c>
      <c r="G187" s="449" t="s">
        <v>69</v>
      </c>
      <c r="H187" s="449"/>
      <c r="I187" s="449"/>
      <c r="J187" s="452"/>
      <c r="K187" s="88"/>
      <c r="L187" s="88"/>
      <c r="M187" s="88"/>
      <c r="N187" s="88"/>
      <c r="O187" s="88"/>
      <c r="P187" s="1"/>
      <c r="Q187" s="1"/>
      <c r="R187" s="1"/>
      <c r="S187" s="1"/>
      <c r="T187" s="1"/>
    </row>
    <row r="188" spans="1:23" ht="15" hidden="1" customHeight="1" outlineLevel="3">
      <c r="A188" s="62"/>
      <c r="B188" s="5"/>
      <c r="C188" s="8"/>
      <c r="D188" s="8"/>
      <c r="E188" s="16"/>
      <c r="F188" s="38" t="str">
        <f>HYPERLINK("#'Test Case'!A1","n.1.1.3")</f>
        <v>n.1.1.3</v>
      </c>
      <c r="G188" s="449" t="s">
        <v>70</v>
      </c>
      <c r="H188" s="449"/>
      <c r="I188" s="449"/>
      <c r="J188" s="452"/>
      <c r="K188" s="88"/>
      <c r="L188" s="88"/>
      <c r="M188" s="88"/>
      <c r="N188" s="88"/>
      <c r="O188" s="88"/>
      <c r="P188" s="1"/>
      <c r="Q188" s="1"/>
      <c r="R188" s="1"/>
      <c r="S188" s="1"/>
      <c r="T188" s="1"/>
    </row>
    <row r="189" spans="1:23" ht="15" hidden="1" customHeight="1" outlineLevel="3">
      <c r="A189" s="62"/>
      <c r="B189" s="5"/>
      <c r="C189" s="8"/>
      <c r="D189" s="8"/>
      <c r="E189" s="16"/>
      <c r="F189" s="38" t="str">
        <f>HYPERLINK("#'Test Case'!A1","n.1.1.4")</f>
        <v>n.1.1.4</v>
      </c>
      <c r="G189" s="449" t="s">
        <v>71</v>
      </c>
      <c r="H189" s="449"/>
      <c r="I189" s="449"/>
      <c r="J189" s="452"/>
      <c r="K189" s="88"/>
      <c r="L189" s="88"/>
      <c r="M189" s="88"/>
      <c r="N189" s="88"/>
      <c r="O189" s="88"/>
      <c r="P189" s="1"/>
      <c r="Q189" s="1"/>
      <c r="R189" s="1"/>
      <c r="S189" s="1"/>
      <c r="T189" s="1"/>
    </row>
    <row r="190" spans="1:23" ht="15" hidden="1" customHeight="1" outlineLevel="2" collapsed="1">
      <c r="A190" s="62"/>
      <c r="B190" s="5"/>
      <c r="C190" s="5"/>
      <c r="D190" s="5"/>
      <c r="E190" s="32" t="s">
        <v>28</v>
      </c>
      <c r="F190" s="450" t="s">
        <v>35</v>
      </c>
      <c r="G190" s="450"/>
      <c r="H190" s="450"/>
      <c r="I190" s="450"/>
      <c r="J190" s="451"/>
      <c r="K190" s="135" t="e">
        <f t="shared" ref="K190:L190" si="55">IF(AND(K191:K194),"Passed","Failed")</f>
        <v>#VALUE!</v>
      </c>
      <c r="L190" s="135" t="e">
        <f t="shared" si="55"/>
        <v>#VALUE!</v>
      </c>
      <c r="M190" s="135" t="e">
        <f>IF(AND(M191:M194),"Passed","Failed")</f>
        <v>#VALUE!</v>
      </c>
      <c r="N190" s="135" t="e">
        <f t="shared" ref="N190:O190" si="56">IF(AND(N191:N194),"Passed","Failed")</f>
        <v>#VALUE!</v>
      </c>
      <c r="O190" s="135" t="e">
        <f t="shared" si="56"/>
        <v>#VALUE!</v>
      </c>
      <c r="P190" s="1"/>
      <c r="Q190" s="1"/>
      <c r="R190" s="1"/>
      <c r="S190" s="1"/>
      <c r="T190" s="1"/>
    </row>
    <row r="191" spans="1:23" ht="15" hidden="1" customHeight="1" outlineLevel="3">
      <c r="A191" s="62"/>
      <c r="B191" s="5"/>
      <c r="C191" s="5"/>
      <c r="D191" s="5"/>
      <c r="E191" s="16"/>
      <c r="F191" s="38" t="str">
        <f>HYPERLINK("#'Test Case'!A1","n.2.1.1")</f>
        <v>n.2.1.1</v>
      </c>
      <c r="G191" s="449" t="s">
        <v>68</v>
      </c>
      <c r="H191" s="449"/>
      <c r="I191" s="449"/>
      <c r="J191" s="452"/>
      <c r="K191" s="88"/>
      <c r="L191" s="88"/>
      <c r="M191" s="88"/>
      <c r="N191" s="88"/>
      <c r="O191" s="88"/>
      <c r="P191" s="1"/>
      <c r="Q191" s="1"/>
      <c r="R191" s="1"/>
      <c r="S191" s="1"/>
      <c r="T191" s="1"/>
    </row>
    <row r="192" spans="1:23" ht="15" hidden="1" customHeight="1" outlineLevel="3">
      <c r="A192" s="62"/>
      <c r="B192" s="5"/>
      <c r="C192" s="5"/>
      <c r="D192" s="5"/>
      <c r="E192" s="16"/>
      <c r="F192" s="38" t="str">
        <f>HYPERLINK("#'Test Case'!A1","n.2.1.2")</f>
        <v>n.2.1.2</v>
      </c>
      <c r="G192" s="449" t="s">
        <v>69</v>
      </c>
      <c r="H192" s="449"/>
      <c r="I192" s="449"/>
      <c r="J192" s="452"/>
      <c r="K192" s="88"/>
      <c r="L192" s="88"/>
      <c r="M192" s="88"/>
      <c r="N192" s="88"/>
      <c r="O192" s="88"/>
      <c r="P192" s="1"/>
      <c r="Q192" s="1"/>
      <c r="R192" s="1"/>
      <c r="S192" s="1"/>
      <c r="T192" s="1"/>
    </row>
    <row r="193" spans="1:23" ht="15" hidden="1" customHeight="1" outlineLevel="3">
      <c r="A193" s="62"/>
      <c r="B193" s="1"/>
      <c r="C193" s="1"/>
      <c r="D193" s="1"/>
      <c r="E193" s="1"/>
      <c r="F193" s="38" t="str">
        <f>HYPERLINK("#'Test Case'!A1","n.2.1.3")</f>
        <v>n.2.1.3</v>
      </c>
      <c r="G193" s="449" t="s">
        <v>70</v>
      </c>
      <c r="H193" s="449"/>
      <c r="I193" s="449"/>
      <c r="J193" s="452"/>
      <c r="K193" s="88"/>
      <c r="L193" s="88"/>
      <c r="M193" s="88"/>
      <c r="N193" s="88"/>
      <c r="O193" s="88"/>
      <c r="P193" s="1"/>
      <c r="Q193" s="1"/>
      <c r="R193" s="1"/>
      <c r="S193" s="1"/>
      <c r="T193" s="1"/>
    </row>
    <row r="194" spans="1:23" ht="15" hidden="1" customHeight="1" outlineLevel="3">
      <c r="A194" s="62"/>
      <c r="B194" s="1"/>
      <c r="C194" s="1"/>
      <c r="D194" s="1"/>
      <c r="E194" s="1"/>
      <c r="F194" s="38" t="str">
        <f>HYPERLINK("#'Test Case'!A1","n.2.1.4")</f>
        <v>n.2.1.4</v>
      </c>
      <c r="G194" s="449" t="s">
        <v>71</v>
      </c>
      <c r="H194" s="449"/>
      <c r="I194" s="449"/>
      <c r="J194" s="452"/>
      <c r="K194" s="88"/>
      <c r="L194" s="88"/>
      <c r="M194" s="88"/>
      <c r="N194" s="88"/>
      <c r="O194" s="88"/>
      <c r="P194" s="1"/>
      <c r="Q194" s="1"/>
      <c r="R194" s="1"/>
      <c r="S194" s="1"/>
      <c r="T194" s="1"/>
    </row>
    <row r="195" spans="1:23" ht="15" hidden="1" customHeight="1" outlineLevel="2" collapsed="1">
      <c r="A195" s="62"/>
      <c r="B195" s="1"/>
      <c r="C195" s="1"/>
      <c r="D195" s="29" t="s">
        <v>27</v>
      </c>
      <c r="E195" s="453" t="s">
        <v>26</v>
      </c>
      <c r="F195" s="454"/>
      <c r="G195" s="454"/>
      <c r="H195" s="454"/>
      <c r="I195" s="454"/>
      <c r="J195" s="454"/>
      <c r="K195" s="108"/>
      <c r="L195" s="108"/>
      <c r="M195" s="88"/>
      <c r="N195" s="88"/>
      <c r="O195" s="88"/>
      <c r="P195" s="1"/>
      <c r="Q195" s="1"/>
      <c r="R195" s="1"/>
      <c r="S195" s="1"/>
      <c r="T195" s="1"/>
    </row>
    <row r="196" spans="1:23" ht="15" hidden="1" customHeight="1" outlineLevel="2">
      <c r="A196" s="62"/>
      <c r="B196" s="1"/>
      <c r="C196" s="1"/>
      <c r="D196" s="8"/>
      <c r="E196" s="33" t="s">
        <v>28</v>
      </c>
      <c r="F196" s="450" t="s">
        <v>36</v>
      </c>
      <c r="G196" s="450"/>
      <c r="H196" s="450"/>
      <c r="I196" s="450"/>
      <c r="J196" s="451"/>
      <c r="K196" s="135" t="e">
        <f t="shared" ref="K196:L196" si="57">IF(AND(K197:K200),"Passed","Failed")</f>
        <v>#VALUE!</v>
      </c>
      <c r="L196" s="135" t="e">
        <f t="shared" si="57"/>
        <v>#VALUE!</v>
      </c>
      <c r="M196" s="135" t="e">
        <f>IF(AND(M197:M200),"Passed","Failed")</f>
        <v>#VALUE!</v>
      </c>
      <c r="N196" s="135" t="e">
        <f t="shared" ref="N196:O196" si="58">IF(AND(N197:N200),"Passed","Failed")</f>
        <v>#VALUE!</v>
      </c>
      <c r="O196" s="135" t="e">
        <f t="shared" si="58"/>
        <v>#VALUE!</v>
      </c>
      <c r="P196" s="1"/>
      <c r="Q196" s="1"/>
      <c r="R196" s="1"/>
      <c r="S196" s="1"/>
      <c r="T196" s="1"/>
    </row>
    <row r="197" spans="1:23" ht="15" hidden="1" customHeight="1" outlineLevel="3">
      <c r="A197" s="62"/>
      <c r="B197" s="1"/>
      <c r="C197" s="1"/>
      <c r="D197" s="8"/>
      <c r="E197" s="16"/>
      <c r="F197" s="30" t="s">
        <v>30</v>
      </c>
      <c r="G197" s="449"/>
      <c r="H197" s="449"/>
      <c r="I197" s="449"/>
      <c r="J197" s="452"/>
      <c r="K197" s="88"/>
      <c r="L197" s="88"/>
      <c r="M197" s="88"/>
      <c r="N197" s="88"/>
      <c r="O197" s="88"/>
      <c r="P197" s="1"/>
      <c r="Q197" s="1"/>
      <c r="R197" s="1"/>
      <c r="S197" s="1"/>
      <c r="T197" s="1"/>
    </row>
    <row r="198" spans="1:23" ht="15" hidden="1" customHeight="1" outlineLevel="3">
      <c r="A198" s="62"/>
      <c r="B198" s="1"/>
      <c r="C198" s="1"/>
      <c r="D198" s="8"/>
      <c r="E198" s="16"/>
      <c r="F198" s="30" t="s">
        <v>31</v>
      </c>
      <c r="G198" s="449"/>
      <c r="H198" s="449"/>
      <c r="I198" s="449"/>
      <c r="J198" s="452"/>
      <c r="K198" s="88"/>
      <c r="L198" s="88"/>
      <c r="M198" s="88"/>
      <c r="N198" s="88"/>
      <c r="O198" s="88"/>
      <c r="P198" s="1"/>
      <c r="Q198" s="1"/>
      <c r="R198" s="1"/>
      <c r="S198" s="1"/>
      <c r="T198" s="1"/>
    </row>
    <row r="199" spans="1:23" ht="15" hidden="1" customHeight="1" outlineLevel="3">
      <c r="A199" s="62"/>
      <c r="B199" s="1"/>
      <c r="C199" s="1"/>
      <c r="D199" s="8"/>
      <c r="E199" s="16"/>
      <c r="F199" s="30" t="s">
        <v>32</v>
      </c>
      <c r="G199" s="449"/>
      <c r="H199" s="449"/>
      <c r="I199" s="449"/>
      <c r="J199" s="452"/>
      <c r="K199" s="88"/>
      <c r="L199" s="88"/>
      <c r="M199" s="88"/>
      <c r="N199" s="88"/>
      <c r="O199" s="88"/>
      <c r="P199" s="1"/>
      <c r="Q199" s="1"/>
      <c r="R199" s="1"/>
      <c r="S199" s="1"/>
      <c r="T199" s="1"/>
    </row>
    <row r="200" spans="1:23" ht="15" hidden="1" customHeight="1" outlineLevel="3">
      <c r="A200" s="62"/>
      <c r="B200" s="1"/>
      <c r="C200" s="1"/>
      <c r="D200" s="8"/>
      <c r="E200" s="16"/>
      <c r="F200" s="30" t="s">
        <v>33</v>
      </c>
      <c r="G200" s="449"/>
      <c r="H200" s="449"/>
      <c r="I200" s="449"/>
      <c r="J200" s="452"/>
      <c r="K200" s="88"/>
      <c r="L200" s="88"/>
      <c r="M200" s="88"/>
      <c r="N200" s="88"/>
      <c r="O200" s="88"/>
      <c r="P200" s="1"/>
      <c r="Q200" s="1"/>
      <c r="R200" s="1"/>
      <c r="S200" s="1"/>
      <c r="T200" s="1"/>
    </row>
    <row r="201" spans="1:23" ht="15" hidden="1" customHeight="1" outlineLevel="2" collapsed="1">
      <c r="A201" s="62"/>
      <c r="B201" s="1"/>
      <c r="C201" s="1"/>
      <c r="D201" s="5"/>
      <c r="E201" s="32" t="s">
        <v>29</v>
      </c>
      <c r="F201" s="450" t="s">
        <v>37</v>
      </c>
      <c r="G201" s="450"/>
      <c r="H201" s="450"/>
      <c r="I201" s="450"/>
      <c r="J201" s="451"/>
      <c r="K201" s="135" t="e">
        <f t="shared" ref="K201:L201" si="59">IF(AND(K202:K205),"Passed","Failed")</f>
        <v>#VALUE!</v>
      </c>
      <c r="L201" s="135" t="e">
        <f t="shared" si="59"/>
        <v>#VALUE!</v>
      </c>
      <c r="M201" s="135" t="e">
        <f>IF(AND(M202:M205),"Passed","Failed")</f>
        <v>#VALUE!</v>
      </c>
      <c r="N201" s="135" t="e">
        <f t="shared" ref="N201:O201" si="60">IF(AND(N202:N205),"Passed","Failed")</f>
        <v>#VALUE!</v>
      </c>
      <c r="O201" s="135" t="e">
        <f t="shared" si="60"/>
        <v>#VALUE!</v>
      </c>
      <c r="P201" s="1"/>
      <c r="Q201" s="1"/>
      <c r="R201" s="1"/>
      <c r="S201" s="1"/>
      <c r="T201" s="1"/>
      <c r="U201" s="1"/>
      <c r="V201" s="1"/>
      <c r="W201" s="1"/>
    </row>
    <row r="202" spans="1:23" ht="15" hidden="1" customHeight="1" outlineLevel="3">
      <c r="A202" s="62"/>
      <c r="B202" s="1"/>
      <c r="C202" s="1"/>
      <c r="D202" s="5"/>
      <c r="E202" s="16"/>
      <c r="F202" s="31" t="s">
        <v>30</v>
      </c>
      <c r="G202" s="449"/>
      <c r="H202" s="449"/>
      <c r="I202" s="449"/>
      <c r="J202" s="452"/>
      <c r="K202" s="88"/>
      <c r="L202" s="88"/>
      <c r="M202" s="88"/>
      <c r="N202" s="88"/>
      <c r="O202" s="88"/>
      <c r="P202" s="1"/>
      <c r="Q202" s="1"/>
      <c r="R202" s="1"/>
      <c r="S202" s="1"/>
      <c r="T202" s="1"/>
      <c r="U202" s="1"/>
      <c r="V202" s="1"/>
      <c r="W202" s="1"/>
    </row>
    <row r="203" spans="1:23" ht="15" hidden="1" customHeight="1" outlineLevel="3">
      <c r="A203" s="62"/>
      <c r="B203" s="1"/>
      <c r="C203" s="1"/>
      <c r="D203" s="5"/>
      <c r="E203" s="16"/>
      <c r="F203" s="31" t="s">
        <v>31</v>
      </c>
      <c r="G203" s="449"/>
      <c r="H203" s="449"/>
      <c r="I203" s="449"/>
      <c r="J203" s="452"/>
      <c r="K203" s="88"/>
      <c r="L203" s="88"/>
      <c r="M203" s="88"/>
      <c r="N203" s="88"/>
      <c r="O203" s="88"/>
      <c r="P203" s="1"/>
      <c r="Q203" s="1"/>
      <c r="R203" s="1"/>
      <c r="S203" s="1"/>
      <c r="T203" s="1"/>
      <c r="U203" s="1"/>
      <c r="V203" s="1"/>
      <c r="W203" s="1"/>
    </row>
    <row r="204" spans="1:23" ht="15" hidden="1" customHeight="1" outlineLevel="3">
      <c r="A204" s="62"/>
      <c r="B204" s="1"/>
      <c r="C204" s="1"/>
      <c r="D204" s="1"/>
      <c r="E204" s="1"/>
      <c r="F204" s="31" t="s">
        <v>32</v>
      </c>
      <c r="G204" s="449"/>
      <c r="H204" s="449"/>
      <c r="I204" s="449"/>
      <c r="J204" s="452"/>
      <c r="K204" s="88"/>
      <c r="L204" s="88"/>
      <c r="M204" s="88"/>
      <c r="N204" s="88"/>
      <c r="O204" s="88"/>
      <c r="P204" s="1"/>
      <c r="Q204" s="1"/>
      <c r="R204" s="1"/>
      <c r="S204" s="1"/>
      <c r="T204" s="1"/>
      <c r="U204" s="1"/>
      <c r="V204" s="1"/>
      <c r="W204" s="1"/>
    </row>
    <row r="205" spans="1:23" ht="15" hidden="1" customHeight="1" outlineLevel="3">
      <c r="A205" s="62"/>
      <c r="B205" s="1"/>
      <c r="C205" s="1"/>
      <c r="D205" s="1"/>
      <c r="E205" s="1"/>
      <c r="F205" s="31" t="s">
        <v>33</v>
      </c>
      <c r="G205" s="449"/>
      <c r="H205" s="449"/>
      <c r="I205" s="449"/>
      <c r="J205" s="452"/>
      <c r="K205" s="88"/>
      <c r="L205" s="88"/>
      <c r="M205" s="88"/>
      <c r="N205" s="88"/>
      <c r="O205" s="88"/>
      <c r="P205" s="1"/>
      <c r="Q205" s="1"/>
      <c r="R205" s="1"/>
      <c r="S205" s="1"/>
      <c r="T205" s="1"/>
      <c r="U205" s="1"/>
      <c r="V205" s="1"/>
      <c r="W205" s="1"/>
    </row>
    <row r="206" spans="1:23" ht="15" hidden="1" customHeight="1" outlineLevel="2" collapsed="1">
      <c r="A206" s="62"/>
      <c r="B206" s="1"/>
      <c r="C206" s="1"/>
      <c r="D206" s="1"/>
      <c r="E206" s="1"/>
      <c r="F206" s="1"/>
      <c r="G206" s="1"/>
      <c r="H206" s="1"/>
      <c r="I206" s="1"/>
      <c r="J206" s="1"/>
      <c r="K206" s="88"/>
      <c r="L206" s="88"/>
      <c r="M206" s="88"/>
      <c r="N206" s="88"/>
      <c r="O206" s="88"/>
      <c r="P206" s="1"/>
      <c r="Q206" s="1"/>
      <c r="R206" s="1"/>
      <c r="S206" s="1"/>
      <c r="T206" s="1"/>
      <c r="U206" s="1"/>
      <c r="V206" s="1"/>
      <c r="W206" s="1"/>
    </row>
    <row r="207" spans="1:23" ht="18.75" outlineLevel="1" collapsed="1">
      <c r="A207" s="62"/>
      <c r="B207" s="1"/>
      <c r="C207" s="1"/>
      <c r="D207" s="1"/>
      <c r="E207" s="9"/>
      <c r="F207" s="15"/>
      <c r="G207" s="14"/>
      <c r="H207" s="1"/>
      <c r="I207" s="1"/>
      <c r="J207" s="1"/>
      <c r="K207" s="460" t="s">
        <v>16</v>
      </c>
      <c r="L207" s="460"/>
      <c r="M207" s="447" t="s">
        <v>20</v>
      </c>
      <c r="N207" s="447"/>
      <c r="O207" s="447"/>
      <c r="P207" s="1"/>
      <c r="Q207" s="1"/>
      <c r="R207" s="1"/>
      <c r="S207" s="1"/>
      <c r="T207" s="1"/>
    </row>
    <row r="208" spans="1:23" outlineLevel="1">
      <c r="A208" s="62"/>
      <c r="B208" s="20" t="s">
        <v>8</v>
      </c>
      <c r="C208" s="455" t="s">
        <v>9</v>
      </c>
      <c r="D208" s="455"/>
      <c r="E208" s="455"/>
      <c r="F208" s="455"/>
      <c r="G208" s="455"/>
      <c r="H208" s="455"/>
      <c r="I208" s="455"/>
      <c r="J208" s="456"/>
      <c r="K208" s="89" t="s">
        <v>19</v>
      </c>
      <c r="L208" s="89" t="s">
        <v>15</v>
      </c>
      <c r="M208" s="89" t="s">
        <v>18</v>
      </c>
      <c r="N208" s="89" t="s">
        <v>44</v>
      </c>
      <c r="O208" s="89" t="s">
        <v>156</v>
      </c>
      <c r="P208" s="1"/>
      <c r="Q208" s="1"/>
      <c r="R208" s="1"/>
      <c r="S208" s="1"/>
      <c r="T208" s="1"/>
    </row>
    <row r="209" spans="1:20" outlineLevel="1">
      <c r="A209" s="62"/>
      <c r="B209" s="27" t="s">
        <v>21</v>
      </c>
      <c r="C209" s="28" t="s">
        <v>22</v>
      </c>
      <c r="D209" s="457" t="s">
        <v>25</v>
      </c>
      <c r="E209" s="458"/>
      <c r="F209" s="458"/>
      <c r="G209" s="458"/>
      <c r="H209" s="458"/>
      <c r="I209" s="458"/>
      <c r="J209" s="458"/>
      <c r="K209" s="107" t="e">
        <f>IF(AND(K211="Passed",K216="Passed"),"For review","For completion")</f>
        <v>#VALUE!</v>
      </c>
      <c r="L209" s="107" t="e">
        <f>IF(AND(L211="Passed",L216="Passed"),"QA ready","For completion")</f>
        <v>#VALUE!</v>
      </c>
      <c r="M209" s="107" t="e">
        <f>IF(AND(M211="Passed",M216="Passed"),"For verification","For completion")</f>
        <v>#VALUE!</v>
      </c>
      <c r="N209" s="107" t="e">
        <f>IF(AND(N211="Passed",N216="Passed"),"Demo ready","For completion")</f>
        <v>#VALUE!</v>
      </c>
      <c r="O209" s="107" t="e">
        <f>IF(AND(O211="Passed",O216="Passed"),"Production ready","For completion")</f>
        <v>#VALUE!</v>
      </c>
      <c r="P209" s="1"/>
      <c r="Q209" s="1"/>
      <c r="R209" s="1"/>
      <c r="S209" s="1"/>
      <c r="T209" s="1"/>
    </row>
    <row r="210" spans="1:20" ht="15" hidden="1" customHeight="1" outlineLevel="2">
      <c r="A210" s="62"/>
      <c r="B210" s="5"/>
      <c r="C210" s="8"/>
      <c r="D210" s="29" t="s">
        <v>23</v>
      </c>
      <c r="E210" s="453" t="s">
        <v>26</v>
      </c>
      <c r="F210" s="454"/>
      <c r="G210" s="454"/>
      <c r="H210" s="454"/>
      <c r="I210" s="454"/>
      <c r="J210" s="454"/>
      <c r="K210" s="108"/>
      <c r="L210" s="108"/>
      <c r="M210" s="88"/>
      <c r="N210" s="88"/>
      <c r="O210" s="88"/>
      <c r="P210" s="1"/>
      <c r="Q210" s="1"/>
      <c r="R210" s="1"/>
      <c r="S210" s="1"/>
      <c r="T210" s="1"/>
    </row>
    <row r="211" spans="1:20" ht="15" hidden="1" customHeight="1" outlineLevel="2">
      <c r="A211" s="62"/>
      <c r="B211" s="5"/>
      <c r="C211" s="8"/>
      <c r="D211" s="8"/>
      <c r="E211" s="33" t="s">
        <v>24</v>
      </c>
      <c r="F211" s="450" t="s">
        <v>34</v>
      </c>
      <c r="G211" s="450"/>
      <c r="H211" s="450"/>
      <c r="I211" s="450"/>
      <c r="J211" s="451"/>
      <c r="K211" s="306" t="e">
        <f t="shared" ref="K211:L211" si="61">IF(AND(K212:K215),"Passed","Failed")</f>
        <v>#VALUE!</v>
      </c>
      <c r="L211" s="306" t="e">
        <f t="shared" si="61"/>
        <v>#VALUE!</v>
      </c>
      <c r="M211" s="306" t="e">
        <f>IF(AND(M212:M215),"Passed","Failed")</f>
        <v>#VALUE!</v>
      </c>
      <c r="N211" s="306" t="e">
        <f t="shared" ref="N211:O211" si="62">IF(AND(N212:N215),"Passed","Failed")</f>
        <v>#VALUE!</v>
      </c>
      <c r="O211" s="306" t="e">
        <f t="shared" si="62"/>
        <v>#VALUE!</v>
      </c>
      <c r="P211" s="1"/>
      <c r="Q211" s="1"/>
      <c r="R211" s="1"/>
      <c r="S211" s="1"/>
      <c r="T211" s="1"/>
    </row>
    <row r="212" spans="1:20" ht="15" hidden="1" customHeight="1" outlineLevel="3">
      <c r="A212" s="62"/>
      <c r="B212" s="5"/>
      <c r="C212" s="8"/>
      <c r="D212" s="8"/>
      <c r="E212" s="16"/>
      <c r="F212" s="38" t="str">
        <f>HYPERLINK("#'Test Case'!A1","n.1.1.1")</f>
        <v>n.1.1.1</v>
      </c>
      <c r="G212" s="449" t="s">
        <v>68</v>
      </c>
      <c r="H212" s="449"/>
      <c r="I212" s="449"/>
      <c r="J212" s="452"/>
      <c r="K212" s="88"/>
      <c r="L212" s="88"/>
      <c r="M212" s="88"/>
      <c r="N212" s="88"/>
      <c r="O212" s="88"/>
      <c r="P212" s="1"/>
      <c r="Q212" s="1"/>
      <c r="R212" s="1"/>
      <c r="S212" s="1"/>
      <c r="T212" s="1"/>
    </row>
    <row r="213" spans="1:20" ht="15" hidden="1" customHeight="1" outlineLevel="3">
      <c r="A213" s="62"/>
      <c r="B213" s="5"/>
      <c r="C213" s="8"/>
      <c r="D213" s="8"/>
      <c r="E213" s="16"/>
      <c r="F213" s="38" t="str">
        <f>HYPERLINK("#'Test Case'!A1","n.1.1.2")</f>
        <v>n.1.1.2</v>
      </c>
      <c r="G213" s="449" t="s">
        <v>69</v>
      </c>
      <c r="H213" s="449"/>
      <c r="I213" s="449"/>
      <c r="J213" s="452"/>
      <c r="K213" s="88"/>
      <c r="L213" s="88"/>
      <c r="M213" s="88"/>
      <c r="N213" s="88"/>
      <c r="O213" s="88"/>
      <c r="P213" s="1"/>
      <c r="Q213" s="1"/>
      <c r="R213" s="1"/>
      <c r="S213" s="1"/>
      <c r="T213" s="1"/>
    </row>
    <row r="214" spans="1:20" ht="15" hidden="1" customHeight="1" outlineLevel="3">
      <c r="A214" s="62"/>
      <c r="B214" s="5"/>
      <c r="C214" s="8"/>
      <c r="D214" s="8"/>
      <c r="E214" s="16"/>
      <c r="F214" s="38" t="str">
        <f>HYPERLINK("#'Test Case'!A1","n.1.1.3")</f>
        <v>n.1.1.3</v>
      </c>
      <c r="G214" s="449" t="s">
        <v>70</v>
      </c>
      <c r="H214" s="449"/>
      <c r="I214" s="449"/>
      <c r="J214" s="452"/>
      <c r="K214" s="88"/>
      <c r="L214" s="88"/>
      <c r="M214" s="88"/>
      <c r="N214" s="88"/>
      <c r="O214" s="88"/>
      <c r="P214" s="1"/>
      <c r="Q214" s="1"/>
      <c r="R214" s="1"/>
      <c r="S214" s="1"/>
      <c r="T214" s="1"/>
    </row>
    <row r="215" spans="1:20" ht="15" hidden="1" customHeight="1" outlineLevel="3">
      <c r="A215" s="62"/>
      <c r="B215" s="5"/>
      <c r="C215" s="8"/>
      <c r="D215" s="8"/>
      <c r="E215" s="16"/>
      <c r="F215" s="38" t="str">
        <f>HYPERLINK("#'Test Case'!A1","n.1.1.4")</f>
        <v>n.1.1.4</v>
      </c>
      <c r="G215" s="449" t="s">
        <v>71</v>
      </c>
      <c r="H215" s="449"/>
      <c r="I215" s="449"/>
      <c r="J215" s="452"/>
      <c r="K215" s="88"/>
      <c r="L215" s="88"/>
      <c r="M215" s="88"/>
      <c r="N215" s="88"/>
      <c r="O215" s="88"/>
      <c r="P215" s="1"/>
      <c r="Q215" s="1"/>
      <c r="R215" s="1"/>
      <c r="S215" s="1"/>
      <c r="T215" s="1"/>
    </row>
    <row r="216" spans="1:20" ht="15" hidden="1" customHeight="1" outlineLevel="2" collapsed="1">
      <c r="A216" s="62"/>
      <c r="B216" s="5"/>
      <c r="C216" s="5"/>
      <c r="D216" s="5"/>
      <c r="E216" s="32" t="s">
        <v>28</v>
      </c>
      <c r="F216" s="450" t="s">
        <v>35</v>
      </c>
      <c r="G216" s="450"/>
      <c r="H216" s="450"/>
      <c r="I216" s="450"/>
      <c r="J216" s="451"/>
      <c r="K216" s="135" t="e">
        <f t="shared" ref="K216:L216" si="63">IF(AND(K217:K220),"Passed","Failed")</f>
        <v>#VALUE!</v>
      </c>
      <c r="L216" s="135" t="e">
        <f t="shared" si="63"/>
        <v>#VALUE!</v>
      </c>
      <c r="M216" s="135" t="e">
        <f>IF(AND(M217:M220),"Passed","Failed")</f>
        <v>#VALUE!</v>
      </c>
      <c r="N216" s="135" t="e">
        <f t="shared" ref="N216:O216" si="64">IF(AND(N217:N220),"Passed","Failed")</f>
        <v>#VALUE!</v>
      </c>
      <c r="O216" s="135" t="e">
        <f t="shared" si="64"/>
        <v>#VALUE!</v>
      </c>
      <c r="P216" s="1"/>
      <c r="Q216" s="1"/>
      <c r="R216" s="1"/>
      <c r="S216" s="1"/>
      <c r="T216" s="1"/>
    </row>
    <row r="217" spans="1:20" ht="15" hidden="1" customHeight="1" outlineLevel="3">
      <c r="A217" s="62"/>
      <c r="B217" s="5"/>
      <c r="C217" s="5"/>
      <c r="D217" s="5"/>
      <c r="E217" s="16"/>
      <c r="F217" s="38" t="str">
        <f>HYPERLINK("#'Test Case'!A1","n.2.1.1")</f>
        <v>n.2.1.1</v>
      </c>
      <c r="G217" s="449" t="s">
        <v>68</v>
      </c>
      <c r="H217" s="449"/>
      <c r="I217" s="449"/>
      <c r="J217" s="452"/>
      <c r="K217" s="88"/>
      <c r="L217" s="88"/>
      <c r="M217" s="88"/>
      <c r="N217" s="88"/>
      <c r="O217" s="88"/>
      <c r="P217" s="1"/>
      <c r="Q217" s="1"/>
      <c r="R217" s="1"/>
      <c r="S217" s="1"/>
      <c r="T217" s="1"/>
    </row>
    <row r="218" spans="1:20" ht="15" hidden="1" customHeight="1" outlineLevel="3">
      <c r="A218" s="62"/>
      <c r="B218" s="5"/>
      <c r="C218" s="5"/>
      <c r="D218" s="5"/>
      <c r="E218" s="16"/>
      <c r="F218" s="38" t="str">
        <f>HYPERLINK("#'Test Case'!A1","n.2.1.2")</f>
        <v>n.2.1.2</v>
      </c>
      <c r="G218" s="449" t="s">
        <v>69</v>
      </c>
      <c r="H218" s="449"/>
      <c r="I218" s="449"/>
      <c r="J218" s="452"/>
      <c r="K218" s="88"/>
      <c r="L218" s="88"/>
      <c r="M218" s="88"/>
      <c r="N218" s="88"/>
      <c r="O218" s="88"/>
      <c r="P218" s="1"/>
      <c r="Q218" s="1"/>
      <c r="R218" s="1"/>
      <c r="S218" s="1"/>
      <c r="T218" s="1"/>
    </row>
    <row r="219" spans="1:20" ht="15" hidden="1" customHeight="1" outlineLevel="3">
      <c r="A219" s="62"/>
      <c r="B219" s="1"/>
      <c r="C219" s="1"/>
      <c r="D219" s="1"/>
      <c r="E219" s="1"/>
      <c r="F219" s="38" t="str">
        <f>HYPERLINK("#'Test Case'!A1","n.2.1.3")</f>
        <v>n.2.1.3</v>
      </c>
      <c r="G219" s="449" t="s">
        <v>70</v>
      </c>
      <c r="H219" s="449"/>
      <c r="I219" s="449"/>
      <c r="J219" s="452"/>
      <c r="K219" s="88"/>
      <c r="L219" s="88"/>
      <c r="M219" s="88"/>
      <c r="N219" s="88"/>
      <c r="O219" s="88"/>
      <c r="P219" s="1"/>
      <c r="Q219" s="1"/>
      <c r="R219" s="1"/>
      <c r="S219" s="1"/>
      <c r="T219" s="1"/>
    </row>
    <row r="220" spans="1:20" ht="15" hidden="1" customHeight="1" outlineLevel="3">
      <c r="A220" s="62"/>
      <c r="B220" s="1"/>
      <c r="C220" s="1"/>
      <c r="D220" s="1"/>
      <c r="E220" s="1"/>
      <c r="F220" s="38" t="str">
        <f>HYPERLINK("#'Test Case'!A1","n.2.1.4")</f>
        <v>n.2.1.4</v>
      </c>
      <c r="G220" s="449" t="s">
        <v>71</v>
      </c>
      <c r="H220" s="449"/>
      <c r="I220" s="449"/>
      <c r="J220" s="452"/>
      <c r="K220" s="88"/>
      <c r="L220" s="88"/>
      <c r="M220" s="88"/>
      <c r="N220" s="88"/>
      <c r="O220" s="88"/>
      <c r="P220" s="1"/>
      <c r="Q220" s="1"/>
      <c r="R220" s="1"/>
      <c r="S220" s="1"/>
      <c r="T220" s="1"/>
    </row>
    <row r="221" spans="1:20" ht="15" hidden="1" customHeight="1" outlineLevel="2" collapsed="1">
      <c r="A221" s="62"/>
      <c r="B221" s="1"/>
      <c r="C221" s="1"/>
      <c r="D221" s="29" t="s">
        <v>27</v>
      </c>
      <c r="E221" s="453" t="s">
        <v>26</v>
      </c>
      <c r="F221" s="454"/>
      <c r="G221" s="454"/>
      <c r="H221" s="454"/>
      <c r="I221" s="454"/>
      <c r="J221" s="454"/>
      <c r="K221" s="108"/>
      <c r="L221" s="108"/>
      <c r="M221" s="88"/>
      <c r="N221" s="88"/>
      <c r="O221" s="88"/>
      <c r="P221" s="1"/>
      <c r="Q221" s="1"/>
      <c r="R221" s="1"/>
      <c r="S221" s="1"/>
      <c r="T221" s="1"/>
    </row>
    <row r="222" spans="1:20" ht="15" hidden="1" customHeight="1" outlineLevel="2">
      <c r="A222" s="62"/>
      <c r="B222" s="1"/>
      <c r="C222" s="1"/>
      <c r="D222" s="8"/>
      <c r="E222" s="33" t="s">
        <v>28</v>
      </c>
      <c r="F222" s="450" t="s">
        <v>36</v>
      </c>
      <c r="G222" s="450"/>
      <c r="H222" s="450"/>
      <c r="I222" s="450"/>
      <c r="J222" s="451"/>
      <c r="K222" s="135" t="e">
        <f t="shared" ref="K222:L222" si="65">IF(AND(K223:K226),"Passed","Failed")</f>
        <v>#VALUE!</v>
      </c>
      <c r="L222" s="135" t="e">
        <f t="shared" si="65"/>
        <v>#VALUE!</v>
      </c>
      <c r="M222" s="135" t="e">
        <f>IF(AND(M223:M226),"Passed","Failed")</f>
        <v>#VALUE!</v>
      </c>
      <c r="N222" s="135" t="e">
        <f t="shared" ref="N222:O222" si="66">IF(AND(N223:N226),"Passed","Failed")</f>
        <v>#VALUE!</v>
      </c>
      <c r="O222" s="135" t="e">
        <f t="shared" si="66"/>
        <v>#VALUE!</v>
      </c>
      <c r="P222" s="1"/>
      <c r="Q222" s="1"/>
      <c r="R222" s="1"/>
      <c r="S222" s="1"/>
      <c r="T222" s="1"/>
    </row>
    <row r="223" spans="1:20" ht="15" hidden="1" customHeight="1" outlineLevel="3">
      <c r="A223" s="62"/>
      <c r="B223" s="1"/>
      <c r="C223" s="1"/>
      <c r="D223" s="8"/>
      <c r="E223" s="16"/>
      <c r="F223" s="30" t="s">
        <v>30</v>
      </c>
      <c r="G223" s="449"/>
      <c r="H223" s="449"/>
      <c r="I223" s="449"/>
      <c r="J223" s="452"/>
      <c r="K223" s="88"/>
      <c r="L223" s="88"/>
      <c r="M223" s="88"/>
      <c r="N223" s="88"/>
      <c r="O223" s="88"/>
      <c r="P223" s="1"/>
      <c r="Q223" s="1"/>
      <c r="R223" s="1"/>
      <c r="S223" s="1"/>
      <c r="T223" s="1"/>
    </row>
    <row r="224" spans="1:20" ht="15" hidden="1" customHeight="1" outlineLevel="3">
      <c r="A224" s="62"/>
      <c r="B224" s="1"/>
      <c r="C224" s="1"/>
      <c r="D224" s="8"/>
      <c r="E224" s="16"/>
      <c r="F224" s="30" t="s">
        <v>31</v>
      </c>
      <c r="G224" s="449"/>
      <c r="H224" s="449"/>
      <c r="I224" s="449"/>
      <c r="J224" s="452"/>
      <c r="K224" s="88"/>
      <c r="L224" s="88"/>
      <c r="M224" s="88"/>
      <c r="N224" s="88"/>
      <c r="O224" s="88"/>
      <c r="P224" s="1"/>
      <c r="Q224" s="1"/>
      <c r="R224" s="1"/>
      <c r="S224" s="1"/>
      <c r="T224" s="1"/>
    </row>
    <row r="225" spans="1:20" ht="15" hidden="1" customHeight="1" outlineLevel="3">
      <c r="A225" s="62"/>
      <c r="B225" s="1"/>
      <c r="C225" s="1"/>
      <c r="D225" s="8"/>
      <c r="E225" s="16"/>
      <c r="F225" s="30" t="s">
        <v>32</v>
      </c>
      <c r="G225" s="449"/>
      <c r="H225" s="449"/>
      <c r="I225" s="449"/>
      <c r="J225" s="452"/>
      <c r="K225" s="88"/>
      <c r="L225" s="88"/>
      <c r="M225" s="88"/>
      <c r="N225" s="88"/>
      <c r="O225" s="88"/>
      <c r="P225" s="1"/>
      <c r="Q225" s="1"/>
      <c r="R225" s="1"/>
      <c r="S225" s="1"/>
      <c r="T225" s="1"/>
    </row>
    <row r="226" spans="1:20" ht="15" hidden="1" customHeight="1" outlineLevel="3">
      <c r="A226" s="62"/>
      <c r="B226" s="1"/>
      <c r="C226" s="1"/>
      <c r="D226" s="8"/>
      <c r="E226" s="16"/>
      <c r="F226" s="30" t="s">
        <v>33</v>
      </c>
      <c r="G226" s="449"/>
      <c r="H226" s="449"/>
      <c r="I226" s="449"/>
      <c r="J226" s="452"/>
      <c r="K226" s="88"/>
      <c r="L226" s="88"/>
      <c r="M226" s="88"/>
      <c r="N226" s="88"/>
      <c r="O226" s="88"/>
      <c r="P226" s="1"/>
      <c r="Q226" s="1"/>
      <c r="R226" s="1"/>
      <c r="S226" s="1"/>
      <c r="T226" s="1"/>
    </row>
    <row r="227" spans="1:20" ht="15" hidden="1" customHeight="1" outlineLevel="2" collapsed="1">
      <c r="A227" s="62"/>
      <c r="B227" s="1"/>
      <c r="C227" s="1"/>
      <c r="D227" s="5"/>
      <c r="E227" s="32" t="s">
        <v>29</v>
      </c>
      <c r="F227" s="450" t="s">
        <v>37</v>
      </c>
      <c r="G227" s="450"/>
      <c r="H227" s="450"/>
      <c r="I227" s="450"/>
      <c r="J227" s="451"/>
      <c r="K227" s="135" t="e">
        <f t="shared" ref="K227:L227" si="67">IF(AND(K228:K231),"Passed","Failed")</f>
        <v>#VALUE!</v>
      </c>
      <c r="L227" s="135" t="e">
        <f t="shared" si="67"/>
        <v>#VALUE!</v>
      </c>
      <c r="M227" s="135" t="e">
        <f>IF(AND(M228:M231),"Passed","Failed")</f>
        <v>#VALUE!</v>
      </c>
      <c r="N227" s="135" t="e">
        <f t="shared" ref="N227:O227" si="68">IF(AND(N228:N231),"Passed","Failed")</f>
        <v>#VALUE!</v>
      </c>
      <c r="O227" s="135" t="e">
        <f t="shared" si="68"/>
        <v>#VALUE!</v>
      </c>
      <c r="P227" s="1"/>
      <c r="Q227" s="1"/>
      <c r="R227" s="1"/>
      <c r="S227" s="1"/>
      <c r="T227" s="1"/>
    </row>
    <row r="228" spans="1:20" ht="15" hidden="1" customHeight="1" outlineLevel="3">
      <c r="A228" s="62"/>
      <c r="B228" s="1"/>
      <c r="C228" s="1"/>
      <c r="D228" s="5"/>
      <c r="E228" s="16"/>
      <c r="F228" s="31" t="s">
        <v>30</v>
      </c>
      <c r="G228" s="449"/>
      <c r="H228" s="449"/>
      <c r="I228" s="449"/>
      <c r="J228" s="452"/>
      <c r="K228" s="88"/>
      <c r="L228" s="88"/>
      <c r="M228" s="88"/>
      <c r="N228" s="88"/>
      <c r="O228" s="88"/>
      <c r="P228" s="1"/>
      <c r="Q228" s="1"/>
      <c r="R228" s="1"/>
      <c r="S228" s="1"/>
      <c r="T228" s="1"/>
    </row>
    <row r="229" spans="1:20" ht="15" hidden="1" customHeight="1" outlineLevel="3">
      <c r="A229" s="62"/>
      <c r="B229" s="1"/>
      <c r="C229" s="1"/>
      <c r="D229" s="5"/>
      <c r="E229" s="16"/>
      <c r="F229" s="31" t="s">
        <v>31</v>
      </c>
      <c r="G229" s="449"/>
      <c r="H229" s="449"/>
      <c r="I229" s="449"/>
      <c r="J229" s="452"/>
      <c r="K229" s="88"/>
      <c r="L229" s="88"/>
      <c r="M229" s="88"/>
      <c r="N229" s="88"/>
      <c r="O229" s="88"/>
      <c r="P229" s="1"/>
      <c r="Q229" s="1"/>
      <c r="R229" s="1"/>
      <c r="S229" s="1"/>
      <c r="T229" s="1"/>
    </row>
    <row r="230" spans="1:20" ht="15" hidden="1" customHeight="1" outlineLevel="3">
      <c r="A230" s="62"/>
      <c r="B230" s="1"/>
      <c r="C230" s="1"/>
      <c r="D230" s="1"/>
      <c r="E230" s="1"/>
      <c r="F230" s="31" t="s">
        <v>32</v>
      </c>
      <c r="G230" s="449"/>
      <c r="H230" s="449"/>
      <c r="I230" s="449"/>
      <c r="J230" s="452"/>
      <c r="K230" s="88"/>
      <c r="L230" s="88"/>
      <c r="M230" s="88"/>
      <c r="N230" s="88"/>
      <c r="O230" s="88"/>
      <c r="P230" s="1"/>
      <c r="Q230" s="1"/>
      <c r="R230" s="1"/>
      <c r="S230" s="1"/>
      <c r="T230" s="1"/>
    </row>
    <row r="231" spans="1:20" ht="15" hidden="1" customHeight="1" outlineLevel="3">
      <c r="A231" s="62"/>
      <c r="B231" s="1"/>
      <c r="C231" s="1"/>
      <c r="D231" s="1"/>
      <c r="E231" s="1"/>
      <c r="F231" s="31" t="s">
        <v>33</v>
      </c>
      <c r="G231" s="449"/>
      <c r="H231" s="449"/>
      <c r="I231" s="449"/>
      <c r="J231" s="452"/>
      <c r="K231" s="88"/>
      <c r="L231" s="88"/>
      <c r="M231" s="88"/>
      <c r="N231" s="88"/>
      <c r="O231" s="88"/>
      <c r="P231" s="1"/>
      <c r="Q231" s="1"/>
      <c r="R231" s="1"/>
      <c r="S231" s="1"/>
      <c r="T231" s="1"/>
    </row>
    <row r="232" spans="1:20" ht="15" hidden="1" customHeight="1" outlineLevel="2" collapsed="1">
      <c r="A232" s="62"/>
      <c r="B232" s="1"/>
      <c r="C232" s="1"/>
      <c r="D232" s="1"/>
      <c r="E232" s="1"/>
      <c r="F232" s="49"/>
      <c r="G232" s="50"/>
      <c r="H232" s="50"/>
      <c r="I232" s="50"/>
      <c r="J232" s="50"/>
      <c r="K232" s="88"/>
      <c r="L232" s="88"/>
      <c r="M232" s="88"/>
      <c r="N232" s="88"/>
      <c r="O232" s="88"/>
      <c r="P232" s="1"/>
      <c r="Q232" s="1"/>
      <c r="R232" s="1"/>
      <c r="S232" s="1"/>
      <c r="T232" s="1"/>
    </row>
    <row r="233" spans="1:20" ht="18.75" outlineLevel="1" collapsed="1">
      <c r="A233" s="62"/>
      <c r="B233" s="1"/>
      <c r="C233" s="1"/>
      <c r="D233" s="1"/>
      <c r="E233" s="9"/>
      <c r="F233" s="15"/>
      <c r="G233" s="14"/>
      <c r="H233" s="1"/>
      <c r="I233" s="1"/>
      <c r="J233" s="1"/>
      <c r="K233" s="460" t="s">
        <v>16</v>
      </c>
      <c r="L233" s="460"/>
      <c r="M233" s="447" t="s">
        <v>20</v>
      </c>
      <c r="N233" s="447"/>
      <c r="O233" s="447"/>
      <c r="P233" s="1"/>
      <c r="Q233" s="1"/>
      <c r="R233" s="1"/>
      <c r="S233" s="1"/>
      <c r="T233" s="1"/>
    </row>
    <row r="234" spans="1:20" outlineLevel="1">
      <c r="A234" s="62"/>
      <c r="B234" s="20" t="s">
        <v>8</v>
      </c>
      <c r="C234" s="455" t="s">
        <v>9</v>
      </c>
      <c r="D234" s="455"/>
      <c r="E234" s="455"/>
      <c r="F234" s="455"/>
      <c r="G234" s="455"/>
      <c r="H234" s="455"/>
      <c r="I234" s="455"/>
      <c r="J234" s="456"/>
      <c r="K234" s="89" t="s">
        <v>19</v>
      </c>
      <c r="L234" s="89" t="s">
        <v>15</v>
      </c>
      <c r="M234" s="89" t="s">
        <v>18</v>
      </c>
      <c r="N234" s="89" t="s">
        <v>44</v>
      </c>
      <c r="O234" s="89" t="s">
        <v>156</v>
      </c>
      <c r="P234" s="1"/>
      <c r="Q234" s="1"/>
      <c r="R234" s="1"/>
      <c r="S234" s="1"/>
      <c r="T234" s="1"/>
    </row>
    <row r="235" spans="1:20" outlineLevel="1">
      <c r="A235" s="62"/>
      <c r="B235" s="27" t="s">
        <v>21</v>
      </c>
      <c r="C235" s="28" t="s">
        <v>22</v>
      </c>
      <c r="D235" s="457" t="s">
        <v>25</v>
      </c>
      <c r="E235" s="458"/>
      <c r="F235" s="458"/>
      <c r="G235" s="458"/>
      <c r="H235" s="458"/>
      <c r="I235" s="458"/>
      <c r="J235" s="458"/>
      <c r="K235" s="107" t="e">
        <f>IF(AND(K237="Passed",K242="Passed"),"For review","For completion")</f>
        <v>#VALUE!</v>
      </c>
      <c r="L235" s="107" t="e">
        <f>IF(AND(L237="Passed",L242="Passed"),"QA ready","For completion")</f>
        <v>#VALUE!</v>
      </c>
      <c r="M235" s="107" t="e">
        <f>IF(AND(M237="Passed",M242="Passed"),"For verification","For completion")</f>
        <v>#VALUE!</v>
      </c>
      <c r="N235" s="107" t="e">
        <f>IF(AND(N237="Passed",N242="Passed"),"Demo ready","For completion")</f>
        <v>#VALUE!</v>
      </c>
      <c r="O235" s="107" t="e">
        <f>IF(AND(O237="Passed",O242="Passed"),"Production ready","For completion")</f>
        <v>#VALUE!</v>
      </c>
      <c r="P235" s="1"/>
      <c r="Q235" s="1"/>
      <c r="R235" s="1"/>
      <c r="S235" s="1"/>
      <c r="T235" s="1"/>
    </row>
    <row r="236" spans="1:20" ht="15" hidden="1" customHeight="1" outlineLevel="2">
      <c r="A236" s="62"/>
      <c r="B236" s="5"/>
      <c r="C236" s="8"/>
      <c r="D236" s="29" t="s">
        <v>23</v>
      </c>
      <c r="E236" s="453" t="s">
        <v>26</v>
      </c>
      <c r="F236" s="454"/>
      <c r="G236" s="454"/>
      <c r="H236" s="454"/>
      <c r="I236" s="454"/>
      <c r="J236" s="454"/>
      <c r="K236" s="108"/>
      <c r="L236" s="108"/>
      <c r="M236" s="88"/>
      <c r="N236" s="88"/>
      <c r="O236" s="88"/>
      <c r="P236" s="1"/>
      <c r="Q236" s="1"/>
      <c r="R236" s="1"/>
      <c r="S236" s="1"/>
      <c r="T236" s="1"/>
    </row>
    <row r="237" spans="1:20" ht="15" hidden="1" customHeight="1" outlineLevel="2">
      <c r="A237" s="62"/>
      <c r="B237" s="5"/>
      <c r="C237" s="8"/>
      <c r="D237" s="8"/>
      <c r="E237" s="33" t="s">
        <v>24</v>
      </c>
      <c r="F237" s="450" t="s">
        <v>34</v>
      </c>
      <c r="G237" s="450"/>
      <c r="H237" s="450"/>
      <c r="I237" s="450"/>
      <c r="J237" s="451"/>
      <c r="K237" s="306" t="e">
        <f t="shared" ref="K237:L237" si="69">IF(AND(K238:K241),"Passed","Failed")</f>
        <v>#VALUE!</v>
      </c>
      <c r="L237" s="306" t="e">
        <f t="shared" si="69"/>
        <v>#VALUE!</v>
      </c>
      <c r="M237" s="306" t="e">
        <f>IF(AND(M238:M241),"Passed","Failed")</f>
        <v>#VALUE!</v>
      </c>
      <c r="N237" s="306" t="e">
        <f t="shared" ref="N237:O237" si="70">IF(AND(N238:N241),"Passed","Failed")</f>
        <v>#VALUE!</v>
      </c>
      <c r="O237" s="306" t="e">
        <f t="shared" si="70"/>
        <v>#VALUE!</v>
      </c>
      <c r="P237" s="1"/>
      <c r="Q237" s="1"/>
      <c r="R237" s="1"/>
      <c r="S237" s="1"/>
      <c r="T237" s="1"/>
    </row>
    <row r="238" spans="1:20" ht="15" hidden="1" customHeight="1" outlineLevel="3">
      <c r="A238" s="62"/>
      <c r="B238" s="5"/>
      <c r="C238" s="8"/>
      <c r="D238" s="8"/>
      <c r="E238" s="16"/>
      <c r="F238" s="38" t="str">
        <f>HYPERLINK("#'Test Case'!A1","n.1.1.1")</f>
        <v>n.1.1.1</v>
      </c>
      <c r="G238" s="449" t="s">
        <v>68</v>
      </c>
      <c r="H238" s="449"/>
      <c r="I238" s="449"/>
      <c r="J238" s="452"/>
      <c r="K238" s="88"/>
      <c r="L238" s="88"/>
      <c r="M238" s="88"/>
      <c r="N238" s="88"/>
      <c r="O238" s="88"/>
      <c r="P238" s="1"/>
      <c r="Q238" s="1"/>
      <c r="R238" s="1"/>
      <c r="S238" s="1"/>
      <c r="T238" s="1"/>
    </row>
    <row r="239" spans="1:20" ht="15" hidden="1" customHeight="1" outlineLevel="3">
      <c r="A239" s="62"/>
      <c r="B239" s="5"/>
      <c r="C239" s="8"/>
      <c r="D239" s="8"/>
      <c r="E239" s="16"/>
      <c r="F239" s="38" t="str">
        <f>HYPERLINK("#'Test Case'!A1","n.1.1.2")</f>
        <v>n.1.1.2</v>
      </c>
      <c r="G239" s="449" t="s">
        <v>69</v>
      </c>
      <c r="H239" s="449"/>
      <c r="I239" s="449"/>
      <c r="J239" s="452"/>
      <c r="K239" s="88"/>
      <c r="L239" s="88"/>
      <c r="M239" s="88"/>
      <c r="N239" s="88"/>
      <c r="O239" s="88"/>
      <c r="P239" s="1"/>
      <c r="Q239" s="1"/>
      <c r="R239" s="1"/>
      <c r="S239" s="1"/>
      <c r="T239" s="1"/>
    </row>
    <row r="240" spans="1:20" ht="15" hidden="1" customHeight="1" outlineLevel="3">
      <c r="A240" s="62"/>
      <c r="B240" s="5"/>
      <c r="C240" s="8"/>
      <c r="D240" s="8"/>
      <c r="E240" s="16"/>
      <c r="F240" s="38" t="str">
        <f>HYPERLINK("#'Test Case'!A1","n.1.1.3")</f>
        <v>n.1.1.3</v>
      </c>
      <c r="G240" s="449" t="s">
        <v>70</v>
      </c>
      <c r="H240" s="449"/>
      <c r="I240" s="449"/>
      <c r="J240" s="452"/>
      <c r="K240" s="88"/>
      <c r="L240" s="88"/>
      <c r="M240" s="88"/>
      <c r="N240" s="88"/>
      <c r="O240" s="88"/>
      <c r="P240" s="1"/>
      <c r="Q240" s="1"/>
      <c r="R240" s="1"/>
      <c r="S240" s="1"/>
      <c r="T240" s="1"/>
    </row>
    <row r="241" spans="1:20" ht="15" hidden="1" customHeight="1" outlineLevel="3">
      <c r="A241" s="62"/>
      <c r="B241" s="5"/>
      <c r="C241" s="8"/>
      <c r="D241" s="8"/>
      <c r="E241" s="16"/>
      <c r="F241" s="38" t="str">
        <f>HYPERLINK("#'Test Case'!A1","n.1.1.4")</f>
        <v>n.1.1.4</v>
      </c>
      <c r="G241" s="449" t="s">
        <v>71</v>
      </c>
      <c r="H241" s="449"/>
      <c r="I241" s="449"/>
      <c r="J241" s="452"/>
      <c r="K241" s="88"/>
      <c r="L241" s="88"/>
      <c r="M241" s="88"/>
      <c r="N241" s="88"/>
      <c r="O241" s="88"/>
      <c r="P241" s="1"/>
      <c r="Q241" s="1"/>
      <c r="R241" s="1"/>
      <c r="S241" s="1"/>
      <c r="T241" s="1"/>
    </row>
    <row r="242" spans="1:20" ht="15" hidden="1" customHeight="1" outlineLevel="2" collapsed="1">
      <c r="A242" s="62"/>
      <c r="B242" s="5"/>
      <c r="C242" s="5"/>
      <c r="D242" s="5"/>
      <c r="E242" s="32" t="s">
        <v>28</v>
      </c>
      <c r="F242" s="450" t="s">
        <v>35</v>
      </c>
      <c r="G242" s="450"/>
      <c r="H242" s="450"/>
      <c r="I242" s="450"/>
      <c r="J242" s="451"/>
      <c r="K242" s="135" t="e">
        <f t="shared" ref="K242:L242" si="71">IF(AND(K243:K246),"Passed","Failed")</f>
        <v>#VALUE!</v>
      </c>
      <c r="L242" s="135" t="e">
        <f t="shared" si="71"/>
        <v>#VALUE!</v>
      </c>
      <c r="M242" s="135" t="e">
        <f>IF(AND(M243:M246),"Passed","Failed")</f>
        <v>#VALUE!</v>
      </c>
      <c r="N242" s="135" t="e">
        <f t="shared" ref="N242:O242" si="72">IF(AND(N243:N246),"Passed","Failed")</f>
        <v>#VALUE!</v>
      </c>
      <c r="O242" s="135" t="e">
        <f t="shared" si="72"/>
        <v>#VALUE!</v>
      </c>
      <c r="P242" s="1"/>
      <c r="Q242" s="1"/>
      <c r="R242" s="1"/>
      <c r="S242" s="1"/>
      <c r="T242" s="1"/>
    </row>
    <row r="243" spans="1:20" ht="15" hidden="1" customHeight="1" outlineLevel="3">
      <c r="A243" s="62"/>
      <c r="B243" s="5"/>
      <c r="C243" s="5"/>
      <c r="D243" s="5"/>
      <c r="E243" s="16"/>
      <c r="F243" s="38" t="str">
        <f>HYPERLINK("#'Test Case'!A1","n.2.1.1")</f>
        <v>n.2.1.1</v>
      </c>
      <c r="G243" s="449" t="s">
        <v>68</v>
      </c>
      <c r="H243" s="449"/>
      <c r="I243" s="449"/>
      <c r="J243" s="452"/>
      <c r="K243" s="88"/>
      <c r="L243" s="88"/>
      <c r="M243" s="88"/>
      <c r="N243" s="88"/>
      <c r="O243" s="88"/>
      <c r="P243" s="1"/>
      <c r="Q243" s="1"/>
      <c r="R243" s="1"/>
      <c r="S243" s="1"/>
      <c r="T243" s="1"/>
    </row>
    <row r="244" spans="1:20" ht="15" hidden="1" customHeight="1" outlineLevel="3">
      <c r="A244" s="62"/>
      <c r="B244" s="5"/>
      <c r="C244" s="5"/>
      <c r="D244" s="5"/>
      <c r="E244" s="16"/>
      <c r="F244" s="38" t="str">
        <f>HYPERLINK("#'Test Case'!A1","n.2.1.2")</f>
        <v>n.2.1.2</v>
      </c>
      <c r="G244" s="449" t="s">
        <v>69</v>
      </c>
      <c r="H244" s="449"/>
      <c r="I244" s="449"/>
      <c r="J244" s="452"/>
      <c r="K244" s="88"/>
      <c r="L244" s="88"/>
      <c r="M244" s="88"/>
      <c r="N244" s="88"/>
      <c r="O244" s="88"/>
      <c r="P244" s="1"/>
      <c r="Q244" s="1"/>
      <c r="R244" s="1"/>
      <c r="S244" s="1"/>
      <c r="T244" s="1"/>
    </row>
    <row r="245" spans="1:20" ht="15" hidden="1" customHeight="1" outlineLevel="3">
      <c r="A245" s="62"/>
      <c r="B245" s="1"/>
      <c r="C245" s="1"/>
      <c r="D245" s="1"/>
      <c r="E245" s="1"/>
      <c r="F245" s="38" t="str">
        <f>HYPERLINK("#'Test Case'!A1","n.2.1.3")</f>
        <v>n.2.1.3</v>
      </c>
      <c r="G245" s="449" t="s">
        <v>70</v>
      </c>
      <c r="H245" s="449"/>
      <c r="I245" s="449"/>
      <c r="J245" s="452"/>
      <c r="K245" s="88"/>
      <c r="L245" s="88"/>
      <c r="M245" s="88"/>
      <c r="N245" s="88"/>
      <c r="O245" s="88"/>
      <c r="P245" s="1"/>
      <c r="Q245" s="1"/>
      <c r="R245" s="1"/>
      <c r="S245" s="1"/>
      <c r="T245" s="1"/>
    </row>
    <row r="246" spans="1:20" ht="15" hidden="1" customHeight="1" outlineLevel="3">
      <c r="A246" s="62"/>
      <c r="B246" s="1"/>
      <c r="C246" s="1"/>
      <c r="D246" s="1"/>
      <c r="E246" s="1"/>
      <c r="F246" s="38" t="str">
        <f>HYPERLINK("#'Test Case'!A1","n.2.1.4")</f>
        <v>n.2.1.4</v>
      </c>
      <c r="G246" s="449" t="s">
        <v>71</v>
      </c>
      <c r="H246" s="449"/>
      <c r="I246" s="449"/>
      <c r="J246" s="452"/>
      <c r="K246" s="88"/>
      <c r="L246" s="88"/>
      <c r="M246" s="88"/>
      <c r="N246" s="88"/>
      <c r="O246" s="88"/>
      <c r="P246" s="1"/>
      <c r="Q246" s="1"/>
      <c r="R246" s="1"/>
      <c r="S246" s="1"/>
      <c r="T246" s="1"/>
    </row>
    <row r="247" spans="1:20" ht="15" hidden="1" customHeight="1" outlineLevel="2" collapsed="1">
      <c r="A247" s="62"/>
      <c r="B247" s="1"/>
      <c r="C247" s="1"/>
      <c r="D247" s="29" t="s">
        <v>27</v>
      </c>
      <c r="E247" s="453" t="s">
        <v>26</v>
      </c>
      <c r="F247" s="454"/>
      <c r="G247" s="454"/>
      <c r="H247" s="454"/>
      <c r="I247" s="454"/>
      <c r="J247" s="454"/>
      <c r="K247" s="108"/>
      <c r="L247" s="108"/>
      <c r="M247" s="88"/>
      <c r="N247" s="88"/>
      <c r="O247" s="88"/>
      <c r="P247" s="1"/>
      <c r="Q247" s="1"/>
      <c r="R247" s="1"/>
      <c r="S247" s="1"/>
      <c r="T247" s="1"/>
    </row>
    <row r="248" spans="1:20" ht="15" hidden="1" customHeight="1" outlineLevel="2">
      <c r="A248" s="62"/>
      <c r="B248" s="1"/>
      <c r="C248" s="1"/>
      <c r="D248" s="8"/>
      <c r="E248" s="33" t="s">
        <v>28</v>
      </c>
      <c r="F248" s="450" t="s">
        <v>36</v>
      </c>
      <c r="G248" s="450"/>
      <c r="H248" s="450"/>
      <c r="I248" s="450"/>
      <c r="J248" s="451"/>
      <c r="K248" s="135" t="e">
        <f t="shared" ref="K248:L248" si="73">IF(AND(K249:K252),"Passed","Failed")</f>
        <v>#VALUE!</v>
      </c>
      <c r="L248" s="135" t="e">
        <f t="shared" si="73"/>
        <v>#VALUE!</v>
      </c>
      <c r="M248" s="135" t="e">
        <f>IF(AND(M249:M252),"Passed","Failed")</f>
        <v>#VALUE!</v>
      </c>
      <c r="N248" s="135" t="e">
        <f t="shared" ref="N248:O248" si="74">IF(AND(N249:N252),"Passed","Failed")</f>
        <v>#VALUE!</v>
      </c>
      <c r="O248" s="135" t="e">
        <f t="shared" si="74"/>
        <v>#VALUE!</v>
      </c>
      <c r="P248" s="1"/>
      <c r="Q248" s="1"/>
      <c r="R248" s="1"/>
      <c r="S248" s="1"/>
      <c r="T248" s="1"/>
    </row>
    <row r="249" spans="1:20" ht="15" hidden="1" customHeight="1" outlineLevel="3">
      <c r="A249" s="62"/>
      <c r="B249" s="1"/>
      <c r="C249" s="1"/>
      <c r="D249" s="8"/>
      <c r="E249" s="16"/>
      <c r="F249" s="30" t="s">
        <v>30</v>
      </c>
      <c r="G249" s="449"/>
      <c r="H249" s="449"/>
      <c r="I249" s="449"/>
      <c r="J249" s="452"/>
      <c r="K249" s="88"/>
      <c r="L249" s="88"/>
      <c r="M249" s="88"/>
      <c r="N249" s="88"/>
      <c r="O249" s="88"/>
      <c r="P249" s="1"/>
      <c r="Q249" s="1"/>
      <c r="R249" s="1"/>
      <c r="S249" s="1"/>
      <c r="T249" s="1"/>
    </row>
    <row r="250" spans="1:20" ht="15" hidden="1" customHeight="1" outlineLevel="3">
      <c r="A250" s="62"/>
      <c r="B250" s="1"/>
      <c r="C250" s="1"/>
      <c r="D250" s="8"/>
      <c r="E250" s="16"/>
      <c r="F250" s="30" t="s">
        <v>31</v>
      </c>
      <c r="G250" s="449"/>
      <c r="H250" s="449"/>
      <c r="I250" s="449"/>
      <c r="J250" s="452"/>
      <c r="K250" s="88"/>
      <c r="L250" s="88"/>
      <c r="M250" s="88"/>
      <c r="N250" s="88"/>
      <c r="O250" s="88"/>
      <c r="P250" s="1"/>
      <c r="Q250" s="1"/>
      <c r="R250" s="1"/>
      <c r="S250" s="1"/>
      <c r="T250" s="1"/>
    </row>
    <row r="251" spans="1:20" ht="15" hidden="1" customHeight="1" outlineLevel="3">
      <c r="A251" s="62"/>
      <c r="B251" s="1"/>
      <c r="C251" s="1"/>
      <c r="D251" s="8"/>
      <c r="E251" s="16"/>
      <c r="F251" s="30" t="s">
        <v>32</v>
      </c>
      <c r="G251" s="449"/>
      <c r="H251" s="449"/>
      <c r="I251" s="449"/>
      <c r="J251" s="452"/>
      <c r="K251" s="88"/>
      <c r="L251" s="88"/>
      <c r="M251" s="88"/>
      <c r="N251" s="88"/>
      <c r="O251" s="88"/>
      <c r="P251" s="1"/>
      <c r="Q251" s="1"/>
      <c r="R251" s="1"/>
      <c r="S251" s="1"/>
      <c r="T251" s="1"/>
    </row>
    <row r="252" spans="1:20" ht="15" hidden="1" customHeight="1" outlineLevel="3">
      <c r="A252" s="62"/>
      <c r="B252" s="1"/>
      <c r="C252" s="1"/>
      <c r="D252" s="8"/>
      <c r="E252" s="16"/>
      <c r="F252" s="30" t="s">
        <v>33</v>
      </c>
      <c r="G252" s="449"/>
      <c r="H252" s="449"/>
      <c r="I252" s="449"/>
      <c r="J252" s="452"/>
      <c r="K252" s="88"/>
      <c r="L252" s="88"/>
      <c r="M252" s="88"/>
      <c r="N252" s="88"/>
      <c r="O252" s="88"/>
      <c r="P252" s="1"/>
      <c r="Q252" s="1"/>
      <c r="R252" s="1"/>
      <c r="S252" s="1"/>
      <c r="T252" s="1"/>
    </row>
    <row r="253" spans="1:20" ht="15" hidden="1" customHeight="1" outlineLevel="2" collapsed="1">
      <c r="A253" s="62"/>
      <c r="B253" s="1"/>
      <c r="C253" s="1"/>
      <c r="D253" s="5"/>
      <c r="E253" s="32" t="s">
        <v>29</v>
      </c>
      <c r="F253" s="450" t="s">
        <v>37</v>
      </c>
      <c r="G253" s="450"/>
      <c r="H253" s="450"/>
      <c r="I253" s="450"/>
      <c r="J253" s="451"/>
      <c r="K253" s="135" t="e">
        <f t="shared" ref="K253:L253" si="75">IF(AND(K254:K257),"Passed","Failed")</f>
        <v>#VALUE!</v>
      </c>
      <c r="L253" s="135" t="e">
        <f t="shared" si="75"/>
        <v>#VALUE!</v>
      </c>
      <c r="M253" s="135" t="e">
        <f>IF(AND(M254:M257),"Passed","Failed")</f>
        <v>#VALUE!</v>
      </c>
      <c r="N253" s="135" t="e">
        <f t="shared" ref="N253:O253" si="76">IF(AND(N254:N257),"Passed","Failed")</f>
        <v>#VALUE!</v>
      </c>
      <c r="O253" s="135" t="e">
        <f t="shared" si="76"/>
        <v>#VALUE!</v>
      </c>
      <c r="P253" s="1"/>
      <c r="Q253" s="1"/>
      <c r="R253" s="1"/>
      <c r="S253" s="1"/>
      <c r="T253" s="1"/>
    </row>
    <row r="254" spans="1:20" ht="15" hidden="1" customHeight="1" outlineLevel="3">
      <c r="A254" s="62"/>
      <c r="B254" s="1"/>
      <c r="C254" s="1"/>
      <c r="D254" s="5"/>
      <c r="E254" s="16"/>
      <c r="F254" s="31" t="s">
        <v>30</v>
      </c>
      <c r="G254" s="449"/>
      <c r="H254" s="449"/>
      <c r="I254" s="449"/>
      <c r="J254" s="452"/>
      <c r="K254" s="88"/>
      <c r="L254" s="88"/>
      <c r="M254" s="88"/>
      <c r="N254" s="88"/>
      <c r="O254" s="88"/>
      <c r="P254" s="1"/>
      <c r="Q254" s="1"/>
      <c r="R254" s="1"/>
      <c r="S254" s="1"/>
      <c r="T254" s="1"/>
    </row>
    <row r="255" spans="1:20" ht="15" hidden="1" customHeight="1" outlineLevel="3">
      <c r="A255" s="62"/>
      <c r="B255" s="1"/>
      <c r="C255" s="1"/>
      <c r="D255" s="5"/>
      <c r="E255" s="16"/>
      <c r="F255" s="31" t="s">
        <v>31</v>
      </c>
      <c r="G255" s="449"/>
      <c r="H255" s="449"/>
      <c r="I255" s="449"/>
      <c r="J255" s="452"/>
      <c r="K255" s="88"/>
      <c r="L255" s="88"/>
      <c r="M255" s="88"/>
      <c r="N255" s="88"/>
      <c r="O255" s="88"/>
      <c r="P255" s="1"/>
      <c r="Q255" s="1"/>
      <c r="R255" s="1"/>
      <c r="S255" s="1"/>
      <c r="T255" s="1"/>
    </row>
    <row r="256" spans="1:20" ht="15" hidden="1" customHeight="1" outlineLevel="3">
      <c r="A256" s="62"/>
      <c r="B256" s="1"/>
      <c r="C256" s="1"/>
      <c r="D256" s="1"/>
      <c r="E256" s="1"/>
      <c r="F256" s="31" t="s">
        <v>32</v>
      </c>
      <c r="G256" s="449"/>
      <c r="H256" s="449"/>
      <c r="I256" s="449"/>
      <c r="J256" s="452"/>
      <c r="K256" s="88"/>
      <c r="L256" s="88"/>
      <c r="M256" s="88"/>
      <c r="N256" s="88"/>
      <c r="O256" s="88"/>
      <c r="P256" s="1"/>
      <c r="Q256" s="1"/>
      <c r="R256" s="1"/>
      <c r="S256" s="1"/>
      <c r="T256" s="1"/>
    </row>
    <row r="257" spans="1:20" ht="15" hidden="1" customHeight="1" outlineLevel="3">
      <c r="A257" s="62"/>
      <c r="B257" s="1"/>
      <c r="C257" s="1"/>
      <c r="D257" s="1"/>
      <c r="E257" s="1"/>
      <c r="F257" s="31" t="s">
        <v>33</v>
      </c>
      <c r="G257" s="449"/>
      <c r="H257" s="449"/>
      <c r="I257" s="449"/>
      <c r="J257" s="452"/>
      <c r="K257" s="88"/>
      <c r="L257" s="88"/>
      <c r="M257" s="88"/>
      <c r="N257" s="88"/>
      <c r="O257" s="88"/>
      <c r="P257" s="1"/>
      <c r="Q257" s="1"/>
      <c r="R257" s="1"/>
      <c r="S257" s="1"/>
      <c r="T257" s="1"/>
    </row>
    <row r="258" spans="1:20" ht="15" hidden="1" customHeight="1" outlineLevel="2" collapsed="1">
      <c r="A258" s="62"/>
      <c r="B258" s="1"/>
      <c r="C258" s="1"/>
      <c r="D258" s="1"/>
      <c r="E258" s="1"/>
      <c r="F258" s="49"/>
      <c r="G258" s="50"/>
      <c r="H258" s="50"/>
      <c r="I258" s="50"/>
      <c r="J258" s="50"/>
      <c r="K258" s="88"/>
      <c r="L258" s="88"/>
      <c r="M258" s="88"/>
      <c r="N258" s="88"/>
      <c r="O258" s="88"/>
      <c r="P258" s="1"/>
      <c r="Q258" s="1"/>
      <c r="R258" s="1"/>
      <c r="S258" s="1"/>
      <c r="T258" s="1"/>
    </row>
    <row r="259" spans="1:20" ht="18.75" customHeight="1" outlineLevel="1" collapsed="1">
      <c r="A259" s="62"/>
      <c r="B259" s="1"/>
      <c r="C259" s="1"/>
      <c r="D259" s="1"/>
      <c r="E259" s="9"/>
      <c r="F259" s="15"/>
      <c r="G259" s="14"/>
      <c r="H259" s="1"/>
      <c r="I259" s="1"/>
      <c r="J259" s="1"/>
      <c r="K259" s="460" t="s">
        <v>16</v>
      </c>
      <c r="L259" s="460"/>
      <c r="M259" s="447" t="s">
        <v>20</v>
      </c>
      <c r="N259" s="447"/>
      <c r="O259" s="447"/>
      <c r="P259" s="1"/>
      <c r="Q259" s="1"/>
      <c r="R259" s="1"/>
      <c r="S259" s="1"/>
      <c r="T259" s="1"/>
    </row>
    <row r="260" spans="1:20" outlineLevel="1">
      <c r="A260" s="62"/>
      <c r="B260" s="20" t="s">
        <v>8</v>
      </c>
      <c r="C260" s="455" t="s">
        <v>9</v>
      </c>
      <c r="D260" s="455"/>
      <c r="E260" s="455"/>
      <c r="F260" s="455"/>
      <c r="G260" s="455"/>
      <c r="H260" s="455"/>
      <c r="I260" s="455"/>
      <c r="J260" s="456"/>
      <c r="K260" s="89" t="s">
        <v>19</v>
      </c>
      <c r="L260" s="89" t="s">
        <v>15</v>
      </c>
      <c r="M260" s="89" t="s">
        <v>18</v>
      </c>
      <c r="N260" s="89" t="s">
        <v>44</v>
      </c>
      <c r="O260" s="89" t="s">
        <v>156</v>
      </c>
      <c r="P260" s="1"/>
      <c r="Q260" s="1"/>
      <c r="R260" s="1"/>
      <c r="S260" s="1"/>
      <c r="T260" s="1"/>
    </row>
    <row r="261" spans="1:20" outlineLevel="1">
      <c r="A261" s="62"/>
      <c r="B261" s="27" t="s">
        <v>21</v>
      </c>
      <c r="C261" s="28" t="s">
        <v>22</v>
      </c>
      <c r="D261" s="457" t="s">
        <v>25</v>
      </c>
      <c r="E261" s="458"/>
      <c r="F261" s="458"/>
      <c r="G261" s="458"/>
      <c r="H261" s="458"/>
      <c r="I261" s="458"/>
      <c r="J261" s="458"/>
      <c r="K261" s="107" t="e">
        <f>IF(AND(K263="Passed",K268="Passed"),"For review","For completion")</f>
        <v>#VALUE!</v>
      </c>
      <c r="L261" s="107" t="e">
        <f>IF(AND(L263="Passed",L268="Passed"),"QA ready","For completion")</f>
        <v>#VALUE!</v>
      </c>
      <c r="M261" s="107" t="e">
        <f>IF(AND(M263="Passed",M268="Passed"),"For verification","For completion")</f>
        <v>#VALUE!</v>
      </c>
      <c r="N261" s="107" t="e">
        <f>IF(AND(N263="Passed",N268="Passed"),"Demo ready","For completion")</f>
        <v>#VALUE!</v>
      </c>
      <c r="O261" s="107" t="e">
        <f>IF(AND(O263="Passed",O268="Passed"),"Production ready","For completion")</f>
        <v>#VALUE!</v>
      </c>
      <c r="P261" s="1"/>
      <c r="Q261" s="1"/>
      <c r="R261" s="1"/>
      <c r="S261" s="1"/>
      <c r="T261" s="1"/>
    </row>
    <row r="262" spans="1:20" ht="15" hidden="1" customHeight="1" outlineLevel="2">
      <c r="A262" s="62"/>
      <c r="B262" s="5"/>
      <c r="C262" s="8"/>
      <c r="D262" s="29" t="s">
        <v>23</v>
      </c>
      <c r="E262" s="453" t="s">
        <v>26</v>
      </c>
      <c r="F262" s="454"/>
      <c r="G262" s="454"/>
      <c r="H262" s="454"/>
      <c r="I262" s="454"/>
      <c r="J262" s="454"/>
      <c r="K262" s="108"/>
      <c r="L262" s="108"/>
      <c r="M262" s="88"/>
      <c r="N262" s="88"/>
      <c r="O262" s="88"/>
      <c r="P262" s="1"/>
      <c r="Q262" s="1"/>
      <c r="R262" s="1"/>
      <c r="S262" s="1"/>
      <c r="T262" s="1"/>
    </row>
    <row r="263" spans="1:20" ht="15" hidden="1" customHeight="1" outlineLevel="2">
      <c r="A263" s="62"/>
      <c r="B263" s="5"/>
      <c r="C263" s="8"/>
      <c r="D263" s="8"/>
      <c r="E263" s="33" t="s">
        <v>24</v>
      </c>
      <c r="F263" s="450" t="s">
        <v>34</v>
      </c>
      <c r="G263" s="450"/>
      <c r="H263" s="450"/>
      <c r="I263" s="450"/>
      <c r="J263" s="451"/>
      <c r="K263" s="306" t="e">
        <f t="shared" ref="K263:L263" si="77">IF(AND(K264:K267),"Passed","Failed")</f>
        <v>#VALUE!</v>
      </c>
      <c r="L263" s="306" t="e">
        <f t="shared" si="77"/>
        <v>#VALUE!</v>
      </c>
      <c r="M263" s="306" t="e">
        <f>IF(AND(M264:M267),"Passed","Failed")</f>
        <v>#VALUE!</v>
      </c>
      <c r="N263" s="306" t="e">
        <f t="shared" ref="N263:O263" si="78">IF(AND(N264:N267),"Passed","Failed")</f>
        <v>#VALUE!</v>
      </c>
      <c r="O263" s="306" t="e">
        <f t="shared" si="78"/>
        <v>#VALUE!</v>
      </c>
      <c r="P263" s="1"/>
      <c r="Q263" s="1"/>
      <c r="R263" s="1"/>
      <c r="S263" s="1"/>
      <c r="T263" s="1"/>
    </row>
    <row r="264" spans="1:20" ht="15" hidden="1" customHeight="1" outlineLevel="3">
      <c r="A264" s="62"/>
      <c r="B264" s="5"/>
      <c r="C264" s="8"/>
      <c r="D264" s="8"/>
      <c r="E264" s="16"/>
      <c r="F264" s="38" t="str">
        <f>HYPERLINK("#'Test Case'!A1","n.1.1.1")</f>
        <v>n.1.1.1</v>
      </c>
      <c r="G264" s="449" t="s">
        <v>68</v>
      </c>
      <c r="H264" s="449"/>
      <c r="I264" s="449"/>
      <c r="J264" s="452"/>
      <c r="K264" s="88"/>
      <c r="L264" s="88"/>
      <c r="M264" s="88"/>
      <c r="N264" s="88"/>
      <c r="O264" s="88"/>
      <c r="P264" s="1"/>
      <c r="Q264" s="1"/>
      <c r="R264" s="1"/>
      <c r="S264" s="1"/>
      <c r="T264" s="1"/>
    </row>
    <row r="265" spans="1:20" ht="15" hidden="1" customHeight="1" outlineLevel="3">
      <c r="A265" s="62"/>
      <c r="B265" s="5"/>
      <c r="C265" s="8"/>
      <c r="D265" s="8"/>
      <c r="E265" s="16"/>
      <c r="F265" s="38" t="str">
        <f>HYPERLINK("#'Test Case'!A1","n.1.1.2")</f>
        <v>n.1.1.2</v>
      </c>
      <c r="G265" s="449" t="s">
        <v>69</v>
      </c>
      <c r="H265" s="449"/>
      <c r="I265" s="449"/>
      <c r="J265" s="452"/>
      <c r="K265" s="88"/>
      <c r="L265" s="88"/>
      <c r="M265" s="88"/>
      <c r="N265" s="88"/>
      <c r="O265" s="88"/>
      <c r="P265" s="1"/>
      <c r="Q265" s="1"/>
      <c r="R265" s="1"/>
      <c r="S265" s="1"/>
      <c r="T265" s="1"/>
    </row>
    <row r="266" spans="1:20" ht="15" hidden="1" customHeight="1" outlineLevel="3">
      <c r="A266" s="62"/>
      <c r="B266" s="5"/>
      <c r="C266" s="8"/>
      <c r="D266" s="8"/>
      <c r="E266" s="16"/>
      <c r="F266" s="38" t="str">
        <f>HYPERLINK("#'Test Case'!A1","n.1.1.3")</f>
        <v>n.1.1.3</v>
      </c>
      <c r="G266" s="449" t="s">
        <v>70</v>
      </c>
      <c r="H266" s="449"/>
      <c r="I266" s="449"/>
      <c r="J266" s="452"/>
      <c r="K266" s="88"/>
      <c r="L266" s="88"/>
      <c r="M266" s="88"/>
      <c r="N266" s="88"/>
      <c r="O266" s="88"/>
      <c r="P266" s="1"/>
      <c r="Q266" s="1"/>
      <c r="R266" s="1"/>
      <c r="S266" s="1"/>
      <c r="T266" s="1"/>
    </row>
    <row r="267" spans="1:20" ht="15" hidden="1" customHeight="1" outlineLevel="3">
      <c r="A267" s="62"/>
      <c r="B267" s="5"/>
      <c r="C267" s="8"/>
      <c r="D267" s="8"/>
      <c r="E267" s="16"/>
      <c r="F267" s="38" t="str">
        <f>HYPERLINK("#'Test Case'!A1","n.1.1.4")</f>
        <v>n.1.1.4</v>
      </c>
      <c r="G267" s="449" t="s">
        <v>71</v>
      </c>
      <c r="H267" s="449"/>
      <c r="I267" s="449"/>
      <c r="J267" s="452"/>
      <c r="K267" s="88"/>
      <c r="L267" s="88"/>
      <c r="M267" s="88"/>
      <c r="N267" s="88"/>
      <c r="O267" s="88"/>
      <c r="P267" s="1"/>
      <c r="Q267" s="1"/>
      <c r="R267" s="1"/>
      <c r="S267" s="1"/>
      <c r="T267" s="1"/>
    </row>
    <row r="268" spans="1:20" ht="15" hidden="1" customHeight="1" outlineLevel="2" collapsed="1">
      <c r="A268" s="62"/>
      <c r="B268" s="5"/>
      <c r="C268" s="5"/>
      <c r="D268" s="5"/>
      <c r="E268" s="32" t="s">
        <v>28</v>
      </c>
      <c r="F268" s="450" t="s">
        <v>35</v>
      </c>
      <c r="G268" s="450"/>
      <c r="H268" s="450"/>
      <c r="I268" s="450"/>
      <c r="J268" s="451"/>
      <c r="K268" s="135" t="e">
        <f t="shared" ref="K268:L268" si="79">IF(AND(K269:K272),"Passed","Failed")</f>
        <v>#VALUE!</v>
      </c>
      <c r="L268" s="135" t="e">
        <f t="shared" si="79"/>
        <v>#VALUE!</v>
      </c>
      <c r="M268" s="135" t="e">
        <f>IF(AND(M269:M272),"Passed","Failed")</f>
        <v>#VALUE!</v>
      </c>
      <c r="N268" s="135" t="e">
        <f t="shared" ref="N268:O268" si="80">IF(AND(N269:N272),"Passed","Failed")</f>
        <v>#VALUE!</v>
      </c>
      <c r="O268" s="135" t="e">
        <f t="shared" si="80"/>
        <v>#VALUE!</v>
      </c>
      <c r="P268" s="1"/>
      <c r="Q268" s="1"/>
      <c r="R268" s="1"/>
      <c r="S268" s="1"/>
      <c r="T268" s="1"/>
    </row>
    <row r="269" spans="1:20" ht="15" hidden="1" customHeight="1" outlineLevel="3">
      <c r="A269" s="62"/>
      <c r="B269" s="5"/>
      <c r="C269" s="5"/>
      <c r="D269" s="5"/>
      <c r="E269" s="16"/>
      <c r="F269" s="38" t="str">
        <f>HYPERLINK("#'Test Case'!A1","n.2.1.1")</f>
        <v>n.2.1.1</v>
      </c>
      <c r="G269" s="449" t="s">
        <v>68</v>
      </c>
      <c r="H269" s="449"/>
      <c r="I269" s="449"/>
      <c r="J269" s="452"/>
      <c r="K269" s="88"/>
      <c r="L269" s="88"/>
      <c r="M269" s="88"/>
      <c r="N269" s="88"/>
      <c r="O269" s="88"/>
      <c r="P269" s="1"/>
      <c r="Q269" s="1"/>
      <c r="R269" s="1"/>
      <c r="S269" s="1"/>
      <c r="T269" s="1"/>
    </row>
    <row r="270" spans="1:20" ht="15" hidden="1" customHeight="1" outlineLevel="3">
      <c r="A270" s="62"/>
      <c r="B270" s="5"/>
      <c r="C270" s="5"/>
      <c r="D270" s="5"/>
      <c r="E270" s="16"/>
      <c r="F270" s="38" t="str">
        <f>HYPERLINK("#'Test Case'!A1","n.2.1.2")</f>
        <v>n.2.1.2</v>
      </c>
      <c r="G270" s="449" t="s">
        <v>69</v>
      </c>
      <c r="H270" s="449"/>
      <c r="I270" s="449"/>
      <c r="J270" s="452"/>
      <c r="K270" s="88"/>
      <c r="L270" s="88"/>
      <c r="M270" s="88"/>
      <c r="N270" s="88"/>
      <c r="O270" s="88"/>
      <c r="P270" s="1"/>
      <c r="Q270" s="1"/>
      <c r="R270" s="1"/>
      <c r="S270" s="1"/>
      <c r="T270" s="1"/>
    </row>
    <row r="271" spans="1:20" ht="15" hidden="1" customHeight="1" outlineLevel="3">
      <c r="A271" s="62"/>
      <c r="B271" s="1"/>
      <c r="C271" s="1"/>
      <c r="D271" s="1"/>
      <c r="E271" s="1"/>
      <c r="F271" s="38" t="str">
        <f>HYPERLINK("#'Test Case'!A1","n.2.1.3")</f>
        <v>n.2.1.3</v>
      </c>
      <c r="G271" s="449" t="s">
        <v>70</v>
      </c>
      <c r="H271" s="449"/>
      <c r="I271" s="449"/>
      <c r="J271" s="452"/>
      <c r="K271" s="88"/>
      <c r="L271" s="88"/>
      <c r="M271" s="88"/>
      <c r="N271" s="88"/>
      <c r="O271" s="88"/>
      <c r="P271" s="1"/>
      <c r="Q271" s="1"/>
      <c r="R271" s="1"/>
      <c r="S271" s="1"/>
      <c r="T271" s="1"/>
    </row>
    <row r="272" spans="1:20" ht="15" hidden="1" customHeight="1" outlineLevel="3">
      <c r="A272" s="62"/>
      <c r="B272" s="1"/>
      <c r="C272" s="1"/>
      <c r="D272" s="1"/>
      <c r="E272" s="1"/>
      <c r="F272" s="38" t="str">
        <f>HYPERLINK("#'Test Case'!A1","n.2.1.4")</f>
        <v>n.2.1.4</v>
      </c>
      <c r="G272" s="449" t="s">
        <v>71</v>
      </c>
      <c r="H272" s="449"/>
      <c r="I272" s="449"/>
      <c r="J272" s="452"/>
      <c r="K272" s="88"/>
      <c r="L272" s="88"/>
      <c r="M272" s="88"/>
      <c r="N272" s="88"/>
      <c r="O272" s="88"/>
      <c r="P272" s="1"/>
      <c r="Q272" s="1"/>
      <c r="R272" s="1"/>
      <c r="S272" s="1"/>
      <c r="T272" s="1"/>
    </row>
    <row r="273" spans="1:23" ht="15" hidden="1" customHeight="1" outlineLevel="2" collapsed="1">
      <c r="A273" s="62"/>
      <c r="B273" s="1"/>
      <c r="C273" s="1"/>
      <c r="D273" s="29" t="s">
        <v>27</v>
      </c>
      <c r="E273" s="453" t="s">
        <v>26</v>
      </c>
      <c r="F273" s="454"/>
      <c r="G273" s="454"/>
      <c r="H273" s="454"/>
      <c r="I273" s="454"/>
      <c r="J273" s="454"/>
      <c r="K273" s="108"/>
      <c r="L273" s="108"/>
      <c r="M273" s="88"/>
      <c r="N273" s="88"/>
      <c r="O273" s="88"/>
      <c r="P273" s="1"/>
      <c r="Q273" s="1"/>
      <c r="R273" s="1"/>
      <c r="S273" s="1"/>
      <c r="T273" s="1"/>
    </row>
    <row r="274" spans="1:23" ht="15" hidden="1" customHeight="1" outlineLevel="2">
      <c r="A274" s="62"/>
      <c r="B274" s="1"/>
      <c r="C274" s="1"/>
      <c r="D274" s="8"/>
      <c r="E274" s="33" t="s">
        <v>28</v>
      </c>
      <c r="F274" s="450" t="s">
        <v>36</v>
      </c>
      <c r="G274" s="450"/>
      <c r="H274" s="450"/>
      <c r="I274" s="450"/>
      <c r="J274" s="451"/>
      <c r="K274" s="135" t="e">
        <f t="shared" ref="K274:L274" si="81">IF(AND(K275:K278),"Passed","Failed")</f>
        <v>#VALUE!</v>
      </c>
      <c r="L274" s="135" t="e">
        <f t="shared" si="81"/>
        <v>#VALUE!</v>
      </c>
      <c r="M274" s="135" t="e">
        <f>IF(AND(M275:M278),"Passed","Failed")</f>
        <v>#VALUE!</v>
      </c>
      <c r="N274" s="135" t="e">
        <f t="shared" ref="N274:O274" si="82">IF(AND(N275:N278),"Passed","Failed")</f>
        <v>#VALUE!</v>
      </c>
      <c r="O274" s="135" t="e">
        <f t="shared" si="82"/>
        <v>#VALUE!</v>
      </c>
      <c r="P274" s="1"/>
      <c r="Q274" s="1"/>
      <c r="R274" s="1"/>
      <c r="S274" s="1"/>
      <c r="T274" s="1"/>
    </row>
    <row r="275" spans="1:23" ht="15" hidden="1" customHeight="1" outlineLevel="3">
      <c r="A275" s="62"/>
      <c r="B275" s="1"/>
      <c r="C275" s="1"/>
      <c r="D275" s="8"/>
      <c r="E275" s="16"/>
      <c r="F275" s="30" t="s">
        <v>30</v>
      </c>
      <c r="G275" s="449"/>
      <c r="H275" s="449"/>
      <c r="I275" s="449"/>
      <c r="J275" s="452"/>
      <c r="K275" s="88"/>
      <c r="L275" s="88"/>
      <c r="M275" s="88"/>
      <c r="N275" s="88"/>
      <c r="O275" s="88"/>
      <c r="P275" s="1"/>
      <c r="Q275" s="1"/>
      <c r="R275" s="1"/>
      <c r="S275" s="1"/>
      <c r="T275" s="1"/>
    </row>
    <row r="276" spans="1:23" ht="15" hidden="1" customHeight="1" outlineLevel="3">
      <c r="A276" s="62"/>
      <c r="B276" s="1"/>
      <c r="C276" s="1"/>
      <c r="D276" s="8"/>
      <c r="E276" s="16"/>
      <c r="F276" s="30" t="s">
        <v>31</v>
      </c>
      <c r="G276" s="449"/>
      <c r="H276" s="449"/>
      <c r="I276" s="449"/>
      <c r="J276" s="452"/>
      <c r="K276" s="88"/>
      <c r="L276" s="88"/>
      <c r="M276" s="88"/>
      <c r="N276" s="88"/>
      <c r="O276" s="88"/>
      <c r="P276" s="1"/>
      <c r="Q276" s="1"/>
      <c r="R276" s="1"/>
      <c r="S276" s="1"/>
      <c r="T276" s="1"/>
    </row>
    <row r="277" spans="1:23" ht="15" hidden="1" customHeight="1" outlineLevel="3">
      <c r="A277" s="62"/>
      <c r="B277" s="1"/>
      <c r="C277" s="1"/>
      <c r="D277" s="8"/>
      <c r="E277" s="16"/>
      <c r="F277" s="30" t="s">
        <v>32</v>
      </c>
      <c r="G277" s="449"/>
      <c r="H277" s="449"/>
      <c r="I277" s="449"/>
      <c r="J277" s="452"/>
      <c r="K277" s="88"/>
      <c r="L277" s="88"/>
      <c r="M277" s="88"/>
      <c r="N277" s="88"/>
      <c r="O277" s="88"/>
      <c r="P277" s="1"/>
      <c r="Q277" s="1"/>
      <c r="R277" s="1"/>
      <c r="S277" s="1"/>
      <c r="T277" s="1"/>
    </row>
    <row r="278" spans="1:23" ht="15" hidden="1" customHeight="1" outlineLevel="3">
      <c r="A278" s="62"/>
      <c r="B278" s="1"/>
      <c r="C278" s="1"/>
      <c r="D278" s="8"/>
      <c r="E278" s="16"/>
      <c r="F278" s="30" t="s">
        <v>33</v>
      </c>
      <c r="G278" s="449"/>
      <c r="H278" s="449"/>
      <c r="I278" s="449"/>
      <c r="J278" s="452"/>
      <c r="K278" s="88"/>
      <c r="L278" s="88"/>
      <c r="M278" s="88"/>
      <c r="N278" s="88"/>
      <c r="O278" s="88"/>
      <c r="P278" s="1"/>
      <c r="Q278" s="1"/>
      <c r="R278" s="1"/>
      <c r="S278" s="1"/>
      <c r="T278" s="1"/>
    </row>
    <row r="279" spans="1:23" ht="15" hidden="1" customHeight="1" outlineLevel="2" collapsed="1">
      <c r="A279" s="62"/>
      <c r="B279" s="1"/>
      <c r="C279" s="1"/>
      <c r="D279" s="5"/>
      <c r="E279" s="32" t="s">
        <v>29</v>
      </c>
      <c r="F279" s="450" t="s">
        <v>37</v>
      </c>
      <c r="G279" s="450"/>
      <c r="H279" s="450"/>
      <c r="I279" s="450"/>
      <c r="J279" s="451"/>
      <c r="K279" s="135" t="e">
        <f t="shared" ref="K279:L279" si="83">IF(AND(K280:K283),"Passed","Failed")</f>
        <v>#VALUE!</v>
      </c>
      <c r="L279" s="135" t="e">
        <f t="shared" si="83"/>
        <v>#VALUE!</v>
      </c>
      <c r="M279" s="135" t="e">
        <f>IF(AND(M280:M283),"Passed","Failed")</f>
        <v>#VALUE!</v>
      </c>
      <c r="N279" s="135" t="e">
        <f t="shared" ref="N279:O279" si="84">IF(AND(N280:N283),"Passed","Failed")</f>
        <v>#VALUE!</v>
      </c>
      <c r="O279" s="135" t="e">
        <f t="shared" si="84"/>
        <v>#VALUE!</v>
      </c>
      <c r="P279" s="1"/>
      <c r="Q279" s="1"/>
      <c r="R279" s="1"/>
      <c r="S279" s="1"/>
      <c r="T279" s="1"/>
      <c r="U279" s="1"/>
      <c r="V279" s="1"/>
      <c r="W279" s="1"/>
    </row>
    <row r="280" spans="1:23" ht="15" hidden="1" customHeight="1" outlineLevel="3">
      <c r="A280" s="62"/>
      <c r="B280" s="1"/>
      <c r="C280" s="1"/>
      <c r="D280" s="5"/>
      <c r="E280" s="16"/>
      <c r="F280" s="31" t="s">
        <v>30</v>
      </c>
      <c r="G280" s="449"/>
      <c r="H280" s="449"/>
      <c r="I280" s="449"/>
      <c r="J280" s="452"/>
      <c r="K280" s="88"/>
      <c r="L280" s="88"/>
      <c r="M280" s="88"/>
      <c r="N280" s="88"/>
      <c r="O280" s="88"/>
      <c r="P280" s="1"/>
      <c r="Q280" s="1"/>
      <c r="R280" s="1"/>
      <c r="S280" s="1"/>
      <c r="T280" s="1"/>
      <c r="U280" s="1"/>
      <c r="V280" s="1"/>
      <c r="W280" s="1"/>
    </row>
    <row r="281" spans="1:23" ht="15" hidden="1" customHeight="1" outlineLevel="3">
      <c r="A281" s="62"/>
      <c r="B281" s="1"/>
      <c r="C281" s="1"/>
      <c r="D281" s="5"/>
      <c r="E281" s="16"/>
      <c r="F281" s="31" t="s">
        <v>31</v>
      </c>
      <c r="G281" s="449"/>
      <c r="H281" s="449"/>
      <c r="I281" s="449"/>
      <c r="J281" s="452"/>
      <c r="K281" s="88"/>
      <c r="L281" s="88"/>
      <c r="M281" s="88"/>
      <c r="N281" s="88"/>
      <c r="O281" s="88"/>
      <c r="P281" s="1"/>
      <c r="Q281" s="1"/>
      <c r="R281" s="1"/>
      <c r="S281" s="1"/>
      <c r="T281" s="1"/>
      <c r="U281" s="1"/>
      <c r="V281" s="1"/>
      <c r="W281" s="1"/>
    </row>
    <row r="282" spans="1:23" ht="15" hidden="1" customHeight="1" outlineLevel="3">
      <c r="A282" s="62"/>
      <c r="B282" s="1"/>
      <c r="C282" s="1"/>
      <c r="D282" s="1"/>
      <c r="E282" s="1"/>
      <c r="F282" s="31" t="s">
        <v>32</v>
      </c>
      <c r="G282" s="449"/>
      <c r="H282" s="449"/>
      <c r="I282" s="449"/>
      <c r="J282" s="452"/>
      <c r="K282" s="88"/>
      <c r="L282" s="88"/>
      <c r="M282" s="88"/>
      <c r="N282" s="88"/>
      <c r="O282" s="88"/>
      <c r="P282" s="1"/>
      <c r="Q282" s="1"/>
      <c r="R282" s="1"/>
      <c r="S282" s="1"/>
      <c r="T282" s="1"/>
      <c r="U282" s="1"/>
      <c r="V282" s="1"/>
      <c r="W282" s="1"/>
    </row>
    <row r="283" spans="1:23" ht="15" hidden="1" customHeight="1" outlineLevel="3">
      <c r="A283" s="62"/>
      <c r="B283" s="1"/>
      <c r="C283" s="1"/>
      <c r="D283" s="1"/>
      <c r="E283" s="1"/>
      <c r="F283" s="31" t="s">
        <v>33</v>
      </c>
      <c r="G283" s="449"/>
      <c r="H283" s="449"/>
      <c r="I283" s="449"/>
      <c r="J283" s="452"/>
      <c r="K283" s="88"/>
      <c r="L283" s="88"/>
      <c r="M283" s="88"/>
      <c r="N283" s="88"/>
      <c r="O283" s="88"/>
      <c r="P283" s="1"/>
      <c r="Q283" s="1"/>
      <c r="R283" s="1"/>
      <c r="S283" s="1"/>
      <c r="T283" s="1"/>
      <c r="U283" s="1"/>
      <c r="V283" s="1"/>
      <c r="W283" s="1"/>
    </row>
    <row r="284" spans="1:23" ht="15" hidden="1" customHeight="1" outlineLevel="2" collapsed="1">
      <c r="A284" s="62"/>
      <c r="B284" s="1"/>
      <c r="C284" s="1"/>
      <c r="D284" s="1"/>
      <c r="E284" s="1"/>
      <c r="F284" s="1"/>
      <c r="G284" s="1"/>
      <c r="H284" s="1"/>
      <c r="I284" s="1"/>
      <c r="J284" s="1"/>
      <c r="K284" s="88"/>
      <c r="L284" s="88"/>
      <c r="M284" s="88"/>
      <c r="N284" s="88"/>
      <c r="O284" s="88"/>
      <c r="P284" s="1"/>
      <c r="Q284" s="1"/>
      <c r="R284" s="1"/>
      <c r="S284" s="1"/>
      <c r="T284" s="1"/>
      <c r="U284" s="1"/>
      <c r="V284" s="1"/>
      <c r="W284" s="1"/>
    </row>
    <row r="285" spans="1:23" ht="18.75" outlineLevel="1" collapsed="1">
      <c r="A285" s="62"/>
      <c r="B285" s="1"/>
      <c r="C285" s="1"/>
      <c r="D285" s="1"/>
      <c r="E285" s="9"/>
      <c r="F285" s="15"/>
      <c r="G285" s="14"/>
      <c r="H285" s="1"/>
      <c r="I285" s="1"/>
      <c r="J285" s="1"/>
      <c r="K285" s="460" t="s">
        <v>16</v>
      </c>
      <c r="L285" s="460"/>
      <c r="M285" s="447" t="s">
        <v>20</v>
      </c>
      <c r="N285" s="447"/>
      <c r="O285" s="447"/>
      <c r="P285" s="1"/>
      <c r="Q285" s="1"/>
      <c r="R285" s="1"/>
      <c r="S285" s="1"/>
      <c r="T285" s="1"/>
    </row>
    <row r="286" spans="1:23" outlineLevel="1">
      <c r="A286" s="62"/>
      <c r="B286" s="20" t="s">
        <v>8</v>
      </c>
      <c r="C286" s="455" t="s">
        <v>9</v>
      </c>
      <c r="D286" s="455"/>
      <c r="E286" s="455"/>
      <c r="F286" s="455"/>
      <c r="G286" s="455"/>
      <c r="H286" s="455"/>
      <c r="I286" s="455"/>
      <c r="J286" s="456"/>
      <c r="K286" s="89" t="s">
        <v>19</v>
      </c>
      <c r="L286" s="89" t="s">
        <v>15</v>
      </c>
      <c r="M286" s="89" t="s">
        <v>18</v>
      </c>
      <c r="N286" s="89" t="s">
        <v>44</v>
      </c>
      <c r="O286" s="89" t="s">
        <v>156</v>
      </c>
      <c r="P286" s="1"/>
      <c r="Q286" s="1"/>
      <c r="R286" s="1"/>
      <c r="S286" s="1"/>
      <c r="T286" s="1"/>
    </row>
    <row r="287" spans="1:23" outlineLevel="1">
      <c r="A287" s="62"/>
      <c r="B287" s="27" t="s">
        <v>21</v>
      </c>
      <c r="C287" s="28" t="s">
        <v>22</v>
      </c>
      <c r="D287" s="457" t="s">
        <v>25</v>
      </c>
      <c r="E287" s="458"/>
      <c r="F287" s="458"/>
      <c r="G287" s="458"/>
      <c r="H287" s="458"/>
      <c r="I287" s="458"/>
      <c r="J287" s="458"/>
      <c r="K287" s="107" t="e">
        <f>IF(AND(K289="Passed",K294="Passed"),"For review","For completion")</f>
        <v>#VALUE!</v>
      </c>
      <c r="L287" s="107" t="e">
        <f>IF(AND(L289="Passed",L294="Passed"),"QA ready","For completion")</f>
        <v>#VALUE!</v>
      </c>
      <c r="M287" s="107" t="e">
        <f>IF(AND(M289="Passed",M294="Passed"),"For verification","For completion")</f>
        <v>#VALUE!</v>
      </c>
      <c r="N287" s="107" t="e">
        <f>IF(AND(N289="Passed",N294="Passed"),"Demo ready","For completion")</f>
        <v>#VALUE!</v>
      </c>
      <c r="O287" s="107" t="e">
        <f>IF(AND(O289="Passed",O294="Passed"),"Production ready","For completion")</f>
        <v>#VALUE!</v>
      </c>
      <c r="P287" s="1"/>
      <c r="Q287" s="1"/>
      <c r="R287" s="1"/>
      <c r="S287" s="1"/>
      <c r="T287" s="1"/>
    </row>
    <row r="288" spans="1:23" ht="15" hidden="1" customHeight="1" outlineLevel="2">
      <c r="A288" s="62"/>
      <c r="B288" s="5"/>
      <c r="C288" s="8"/>
      <c r="D288" s="29" t="s">
        <v>23</v>
      </c>
      <c r="E288" s="453" t="s">
        <v>26</v>
      </c>
      <c r="F288" s="454"/>
      <c r="G288" s="454"/>
      <c r="H288" s="454"/>
      <c r="I288" s="454"/>
      <c r="J288" s="454"/>
      <c r="K288" s="108"/>
      <c r="L288" s="108"/>
      <c r="M288" s="88"/>
      <c r="N288" s="88"/>
      <c r="O288" s="88"/>
      <c r="P288" s="1"/>
      <c r="Q288" s="1"/>
      <c r="R288" s="1"/>
      <c r="S288" s="1"/>
      <c r="T288" s="1"/>
    </row>
    <row r="289" spans="1:20" ht="15" hidden="1" customHeight="1" outlineLevel="2">
      <c r="A289" s="62"/>
      <c r="B289" s="5"/>
      <c r="C289" s="8"/>
      <c r="D289" s="8"/>
      <c r="E289" s="33" t="s">
        <v>24</v>
      </c>
      <c r="F289" s="450" t="s">
        <v>34</v>
      </c>
      <c r="G289" s="450"/>
      <c r="H289" s="450"/>
      <c r="I289" s="450"/>
      <c r="J289" s="451"/>
      <c r="K289" s="306" t="e">
        <f t="shared" ref="K289:L289" si="85">IF(AND(K290:K293),"Passed","Failed")</f>
        <v>#VALUE!</v>
      </c>
      <c r="L289" s="306" t="e">
        <f t="shared" si="85"/>
        <v>#VALUE!</v>
      </c>
      <c r="M289" s="306" t="e">
        <f>IF(AND(M290:M293),"Passed","Failed")</f>
        <v>#VALUE!</v>
      </c>
      <c r="N289" s="306" t="e">
        <f t="shared" ref="N289:O289" si="86">IF(AND(N290:N293),"Passed","Failed")</f>
        <v>#VALUE!</v>
      </c>
      <c r="O289" s="306" t="e">
        <f t="shared" si="86"/>
        <v>#VALUE!</v>
      </c>
      <c r="P289" s="1"/>
      <c r="Q289" s="1"/>
      <c r="R289" s="1"/>
      <c r="S289" s="1"/>
      <c r="T289" s="1"/>
    </row>
    <row r="290" spans="1:20" ht="15" hidden="1" customHeight="1" outlineLevel="3">
      <c r="A290" s="62"/>
      <c r="B290" s="5"/>
      <c r="C290" s="8"/>
      <c r="D290" s="8"/>
      <c r="E290" s="16"/>
      <c r="F290" s="38" t="str">
        <f>HYPERLINK("#'Test Case'!A1","n.1.1.1")</f>
        <v>n.1.1.1</v>
      </c>
      <c r="G290" s="449" t="s">
        <v>68</v>
      </c>
      <c r="H290" s="449"/>
      <c r="I290" s="449"/>
      <c r="J290" s="452"/>
      <c r="K290" s="88"/>
      <c r="L290" s="88"/>
      <c r="M290" s="88"/>
      <c r="N290" s="88"/>
      <c r="O290" s="88"/>
      <c r="P290" s="1"/>
      <c r="Q290" s="1"/>
      <c r="R290" s="1"/>
      <c r="S290" s="1"/>
      <c r="T290" s="1"/>
    </row>
    <row r="291" spans="1:20" ht="15" hidden="1" customHeight="1" outlineLevel="3">
      <c r="A291" s="62"/>
      <c r="B291" s="5"/>
      <c r="C291" s="8"/>
      <c r="D291" s="8"/>
      <c r="E291" s="16"/>
      <c r="F291" s="38" t="str">
        <f>HYPERLINK("#'Test Case'!A1","n.1.1.2")</f>
        <v>n.1.1.2</v>
      </c>
      <c r="G291" s="449" t="s">
        <v>69</v>
      </c>
      <c r="H291" s="449"/>
      <c r="I291" s="449"/>
      <c r="J291" s="452"/>
      <c r="K291" s="88"/>
      <c r="L291" s="88"/>
      <c r="M291" s="88"/>
      <c r="N291" s="88"/>
      <c r="O291" s="88"/>
      <c r="P291" s="1"/>
      <c r="Q291" s="1"/>
      <c r="R291" s="1"/>
      <c r="S291" s="1"/>
      <c r="T291" s="1"/>
    </row>
    <row r="292" spans="1:20" ht="15" hidden="1" customHeight="1" outlineLevel="3">
      <c r="A292" s="62"/>
      <c r="B292" s="5"/>
      <c r="C292" s="8"/>
      <c r="D292" s="8"/>
      <c r="E292" s="16"/>
      <c r="F292" s="38" t="str">
        <f>HYPERLINK("#'Test Case'!A1","n.1.1.3")</f>
        <v>n.1.1.3</v>
      </c>
      <c r="G292" s="449" t="s">
        <v>70</v>
      </c>
      <c r="H292" s="449"/>
      <c r="I292" s="449"/>
      <c r="J292" s="452"/>
      <c r="K292" s="88"/>
      <c r="L292" s="88"/>
      <c r="M292" s="88"/>
      <c r="N292" s="88"/>
      <c r="O292" s="88"/>
      <c r="P292" s="1"/>
      <c r="Q292" s="1"/>
      <c r="R292" s="1"/>
      <c r="S292" s="1"/>
      <c r="T292" s="1"/>
    </row>
    <row r="293" spans="1:20" ht="15" hidden="1" customHeight="1" outlineLevel="3">
      <c r="A293" s="62"/>
      <c r="B293" s="5"/>
      <c r="C293" s="8"/>
      <c r="D293" s="8"/>
      <c r="E293" s="16"/>
      <c r="F293" s="38" t="str">
        <f>HYPERLINK("#'Test Case'!A1","n.1.1.4")</f>
        <v>n.1.1.4</v>
      </c>
      <c r="G293" s="449" t="s">
        <v>71</v>
      </c>
      <c r="H293" s="449"/>
      <c r="I293" s="449"/>
      <c r="J293" s="452"/>
      <c r="K293" s="88"/>
      <c r="L293" s="88"/>
      <c r="M293" s="88"/>
      <c r="N293" s="88"/>
      <c r="O293" s="88"/>
      <c r="P293" s="1"/>
      <c r="Q293" s="1"/>
      <c r="R293" s="1"/>
      <c r="S293" s="1"/>
      <c r="T293" s="1"/>
    </row>
    <row r="294" spans="1:20" ht="15" hidden="1" customHeight="1" outlineLevel="2" collapsed="1">
      <c r="A294" s="62"/>
      <c r="B294" s="5"/>
      <c r="C294" s="5"/>
      <c r="D294" s="5"/>
      <c r="E294" s="32" t="s">
        <v>28</v>
      </c>
      <c r="F294" s="450" t="s">
        <v>35</v>
      </c>
      <c r="G294" s="450"/>
      <c r="H294" s="450"/>
      <c r="I294" s="450"/>
      <c r="J294" s="451"/>
      <c r="K294" s="135" t="e">
        <f t="shared" ref="K294:L294" si="87">IF(AND(K295:K298),"Passed","Failed")</f>
        <v>#VALUE!</v>
      </c>
      <c r="L294" s="135" t="e">
        <f t="shared" si="87"/>
        <v>#VALUE!</v>
      </c>
      <c r="M294" s="135" t="e">
        <f>IF(AND(M295:M298),"Passed","Failed")</f>
        <v>#VALUE!</v>
      </c>
      <c r="N294" s="135" t="e">
        <f t="shared" ref="N294:O294" si="88">IF(AND(N295:N298),"Passed","Failed")</f>
        <v>#VALUE!</v>
      </c>
      <c r="O294" s="135" t="e">
        <f t="shared" si="88"/>
        <v>#VALUE!</v>
      </c>
      <c r="P294" s="1"/>
      <c r="Q294" s="1"/>
      <c r="R294" s="1"/>
      <c r="S294" s="1"/>
      <c r="T294" s="1"/>
    </row>
    <row r="295" spans="1:20" ht="15" hidden="1" customHeight="1" outlineLevel="3">
      <c r="A295" s="62"/>
      <c r="B295" s="5"/>
      <c r="C295" s="5"/>
      <c r="D295" s="5"/>
      <c r="E295" s="16"/>
      <c r="F295" s="38" t="str">
        <f>HYPERLINK("#'Test Case'!A1","n.2.1.1")</f>
        <v>n.2.1.1</v>
      </c>
      <c r="G295" s="449" t="s">
        <v>68</v>
      </c>
      <c r="H295" s="449"/>
      <c r="I295" s="449"/>
      <c r="J295" s="452"/>
      <c r="K295" s="88"/>
      <c r="L295" s="88"/>
      <c r="M295" s="88"/>
      <c r="N295" s="88"/>
      <c r="O295" s="88"/>
      <c r="P295" s="1"/>
      <c r="Q295" s="1"/>
      <c r="R295" s="1"/>
      <c r="S295" s="1"/>
      <c r="T295" s="1"/>
    </row>
    <row r="296" spans="1:20" ht="15" hidden="1" customHeight="1" outlineLevel="3">
      <c r="A296" s="62"/>
      <c r="B296" s="5"/>
      <c r="C296" s="5"/>
      <c r="D296" s="5"/>
      <c r="E296" s="16"/>
      <c r="F296" s="38" t="str">
        <f>HYPERLINK("#'Test Case'!A1","n.2.1.2")</f>
        <v>n.2.1.2</v>
      </c>
      <c r="G296" s="449" t="s">
        <v>69</v>
      </c>
      <c r="H296" s="449"/>
      <c r="I296" s="449"/>
      <c r="J296" s="452"/>
      <c r="K296" s="88"/>
      <c r="L296" s="88"/>
      <c r="M296" s="88"/>
      <c r="N296" s="88"/>
      <c r="O296" s="88"/>
      <c r="P296" s="1"/>
      <c r="Q296" s="1"/>
      <c r="R296" s="1"/>
      <c r="S296" s="1"/>
      <c r="T296" s="1"/>
    </row>
    <row r="297" spans="1:20" ht="15" hidden="1" customHeight="1" outlineLevel="3">
      <c r="A297" s="62"/>
      <c r="B297" s="1"/>
      <c r="C297" s="1"/>
      <c r="D297" s="1"/>
      <c r="E297" s="1"/>
      <c r="F297" s="38" t="str">
        <f>HYPERLINK("#'Test Case'!A1","n.2.1.3")</f>
        <v>n.2.1.3</v>
      </c>
      <c r="G297" s="449" t="s">
        <v>70</v>
      </c>
      <c r="H297" s="449"/>
      <c r="I297" s="449"/>
      <c r="J297" s="452"/>
      <c r="K297" s="88"/>
      <c r="L297" s="88"/>
      <c r="M297" s="88"/>
      <c r="N297" s="88"/>
      <c r="O297" s="88"/>
      <c r="P297" s="1"/>
      <c r="Q297" s="1"/>
      <c r="R297" s="1"/>
      <c r="S297" s="1"/>
      <c r="T297" s="1"/>
    </row>
    <row r="298" spans="1:20" ht="15" hidden="1" customHeight="1" outlineLevel="3">
      <c r="A298" s="62"/>
      <c r="B298" s="1"/>
      <c r="C298" s="1"/>
      <c r="D298" s="1"/>
      <c r="E298" s="1"/>
      <c r="F298" s="38" t="str">
        <f>HYPERLINK("#'Test Case'!A1","n.2.1.4")</f>
        <v>n.2.1.4</v>
      </c>
      <c r="G298" s="449" t="s">
        <v>71</v>
      </c>
      <c r="H298" s="449"/>
      <c r="I298" s="449"/>
      <c r="J298" s="452"/>
      <c r="K298" s="88"/>
      <c r="L298" s="88"/>
      <c r="M298" s="88"/>
      <c r="N298" s="88"/>
      <c r="O298" s="88"/>
      <c r="P298" s="1"/>
      <c r="Q298" s="1"/>
      <c r="R298" s="1"/>
      <c r="S298" s="1"/>
      <c r="T298" s="1"/>
    </row>
    <row r="299" spans="1:20" ht="15" hidden="1" customHeight="1" outlineLevel="2" collapsed="1">
      <c r="A299" s="62"/>
      <c r="B299" s="1"/>
      <c r="C299" s="1"/>
      <c r="D299" s="29" t="s">
        <v>27</v>
      </c>
      <c r="E299" s="453" t="s">
        <v>26</v>
      </c>
      <c r="F299" s="454"/>
      <c r="G299" s="454"/>
      <c r="H299" s="454"/>
      <c r="I299" s="454"/>
      <c r="J299" s="454"/>
      <c r="K299" s="108"/>
      <c r="L299" s="108"/>
      <c r="M299" s="88"/>
      <c r="N299" s="88"/>
      <c r="O299" s="88"/>
      <c r="P299" s="1"/>
      <c r="Q299" s="1"/>
      <c r="R299" s="1"/>
      <c r="S299" s="1"/>
      <c r="T299" s="1"/>
    </row>
    <row r="300" spans="1:20" ht="15" hidden="1" customHeight="1" outlineLevel="2">
      <c r="A300" s="62"/>
      <c r="B300" s="1"/>
      <c r="C300" s="1"/>
      <c r="D300" s="8"/>
      <c r="E300" s="33" t="s">
        <v>28</v>
      </c>
      <c r="F300" s="450" t="s">
        <v>36</v>
      </c>
      <c r="G300" s="450"/>
      <c r="H300" s="450"/>
      <c r="I300" s="450"/>
      <c r="J300" s="451"/>
      <c r="K300" s="135" t="e">
        <f t="shared" ref="K300:L300" si="89">IF(AND(K301:K304),"Passed","Failed")</f>
        <v>#VALUE!</v>
      </c>
      <c r="L300" s="135" t="e">
        <f t="shared" si="89"/>
        <v>#VALUE!</v>
      </c>
      <c r="M300" s="135" t="e">
        <f>IF(AND(M301:M304),"Passed","Failed")</f>
        <v>#VALUE!</v>
      </c>
      <c r="N300" s="135" t="e">
        <f t="shared" ref="N300:O300" si="90">IF(AND(N301:N304),"Passed","Failed")</f>
        <v>#VALUE!</v>
      </c>
      <c r="O300" s="135" t="e">
        <f t="shared" si="90"/>
        <v>#VALUE!</v>
      </c>
      <c r="P300" s="1"/>
      <c r="Q300" s="1"/>
      <c r="R300" s="1"/>
      <c r="S300" s="1"/>
      <c r="T300" s="1"/>
    </row>
    <row r="301" spans="1:20" ht="15" hidden="1" customHeight="1" outlineLevel="3">
      <c r="A301" s="62"/>
      <c r="B301" s="1"/>
      <c r="C301" s="1"/>
      <c r="D301" s="8"/>
      <c r="E301" s="16"/>
      <c r="F301" s="30" t="s">
        <v>30</v>
      </c>
      <c r="G301" s="449"/>
      <c r="H301" s="449"/>
      <c r="I301" s="449"/>
      <c r="J301" s="452"/>
      <c r="K301" s="88"/>
      <c r="L301" s="88"/>
      <c r="M301" s="88"/>
      <c r="N301" s="88"/>
      <c r="O301" s="88"/>
      <c r="P301" s="1"/>
      <c r="Q301" s="1"/>
      <c r="R301" s="1"/>
      <c r="S301" s="1"/>
      <c r="T301" s="1"/>
    </row>
    <row r="302" spans="1:20" ht="15" hidden="1" customHeight="1" outlineLevel="3">
      <c r="A302" s="62"/>
      <c r="B302" s="1"/>
      <c r="C302" s="1"/>
      <c r="D302" s="8"/>
      <c r="E302" s="16"/>
      <c r="F302" s="30" t="s">
        <v>31</v>
      </c>
      <c r="G302" s="449"/>
      <c r="H302" s="449"/>
      <c r="I302" s="449"/>
      <c r="J302" s="452"/>
      <c r="K302" s="88"/>
      <c r="L302" s="88"/>
      <c r="M302" s="88"/>
      <c r="N302" s="88"/>
      <c r="O302" s="88"/>
      <c r="P302" s="1"/>
      <c r="Q302" s="1"/>
      <c r="R302" s="1"/>
      <c r="S302" s="1"/>
      <c r="T302" s="1"/>
    </row>
    <row r="303" spans="1:20" ht="15" hidden="1" customHeight="1" outlineLevel="3">
      <c r="A303" s="62"/>
      <c r="B303" s="1"/>
      <c r="C303" s="1"/>
      <c r="D303" s="8"/>
      <c r="E303" s="16"/>
      <c r="F303" s="30" t="s">
        <v>32</v>
      </c>
      <c r="G303" s="449"/>
      <c r="H303" s="449"/>
      <c r="I303" s="449"/>
      <c r="J303" s="452"/>
      <c r="K303" s="88"/>
      <c r="L303" s="88"/>
      <c r="M303" s="88"/>
      <c r="N303" s="88"/>
      <c r="O303" s="88"/>
      <c r="P303" s="1"/>
      <c r="Q303" s="1"/>
      <c r="R303" s="1"/>
      <c r="S303" s="1"/>
      <c r="T303" s="1"/>
    </row>
    <row r="304" spans="1:20" ht="15" hidden="1" customHeight="1" outlineLevel="3">
      <c r="A304" s="62"/>
      <c r="B304" s="1"/>
      <c r="C304" s="1"/>
      <c r="D304" s="8"/>
      <c r="E304" s="16"/>
      <c r="F304" s="30" t="s">
        <v>33</v>
      </c>
      <c r="G304" s="449"/>
      <c r="H304" s="449"/>
      <c r="I304" s="449"/>
      <c r="J304" s="452"/>
      <c r="K304" s="88"/>
      <c r="L304" s="88"/>
      <c r="M304" s="88"/>
      <c r="N304" s="88"/>
      <c r="O304" s="88"/>
      <c r="P304" s="1"/>
      <c r="Q304" s="1"/>
      <c r="R304" s="1"/>
      <c r="S304" s="1"/>
      <c r="T304" s="1"/>
    </row>
    <row r="305" spans="1:23" ht="15" hidden="1" customHeight="1" outlineLevel="2" collapsed="1">
      <c r="A305" s="62"/>
      <c r="B305" s="1"/>
      <c r="C305" s="1"/>
      <c r="D305" s="5"/>
      <c r="E305" s="32" t="s">
        <v>29</v>
      </c>
      <c r="F305" s="450" t="s">
        <v>37</v>
      </c>
      <c r="G305" s="450"/>
      <c r="H305" s="450"/>
      <c r="I305" s="450"/>
      <c r="J305" s="451"/>
      <c r="K305" s="135" t="e">
        <f t="shared" ref="K305:L305" si="91">IF(AND(K306:K309),"Passed","Failed")</f>
        <v>#VALUE!</v>
      </c>
      <c r="L305" s="135" t="e">
        <f t="shared" si="91"/>
        <v>#VALUE!</v>
      </c>
      <c r="M305" s="135" t="e">
        <f>IF(AND(M306:M309),"Passed","Failed")</f>
        <v>#VALUE!</v>
      </c>
      <c r="N305" s="135" t="e">
        <f t="shared" ref="N305:O305" si="92">IF(AND(N306:N309),"Passed","Failed")</f>
        <v>#VALUE!</v>
      </c>
      <c r="O305" s="135" t="e">
        <f t="shared" si="92"/>
        <v>#VALUE!</v>
      </c>
      <c r="P305" s="1"/>
      <c r="Q305" s="1"/>
      <c r="R305" s="1"/>
      <c r="S305" s="1"/>
      <c r="T305" s="1"/>
      <c r="U305" s="1"/>
      <c r="V305" s="1"/>
      <c r="W305" s="1"/>
    </row>
    <row r="306" spans="1:23" ht="15" hidden="1" customHeight="1" outlineLevel="3">
      <c r="A306" s="62"/>
      <c r="B306" s="1"/>
      <c r="C306" s="1"/>
      <c r="D306" s="5"/>
      <c r="E306" s="16"/>
      <c r="F306" s="31" t="s">
        <v>30</v>
      </c>
      <c r="G306" s="449"/>
      <c r="H306" s="449"/>
      <c r="I306" s="449"/>
      <c r="J306" s="452"/>
      <c r="K306" s="88"/>
      <c r="L306" s="88"/>
      <c r="M306" s="88"/>
      <c r="N306" s="88"/>
      <c r="O306" s="88"/>
      <c r="P306" s="1"/>
      <c r="Q306" s="1"/>
      <c r="R306" s="1"/>
      <c r="S306" s="1"/>
      <c r="T306" s="1"/>
      <c r="U306" s="1"/>
      <c r="V306" s="1"/>
      <c r="W306" s="1"/>
    </row>
    <row r="307" spans="1:23" ht="15" hidden="1" customHeight="1" outlineLevel="3">
      <c r="A307" s="62"/>
      <c r="B307" s="1"/>
      <c r="C307" s="1"/>
      <c r="D307" s="5"/>
      <c r="E307" s="16"/>
      <c r="F307" s="31" t="s">
        <v>31</v>
      </c>
      <c r="G307" s="449"/>
      <c r="H307" s="449"/>
      <c r="I307" s="449"/>
      <c r="J307" s="452"/>
      <c r="K307" s="88"/>
      <c r="L307" s="88"/>
      <c r="M307" s="88"/>
      <c r="N307" s="88"/>
      <c r="O307" s="88"/>
      <c r="P307" s="1"/>
      <c r="Q307" s="1"/>
      <c r="R307" s="1"/>
      <c r="S307" s="1"/>
      <c r="T307" s="1"/>
      <c r="U307" s="1"/>
      <c r="V307" s="1"/>
      <c r="W307" s="1"/>
    </row>
    <row r="308" spans="1:23" ht="15" hidden="1" customHeight="1" outlineLevel="3">
      <c r="A308" s="62"/>
      <c r="B308" s="1"/>
      <c r="C308" s="1"/>
      <c r="D308" s="1"/>
      <c r="E308" s="1"/>
      <c r="F308" s="31" t="s">
        <v>32</v>
      </c>
      <c r="G308" s="449"/>
      <c r="H308" s="449"/>
      <c r="I308" s="449"/>
      <c r="J308" s="452"/>
      <c r="K308" s="88"/>
      <c r="L308" s="88"/>
      <c r="M308" s="88"/>
      <c r="N308" s="88"/>
      <c r="O308" s="88"/>
      <c r="P308" s="1"/>
      <c r="Q308" s="1"/>
      <c r="R308" s="1"/>
      <c r="S308" s="1"/>
      <c r="T308" s="1"/>
      <c r="U308" s="1"/>
      <c r="V308" s="1"/>
      <c r="W308" s="1"/>
    </row>
    <row r="309" spans="1:23" ht="15" hidden="1" customHeight="1" outlineLevel="3">
      <c r="A309" s="62"/>
      <c r="B309" s="1"/>
      <c r="C309" s="1"/>
      <c r="D309" s="1"/>
      <c r="E309" s="1"/>
      <c r="F309" s="31" t="s">
        <v>33</v>
      </c>
      <c r="G309" s="449"/>
      <c r="H309" s="449"/>
      <c r="I309" s="449"/>
      <c r="J309" s="452"/>
      <c r="K309" s="88"/>
      <c r="L309" s="88"/>
      <c r="M309" s="88"/>
      <c r="N309" s="88"/>
      <c r="O309" s="88"/>
      <c r="P309" s="1"/>
      <c r="Q309" s="1"/>
      <c r="R309" s="1"/>
      <c r="S309" s="1"/>
      <c r="T309" s="1"/>
      <c r="U309" s="1"/>
      <c r="V309" s="1"/>
      <c r="W309" s="1"/>
    </row>
    <row r="310" spans="1:23" ht="15" hidden="1" customHeight="1" outlineLevel="2" collapsed="1">
      <c r="A310" s="62"/>
      <c r="B310" s="1"/>
      <c r="C310" s="1"/>
      <c r="D310" s="1"/>
      <c r="E310" s="1"/>
      <c r="F310" s="1"/>
      <c r="G310" s="1"/>
      <c r="H310" s="1"/>
      <c r="I310" s="1"/>
      <c r="J310" s="1"/>
      <c r="K310" s="88"/>
      <c r="L310" s="88"/>
      <c r="M310" s="88"/>
      <c r="N310" s="88"/>
      <c r="O310" s="88"/>
      <c r="P310" s="1"/>
      <c r="Q310" s="1"/>
      <c r="R310" s="1"/>
      <c r="S310" s="1"/>
      <c r="T310" s="1"/>
      <c r="U310" s="1"/>
      <c r="V310" s="1"/>
      <c r="W310" s="1"/>
    </row>
    <row r="311" spans="1:23" ht="18.75" outlineLevel="1" collapsed="1">
      <c r="A311" s="62"/>
      <c r="B311" s="1"/>
      <c r="C311" s="1"/>
      <c r="D311" s="1"/>
      <c r="E311" s="9"/>
      <c r="F311" s="15"/>
      <c r="G311" s="14"/>
      <c r="H311" s="1"/>
      <c r="I311" s="1"/>
      <c r="J311" s="1"/>
      <c r="K311" s="460" t="s">
        <v>16</v>
      </c>
      <c r="L311" s="460"/>
      <c r="M311" s="447" t="s">
        <v>20</v>
      </c>
      <c r="N311" s="447"/>
      <c r="O311" s="447"/>
      <c r="P311" s="1"/>
      <c r="Q311" s="1"/>
      <c r="R311" s="1"/>
      <c r="S311" s="1"/>
      <c r="T311" s="1"/>
    </row>
    <row r="312" spans="1:23" outlineLevel="1">
      <c r="A312" s="62"/>
      <c r="B312" s="20" t="s">
        <v>8</v>
      </c>
      <c r="C312" s="455" t="s">
        <v>9</v>
      </c>
      <c r="D312" s="455"/>
      <c r="E312" s="455"/>
      <c r="F312" s="455"/>
      <c r="G312" s="455"/>
      <c r="H312" s="455"/>
      <c r="I312" s="455"/>
      <c r="J312" s="456"/>
      <c r="K312" s="89" t="s">
        <v>19</v>
      </c>
      <c r="L312" s="89" t="s">
        <v>15</v>
      </c>
      <c r="M312" s="89" t="s">
        <v>18</v>
      </c>
      <c r="N312" s="89" t="s">
        <v>44</v>
      </c>
      <c r="O312" s="89" t="s">
        <v>156</v>
      </c>
      <c r="P312" s="1"/>
      <c r="Q312" s="1"/>
      <c r="R312" s="1"/>
      <c r="S312" s="1"/>
      <c r="T312" s="1"/>
    </row>
    <row r="313" spans="1:23" outlineLevel="1">
      <c r="A313" s="62"/>
      <c r="B313" s="27" t="s">
        <v>21</v>
      </c>
      <c r="C313" s="28" t="s">
        <v>22</v>
      </c>
      <c r="D313" s="457" t="s">
        <v>25</v>
      </c>
      <c r="E313" s="458"/>
      <c r="F313" s="458"/>
      <c r="G313" s="458"/>
      <c r="H313" s="458"/>
      <c r="I313" s="458"/>
      <c r="J313" s="458"/>
      <c r="K313" s="107" t="e">
        <f>IF(AND(K315="Passed",K320="Passed"),"For review","For completion")</f>
        <v>#VALUE!</v>
      </c>
      <c r="L313" s="107" t="e">
        <f>IF(AND(L315="Passed",L320="Passed"),"QA ready","For completion")</f>
        <v>#VALUE!</v>
      </c>
      <c r="M313" s="107" t="e">
        <f>IF(AND(M315="Passed",M320="Passed"),"For verification","For completion")</f>
        <v>#VALUE!</v>
      </c>
      <c r="N313" s="107" t="e">
        <f>IF(AND(N315="Passed",N320="Passed"),"Demo ready","For completion")</f>
        <v>#VALUE!</v>
      </c>
      <c r="O313" s="107" t="e">
        <f>IF(AND(O315="Passed",O320="Passed"),"Production ready","For completion")</f>
        <v>#VALUE!</v>
      </c>
      <c r="P313" s="1"/>
      <c r="Q313" s="1"/>
      <c r="R313" s="1"/>
      <c r="S313" s="1"/>
      <c r="T313" s="1"/>
    </row>
    <row r="314" spans="1:23" ht="15" hidden="1" customHeight="1" outlineLevel="2">
      <c r="A314" s="62"/>
      <c r="B314" s="5"/>
      <c r="C314" s="8"/>
      <c r="D314" s="29" t="s">
        <v>23</v>
      </c>
      <c r="E314" s="453" t="s">
        <v>26</v>
      </c>
      <c r="F314" s="454"/>
      <c r="G314" s="454"/>
      <c r="H314" s="454"/>
      <c r="I314" s="454"/>
      <c r="J314" s="454"/>
      <c r="K314" s="108"/>
      <c r="L314" s="108"/>
      <c r="M314" s="88"/>
      <c r="N314" s="88"/>
      <c r="O314" s="88"/>
      <c r="P314" s="1"/>
      <c r="Q314" s="1"/>
      <c r="R314" s="1"/>
      <c r="S314" s="1"/>
      <c r="T314" s="1"/>
    </row>
    <row r="315" spans="1:23" ht="15" hidden="1" customHeight="1" outlineLevel="2">
      <c r="A315" s="62"/>
      <c r="B315" s="5"/>
      <c r="C315" s="8"/>
      <c r="D315" s="8"/>
      <c r="E315" s="33" t="s">
        <v>24</v>
      </c>
      <c r="F315" s="450" t="s">
        <v>34</v>
      </c>
      <c r="G315" s="450"/>
      <c r="H315" s="450"/>
      <c r="I315" s="450"/>
      <c r="J315" s="451"/>
      <c r="K315" s="306" t="e">
        <f t="shared" ref="K315:L315" si="93">IF(AND(K316:K319),"Passed","Failed")</f>
        <v>#VALUE!</v>
      </c>
      <c r="L315" s="306" t="e">
        <f t="shared" si="93"/>
        <v>#VALUE!</v>
      </c>
      <c r="M315" s="306" t="e">
        <f>IF(AND(M316:M319),"Passed","Failed")</f>
        <v>#VALUE!</v>
      </c>
      <c r="N315" s="306" t="e">
        <f t="shared" ref="N315:O315" si="94">IF(AND(N316:N319),"Passed","Failed")</f>
        <v>#VALUE!</v>
      </c>
      <c r="O315" s="306" t="e">
        <f t="shared" si="94"/>
        <v>#VALUE!</v>
      </c>
      <c r="P315" s="1"/>
      <c r="Q315" s="1"/>
      <c r="R315" s="1"/>
      <c r="S315" s="1"/>
      <c r="T315" s="1"/>
    </row>
    <row r="316" spans="1:23" ht="15" hidden="1" customHeight="1" outlineLevel="3">
      <c r="A316" s="62"/>
      <c r="B316" s="5"/>
      <c r="C316" s="8"/>
      <c r="D316" s="8"/>
      <c r="E316" s="16"/>
      <c r="F316" s="38" t="str">
        <f>HYPERLINK("#'Test Case'!A1","n.1.1.1")</f>
        <v>n.1.1.1</v>
      </c>
      <c r="G316" s="449" t="s">
        <v>68</v>
      </c>
      <c r="H316" s="449"/>
      <c r="I316" s="449"/>
      <c r="J316" s="452"/>
      <c r="K316" s="88"/>
      <c r="L316" s="88"/>
      <c r="M316" s="88"/>
      <c r="N316" s="88"/>
      <c r="O316" s="88"/>
      <c r="P316" s="1"/>
      <c r="Q316" s="1"/>
      <c r="R316" s="1"/>
      <c r="S316" s="1"/>
      <c r="T316" s="1"/>
    </row>
    <row r="317" spans="1:23" ht="15" hidden="1" customHeight="1" outlineLevel="3">
      <c r="A317" s="62"/>
      <c r="B317" s="5"/>
      <c r="C317" s="8"/>
      <c r="D317" s="8"/>
      <c r="E317" s="16"/>
      <c r="F317" s="38" t="str">
        <f>HYPERLINK("#'Test Case'!A1","n.1.1.2")</f>
        <v>n.1.1.2</v>
      </c>
      <c r="G317" s="449" t="s">
        <v>69</v>
      </c>
      <c r="H317" s="449"/>
      <c r="I317" s="449"/>
      <c r="J317" s="452"/>
      <c r="K317" s="88"/>
      <c r="L317" s="88"/>
      <c r="M317" s="88"/>
      <c r="N317" s="88"/>
      <c r="O317" s="88"/>
      <c r="P317" s="1"/>
      <c r="Q317" s="1"/>
      <c r="R317" s="1"/>
      <c r="S317" s="1"/>
      <c r="T317" s="1"/>
    </row>
    <row r="318" spans="1:23" ht="15" hidden="1" customHeight="1" outlineLevel="3">
      <c r="A318" s="62"/>
      <c r="B318" s="5"/>
      <c r="C318" s="8"/>
      <c r="D318" s="8"/>
      <c r="E318" s="16"/>
      <c r="F318" s="38" t="str">
        <f>HYPERLINK("#'Test Case'!A1","n.1.1.3")</f>
        <v>n.1.1.3</v>
      </c>
      <c r="G318" s="449" t="s">
        <v>70</v>
      </c>
      <c r="H318" s="449"/>
      <c r="I318" s="449"/>
      <c r="J318" s="452"/>
      <c r="K318" s="88"/>
      <c r="L318" s="88"/>
      <c r="M318" s="88"/>
      <c r="N318" s="88"/>
      <c r="O318" s="88"/>
      <c r="P318" s="1"/>
      <c r="Q318" s="1"/>
      <c r="R318" s="1"/>
      <c r="S318" s="1"/>
      <c r="T318" s="1"/>
    </row>
    <row r="319" spans="1:23" ht="15" hidden="1" customHeight="1" outlineLevel="3">
      <c r="A319" s="62"/>
      <c r="B319" s="5"/>
      <c r="C319" s="8"/>
      <c r="D319" s="8"/>
      <c r="E319" s="16"/>
      <c r="F319" s="38" t="str">
        <f>HYPERLINK("#'Test Case'!A1","n.1.1.4")</f>
        <v>n.1.1.4</v>
      </c>
      <c r="G319" s="449" t="s">
        <v>71</v>
      </c>
      <c r="H319" s="449"/>
      <c r="I319" s="449"/>
      <c r="J319" s="452"/>
      <c r="K319" s="88"/>
      <c r="L319" s="88"/>
      <c r="M319" s="88"/>
      <c r="N319" s="88"/>
      <c r="O319" s="88"/>
      <c r="P319" s="1"/>
      <c r="Q319" s="1"/>
      <c r="R319" s="1"/>
      <c r="S319" s="1"/>
      <c r="T319" s="1"/>
    </row>
    <row r="320" spans="1:23" ht="15" hidden="1" customHeight="1" outlineLevel="2" collapsed="1">
      <c r="A320" s="62"/>
      <c r="B320" s="5"/>
      <c r="C320" s="5"/>
      <c r="D320" s="5"/>
      <c r="E320" s="32" t="s">
        <v>28</v>
      </c>
      <c r="F320" s="450" t="s">
        <v>35</v>
      </c>
      <c r="G320" s="450"/>
      <c r="H320" s="450"/>
      <c r="I320" s="450"/>
      <c r="J320" s="451"/>
      <c r="K320" s="135" t="e">
        <f t="shared" ref="K320:L320" si="95">IF(AND(K321:K324),"Passed","Failed")</f>
        <v>#VALUE!</v>
      </c>
      <c r="L320" s="135" t="e">
        <f t="shared" si="95"/>
        <v>#VALUE!</v>
      </c>
      <c r="M320" s="135" t="e">
        <f>IF(AND(M321:M324),"Passed","Failed")</f>
        <v>#VALUE!</v>
      </c>
      <c r="N320" s="135" t="e">
        <f t="shared" ref="N320:O320" si="96">IF(AND(N321:N324),"Passed","Failed")</f>
        <v>#VALUE!</v>
      </c>
      <c r="O320" s="135" t="e">
        <f t="shared" si="96"/>
        <v>#VALUE!</v>
      </c>
      <c r="P320" s="1"/>
      <c r="Q320" s="1"/>
      <c r="R320" s="1"/>
      <c r="S320" s="1"/>
      <c r="T320" s="1"/>
    </row>
    <row r="321" spans="1:23" ht="15" hidden="1" customHeight="1" outlineLevel="3">
      <c r="A321" s="62"/>
      <c r="B321" s="5"/>
      <c r="C321" s="5"/>
      <c r="D321" s="5"/>
      <c r="E321" s="16"/>
      <c r="F321" s="38" t="str">
        <f>HYPERLINK("#'Test Case'!A1","n.2.1.1")</f>
        <v>n.2.1.1</v>
      </c>
      <c r="G321" s="449" t="s">
        <v>68</v>
      </c>
      <c r="H321" s="449"/>
      <c r="I321" s="449"/>
      <c r="J321" s="452"/>
      <c r="K321" s="88"/>
      <c r="L321" s="88"/>
      <c r="M321" s="88"/>
      <c r="N321" s="88"/>
      <c r="O321" s="88"/>
      <c r="P321" s="1"/>
      <c r="Q321" s="1"/>
      <c r="R321" s="1"/>
      <c r="S321" s="1"/>
      <c r="T321" s="1"/>
    </row>
    <row r="322" spans="1:23" ht="15" hidden="1" customHeight="1" outlineLevel="3">
      <c r="A322" s="62"/>
      <c r="B322" s="5"/>
      <c r="C322" s="5"/>
      <c r="D322" s="5"/>
      <c r="E322" s="16"/>
      <c r="F322" s="38" t="str">
        <f>HYPERLINK("#'Test Case'!A1","n.2.1.2")</f>
        <v>n.2.1.2</v>
      </c>
      <c r="G322" s="449" t="s">
        <v>69</v>
      </c>
      <c r="H322" s="449"/>
      <c r="I322" s="449"/>
      <c r="J322" s="452"/>
      <c r="K322" s="88"/>
      <c r="L322" s="88"/>
      <c r="M322" s="88"/>
      <c r="N322" s="88"/>
      <c r="O322" s="88"/>
      <c r="P322" s="1"/>
      <c r="Q322" s="1"/>
      <c r="R322" s="1"/>
      <c r="S322" s="1"/>
      <c r="T322" s="1"/>
    </row>
    <row r="323" spans="1:23" ht="15" hidden="1" customHeight="1" outlineLevel="3">
      <c r="A323" s="62"/>
      <c r="B323" s="1"/>
      <c r="C323" s="1"/>
      <c r="D323" s="1"/>
      <c r="E323" s="1"/>
      <c r="F323" s="38" t="str">
        <f>HYPERLINK("#'Test Case'!A1","n.2.1.3")</f>
        <v>n.2.1.3</v>
      </c>
      <c r="G323" s="449" t="s">
        <v>70</v>
      </c>
      <c r="H323" s="449"/>
      <c r="I323" s="449"/>
      <c r="J323" s="452"/>
      <c r="K323" s="88"/>
      <c r="L323" s="88"/>
      <c r="M323" s="88"/>
      <c r="N323" s="88"/>
      <c r="O323" s="88"/>
      <c r="P323" s="1"/>
      <c r="Q323" s="1"/>
      <c r="R323" s="1"/>
      <c r="S323" s="1"/>
      <c r="T323" s="1"/>
    </row>
    <row r="324" spans="1:23" ht="15" hidden="1" customHeight="1" outlineLevel="3">
      <c r="A324" s="62"/>
      <c r="B324" s="1"/>
      <c r="C324" s="1"/>
      <c r="D324" s="1"/>
      <c r="E324" s="1"/>
      <c r="F324" s="38" t="str">
        <f>HYPERLINK("#'Test Case'!A1","n.2.1.4")</f>
        <v>n.2.1.4</v>
      </c>
      <c r="G324" s="449" t="s">
        <v>71</v>
      </c>
      <c r="H324" s="449"/>
      <c r="I324" s="449"/>
      <c r="J324" s="452"/>
      <c r="K324" s="88"/>
      <c r="L324" s="88"/>
      <c r="M324" s="88"/>
      <c r="N324" s="88"/>
      <c r="O324" s="88"/>
      <c r="P324" s="1"/>
      <c r="Q324" s="1"/>
      <c r="R324" s="1"/>
      <c r="S324" s="1"/>
      <c r="T324" s="1"/>
    </row>
    <row r="325" spans="1:23" ht="15" hidden="1" customHeight="1" outlineLevel="2" collapsed="1">
      <c r="A325" s="62"/>
      <c r="B325" s="1"/>
      <c r="C325" s="1"/>
      <c r="D325" s="29" t="s">
        <v>27</v>
      </c>
      <c r="E325" s="453" t="s">
        <v>26</v>
      </c>
      <c r="F325" s="454"/>
      <c r="G325" s="454"/>
      <c r="H325" s="454"/>
      <c r="I325" s="454"/>
      <c r="J325" s="454"/>
      <c r="K325" s="108"/>
      <c r="L325" s="108"/>
      <c r="M325" s="88"/>
      <c r="N325" s="88"/>
      <c r="O325" s="88"/>
      <c r="P325" s="1"/>
      <c r="Q325" s="1"/>
      <c r="R325" s="1"/>
      <c r="S325" s="1"/>
      <c r="T325" s="1"/>
    </row>
    <row r="326" spans="1:23" ht="15" hidden="1" customHeight="1" outlineLevel="2">
      <c r="A326" s="62"/>
      <c r="B326" s="1"/>
      <c r="C326" s="1"/>
      <c r="D326" s="8"/>
      <c r="E326" s="33" t="s">
        <v>28</v>
      </c>
      <c r="F326" s="450" t="s">
        <v>36</v>
      </c>
      <c r="G326" s="450"/>
      <c r="H326" s="450"/>
      <c r="I326" s="450"/>
      <c r="J326" s="451"/>
      <c r="K326" s="135" t="e">
        <f t="shared" ref="K326:L326" si="97">IF(AND(K327:K330),"Passed","Failed")</f>
        <v>#VALUE!</v>
      </c>
      <c r="L326" s="135" t="e">
        <f t="shared" si="97"/>
        <v>#VALUE!</v>
      </c>
      <c r="M326" s="135" t="e">
        <f>IF(AND(M327:M330),"Passed","Failed")</f>
        <v>#VALUE!</v>
      </c>
      <c r="N326" s="135" t="e">
        <f t="shared" ref="N326:O326" si="98">IF(AND(N327:N330),"Passed","Failed")</f>
        <v>#VALUE!</v>
      </c>
      <c r="O326" s="135" t="e">
        <f t="shared" si="98"/>
        <v>#VALUE!</v>
      </c>
      <c r="P326" s="1"/>
      <c r="Q326" s="1"/>
      <c r="R326" s="1"/>
      <c r="S326" s="1"/>
      <c r="T326" s="1"/>
    </row>
    <row r="327" spans="1:23" ht="15" hidden="1" customHeight="1" outlineLevel="3">
      <c r="A327" s="62"/>
      <c r="B327" s="1"/>
      <c r="C327" s="1"/>
      <c r="D327" s="8"/>
      <c r="E327" s="16"/>
      <c r="F327" s="30" t="s">
        <v>30</v>
      </c>
      <c r="G327" s="449"/>
      <c r="H327" s="449"/>
      <c r="I327" s="449"/>
      <c r="J327" s="452"/>
      <c r="K327" s="88"/>
      <c r="L327" s="88"/>
      <c r="M327" s="88"/>
      <c r="N327" s="88"/>
      <c r="O327" s="88"/>
      <c r="P327" s="1"/>
      <c r="Q327" s="1"/>
      <c r="R327" s="1"/>
      <c r="S327" s="1"/>
      <c r="T327" s="1"/>
    </row>
    <row r="328" spans="1:23" ht="15" hidden="1" customHeight="1" outlineLevel="3">
      <c r="A328" s="62"/>
      <c r="B328" s="1"/>
      <c r="C328" s="1"/>
      <c r="D328" s="8"/>
      <c r="E328" s="16"/>
      <c r="F328" s="30" t="s">
        <v>31</v>
      </c>
      <c r="G328" s="449"/>
      <c r="H328" s="449"/>
      <c r="I328" s="449"/>
      <c r="J328" s="452"/>
      <c r="K328" s="88"/>
      <c r="L328" s="88"/>
      <c r="M328" s="88"/>
      <c r="N328" s="88"/>
      <c r="O328" s="88"/>
      <c r="P328" s="1"/>
      <c r="Q328" s="1"/>
      <c r="R328" s="1"/>
      <c r="S328" s="1"/>
      <c r="T328" s="1"/>
    </row>
    <row r="329" spans="1:23" ht="15" hidden="1" customHeight="1" outlineLevel="3">
      <c r="A329" s="62"/>
      <c r="B329" s="1"/>
      <c r="C329" s="1"/>
      <c r="D329" s="8"/>
      <c r="E329" s="16"/>
      <c r="F329" s="30" t="s">
        <v>32</v>
      </c>
      <c r="G329" s="449"/>
      <c r="H329" s="449"/>
      <c r="I329" s="449"/>
      <c r="J329" s="452"/>
      <c r="K329" s="88"/>
      <c r="L329" s="88"/>
      <c r="M329" s="88"/>
      <c r="N329" s="88"/>
      <c r="O329" s="88"/>
      <c r="P329" s="1"/>
      <c r="Q329" s="1"/>
      <c r="R329" s="1"/>
      <c r="S329" s="1"/>
      <c r="T329" s="1"/>
    </row>
    <row r="330" spans="1:23" ht="15" hidden="1" customHeight="1" outlineLevel="3">
      <c r="A330" s="62"/>
      <c r="B330" s="1"/>
      <c r="C330" s="1"/>
      <c r="D330" s="8"/>
      <c r="E330" s="16"/>
      <c r="F330" s="30" t="s">
        <v>33</v>
      </c>
      <c r="G330" s="449"/>
      <c r="H330" s="449"/>
      <c r="I330" s="449"/>
      <c r="J330" s="452"/>
      <c r="K330" s="88"/>
      <c r="L330" s="88"/>
      <c r="M330" s="88"/>
      <c r="N330" s="88"/>
      <c r="O330" s="88"/>
      <c r="P330" s="1"/>
      <c r="Q330" s="1"/>
      <c r="R330" s="1"/>
      <c r="S330" s="1"/>
      <c r="T330" s="1"/>
    </row>
    <row r="331" spans="1:23" ht="15" hidden="1" customHeight="1" outlineLevel="2" collapsed="1">
      <c r="A331" s="62"/>
      <c r="B331" s="1"/>
      <c r="C331" s="1"/>
      <c r="D331" s="5"/>
      <c r="E331" s="32" t="s">
        <v>29</v>
      </c>
      <c r="F331" s="450" t="s">
        <v>37</v>
      </c>
      <c r="G331" s="450"/>
      <c r="H331" s="450"/>
      <c r="I331" s="450"/>
      <c r="J331" s="451"/>
      <c r="K331" s="135" t="e">
        <f t="shared" ref="K331:L331" si="99">IF(AND(K332:K335),"Passed","Failed")</f>
        <v>#VALUE!</v>
      </c>
      <c r="L331" s="135" t="e">
        <f t="shared" si="99"/>
        <v>#VALUE!</v>
      </c>
      <c r="M331" s="135" t="e">
        <f>IF(AND(M332:M335),"Passed","Failed")</f>
        <v>#VALUE!</v>
      </c>
      <c r="N331" s="135" t="e">
        <f t="shared" ref="N331:O331" si="100">IF(AND(N332:N335),"Passed","Failed")</f>
        <v>#VALUE!</v>
      </c>
      <c r="O331" s="135" t="e">
        <f t="shared" si="100"/>
        <v>#VALUE!</v>
      </c>
      <c r="P331" s="1"/>
      <c r="Q331" s="1"/>
      <c r="R331" s="1"/>
      <c r="S331" s="1"/>
      <c r="T331" s="1"/>
      <c r="U331" s="1"/>
      <c r="V331" s="1"/>
      <c r="W331" s="1"/>
    </row>
    <row r="332" spans="1:23" ht="15" hidden="1" customHeight="1" outlineLevel="3">
      <c r="A332" s="62"/>
      <c r="B332" s="1"/>
      <c r="C332" s="1"/>
      <c r="D332" s="5"/>
      <c r="E332" s="16"/>
      <c r="F332" s="31" t="s">
        <v>30</v>
      </c>
      <c r="G332" s="449"/>
      <c r="H332" s="449"/>
      <c r="I332" s="449"/>
      <c r="J332" s="452"/>
      <c r="K332" s="88"/>
      <c r="L332" s="88"/>
      <c r="M332" s="88"/>
      <c r="N332" s="88"/>
      <c r="O332" s="88"/>
      <c r="P332" s="1"/>
      <c r="Q332" s="1"/>
      <c r="R332" s="1"/>
      <c r="S332" s="1"/>
      <c r="T332" s="1"/>
      <c r="U332" s="1"/>
      <c r="V332" s="1"/>
      <c r="W332" s="1"/>
    </row>
    <row r="333" spans="1:23" ht="15" hidden="1" customHeight="1" outlineLevel="3">
      <c r="A333" s="62"/>
      <c r="B333" s="1"/>
      <c r="C333" s="1"/>
      <c r="D333" s="5"/>
      <c r="E333" s="16"/>
      <c r="F333" s="31" t="s">
        <v>31</v>
      </c>
      <c r="G333" s="449"/>
      <c r="H333" s="449"/>
      <c r="I333" s="449"/>
      <c r="J333" s="452"/>
      <c r="K333" s="88"/>
      <c r="L333" s="88"/>
      <c r="M333" s="88"/>
      <c r="N333" s="88"/>
      <c r="O333" s="88"/>
      <c r="P333" s="1"/>
      <c r="Q333" s="1"/>
      <c r="R333" s="1"/>
      <c r="S333" s="1"/>
      <c r="T333" s="1"/>
      <c r="U333" s="1"/>
      <c r="V333" s="1"/>
      <c r="W333" s="1"/>
    </row>
    <row r="334" spans="1:23" ht="15" hidden="1" customHeight="1" outlineLevel="3">
      <c r="A334" s="62"/>
      <c r="B334" s="1"/>
      <c r="C334" s="1"/>
      <c r="D334" s="1"/>
      <c r="E334" s="1"/>
      <c r="F334" s="31" t="s">
        <v>32</v>
      </c>
      <c r="G334" s="449"/>
      <c r="H334" s="449"/>
      <c r="I334" s="449"/>
      <c r="J334" s="452"/>
      <c r="K334" s="88"/>
      <c r="L334" s="88"/>
      <c r="M334" s="88"/>
      <c r="N334" s="88"/>
      <c r="O334" s="88"/>
      <c r="P334" s="1"/>
      <c r="Q334" s="1"/>
      <c r="R334" s="1"/>
      <c r="S334" s="1"/>
      <c r="T334" s="1"/>
      <c r="U334" s="1"/>
      <c r="V334" s="1"/>
      <c r="W334" s="1"/>
    </row>
    <row r="335" spans="1:23" ht="15" hidden="1" customHeight="1" outlineLevel="3">
      <c r="A335" s="62"/>
      <c r="B335" s="1"/>
      <c r="C335" s="1"/>
      <c r="D335" s="1"/>
      <c r="E335" s="1"/>
      <c r="F335" s="31" t="s">
        <v>33</v>
      </c>
      <c r="G335" s="449"/>
      <c r="H335" s="449"/>
      <c r="I335" s="449"/>
      <c r="J335" s="452"/>
      <c r="K335" s="88"/>
      <c r="L335" s="88"/>
      <c r="M335" s="88"/>
      <c r="N335" s="88"/>
      <c r="O335" s="88"/>
      <c r="P335" s="1"/>
      <c r="Q335" s="1"/>
      <c r="R335" s="1"/>
      <c r="S335" s="1"/>
      <c r="T335" s="1"/>
      <c r="U335" s="1"/>
      <c r="V335" s="1"/>
      <c r="W335" s="1"/>
    </row>
    <row r="336" spans="1:23" ht="15" hidden="1" customHeight="1" outlineLevel="2" collapsed="1">
      <c r="A336" s="62"/>
      <c r="B336" s="1"/>
      <c r="C336" s="1"/>
      <c r="D336" s="1"/>
      <c r="E336" s="1"/>
      <c r="F336" s="1"/>
      <c r="G336" s="1"/>
      <c r="H336" s="1"/>
      <c r="I336" s="1"/>
      <c r="J336" s="1"/>
      <c r="K336" s="88"/>
      <c r="L336" s="88"/>
      <c r="M336" s="88"/>
      <c r="N336" s="88"/>
      <c r="O336" s="88"/>
      <c r="P336" s="1"/>
      <c r="Q336" s="1"/>
      <c r="R336" s="1"/>
      <c r="S336" s="1"/>
      <c r="T336" s="1"/>
      <c r="U336" s="1"/>
      <c r="V336" s="1"/>
      <c r="W336" s="1"/>
    </row>
    <row r="337" spans="1:23" ht="18.75" outlineLevel="1" collapsed="1">
      <c r="A337" s="62"/>
      <c r="B337" s="1"/>
      <c r="C337" s="1"/>
      <c r="D337" s="1"/>
      <c r="E337" s="9"/>
      <c r="F337" s="15"/>
      <c r="G337" s="14"/>
      <c r="H337" s="1"/>
      <c r="I337" s="1"/>
      <c r="J337" s="1"/>
      <c r="K337" s="460" t="s">
        <v>16</v>
      </c>
      <c r="L337" s="460"/>
      <c r="M337" s="447" t="s">
        <v>20</v>
      </c>
      <c r="N337" s="447"/>
      <c r="O337" s="447"/>
      <c r="P337" s="1"/>
      <c r="Q337" s="1"/>
      <c r="R337" s="1"/>
      <c r="S337" s="1"/>
      <c r="T337" s="1"/>
    </row>
    <row r="338" spans="1:23" outlineLevel="1">
      <c r="A338" s="62"/>
      <c r="B338" s="20" t="s">
        <v>8</v>
      </c>
      <c r="C338" s="455" t="s">
        <v>9</v>
      </c>
      <c r="D338" s="455"/>
      <c r="E338" s="455"/>
      <c r="F338" s="455"/>
      <c r="G338" s="455"/>
      <c r="H338" s="455"/>
      <c r="I338" s="455"/>
      <c r="J338" s="456"/>
      <c r="K338" s="89" t="s">
        <v>19</v>
      </c>
      <c r="L338" s="89" t="s">
        <v>15</v>
      </c>
      <c r="M338" s="89" t="s">
        <v>18</v>
      </c>
      <c r="N338" s="89" t="s">
        <v>44</v>
      </c>
      <c r="O338" s="89" t="s">
        <v>156</v>
      </c>
      <c r="P338" s="1"/>
      <c r="Q338" s="1"/>
      <c r="R338" s="1"/>
      <c r="S338" s="1"/>
      <c r="T338" s="1"/>
    </row>
    <row r="339" spans="1:23" outlineLevel="1">
      <c r="A339" s="62"/>
      <c r="B339" s="27" t="s">
        <v>21</v>
      </c>
      <c r="C339" s="28" t="s">
        <v>22</v>
      </c>
      <c r="D339" s="457" t="s">
        <v>25</v>
      </c>
      <c r="E339" s="458"/>
      <c r="F339" s="458"/>
      <c r="G339" s="458"/>
      <c r="H339" s="458"/>
      <c r="I339" s="458"/>
      <c r="J339" s="458"/>
      <c r="K339" s="107" t="e">
        <f>IF(AND(K341="Passed",K346="Passed"),"For review","For completion")</f>
        <v>#VALUE!</v>
      </c>
      <c r="L339" s="107" t="e">
        <f>IF(AND(L341="Passed",L346="Passed"),"QA ready","For completion")</f>
        <v>#VALUE!</v>
      </c>
      <c r="M339" s="107" t="e">
        <f>IF(AND(M341="Passed",M346="Passed"),"For verification","For completion")</f>
        <v>#VALUE!</v>
      </c>
      <c r="N339" s="107" t="e">
        <f>IF(AND(N341="Passed",N346="Passed"),"Demo ready","For completion")</f>
        <v>#VALUE!</v>
      </c>
      <c r="O339" s="107" t="e">
        <f>IF(AND(O341="Passed",O346="Passed"),"Production ready","For completion")</f>
        <v>#VALUE!</v>
      </c>
      <c r="P339" s="1"/>
      <c r="Q339" s="1"/>
      <c r="R339" s="1"/>
      <c r="S339" s="1"/>
      <c r="T339" s="1"/>
    </row>
    <row r="340" spans="1:23" ht="15" hidden="1" customHeight="1" outlineLevel="2">
      <c r="A340" s="62"/>
      <c r="B340" s="5"/>
      <c r="C340" s="8"/>
      <c r="D340" s="29" t="s">
        <v>23</v>
      </c>
      <c r="E340" s="453" t="s">
        <v>26</v>
      </c>
      <c r="F340" s="454"/>
      <c r="G340" s="454"/>
      <c r="H340" s="454"/>
      <c r="I340" s="454"/>
      <c r="J340" s="454"/>
      <c r="K340" s="108"/>
      <c r="L340" s="108"/>
      <c r="M340" s="88"/>
      <c r="N340" s="88"/>
      <c r="O340" s="88"/>
      <c r="P340" s="1"/>
      <c r="Q340" s="1"/>
      <c r="R340" s="1"/>
      <c r="S340" s="1"/>
      <c r="T340" s="1"/>
    </row>
    <row r="341" spans="1:23" ht="15" hidden="1" customHeight="1" outlineLevel="2">
      <c r="A341" s="62"/>
      <c r="B341" s="5"/>
      <c r="C341" s="8"/>
      <c r="D341" s="8"/>
      <c r="E341" s="33" t="s">
        <v>24</v>
      </c>
      <c r="F341" s="450" t="s">
        <v>34</v>
      </c>
      <c r="G341" s="450"/>
      <c r="H341" s="450"/>
      <c r="I341" s="450"/>
      <c r="J341" s="451"/>
      <c r="K341" s="306" t="e">
        <f t="shared" ref="K341:L341" si="101">IF(AND(K342:K345),"Passed","Failed")</f>
        <v>#VALUE!</v>
      </c>
      <c r="L341" s="306" t="e">
        <f t="shared" si="101"/>
        <v>#VALUE!</v>
      </c>
      <c r="M341" s="306" t="e">
        <f>IF(AND(M342:M345),"Passed","Failed")</f>
        <v>#VALUE!</v>
      </c>
      <c r="N341" s="306" t="e">
        <f t="shared" ref="N341:O341" si="102">IF(AND(N342:N345),"Passed","Failed")</f>
        <v>#VALUE!</v>
      </c>
      <c r="O341" s="306" t="e">
        <f t="shared" si="102"/>
        <v>#VALUE!</v>
      </c>
      <c r="P341" s="1"/>
      <c r="Q341" s="1"/>
      <c r="R341" s="1"/>
      <c r="S341" s="1"/>
      <c r="T341" s="1"/>
    </row>
    <row r="342" spans="1:23" ht="15" hidden="1" customHeight="1" outlineLevel="3">
      <c r="A342" s="62"/>
      <c r="B342" s="5"/>
      <c r="C342" s="8"/>
      <c r="D342" s="8"/>
      <c r="E342" s="16"/>
      <c r="F342" s="38" t="str">
        <f>HYPERLINK("#'Test Case'!A1","n.1.1.1")</f>
        <v>n.1.1.1</v>
      </c>
      <c r="G342" s="449" t="s">
        <v>68</v>
      </c>
      <c r="H342" s="449"/>
      <c r="I342" s="449"/>
      <c r="J342" s="452"/>
      <c r="K342" s="88"/>
      <c r="L342" s="88"/>
      <c r="M342" s="88"/>
      <c r="N342" s="88"/>
      <c r="O342" s="88"/>
      <c r="P342" s="1"/>
      <c r="Q342" s="1"/>
      <c r="R342" s="1"/>
      <c r="S342" s="1"/>
      <c r="T342" s="1"/>
    </row>
    <row r="343" spans="1:23" ht="15" hidden="1" customHeight="1" outlineLevel="3">
      <c r="A343" s="62"/>
      <c r="B343" s="5"/>
      <c r="C343" s="8"/>
      <c r="D343" s="8"/>
      <c r="E343" s="16"/>
      <c r="F343" s="38" t="str">
        <f>HYPERLINK("#'Test Case'!A1","n.1.1.2")</f>
        <v>n.1.1.2</v>
      </c>
      <c r="G343" s="449" t="s">
        <v>69</v>
      </c>
      <c r="H343" s="449"/>
      <c r="I343" s="449"/>
      <c r="J343" s="452"/>
      <c r="K343" s="88"/>
      <c r="L343" s="88"/>
      <c r="M343" s="88"/>
      <c r="N343" s="88"/>
      <c r="O343" s="88"/>
      <c r="P343" s="1"/>
      <c r="Q343" s="1"/>
      <c r="R343" s="1"/>
      <c r="S343" s="1"/>
      <c r="T343" s="1"/>
    </row>
    <row r="344" spans="1:23" ht="15" hidden="1" customHeight="1" outlineLevel="3">
      <c r="A344" s="62"/>
      <c r="B344" s="5"/>
      <c r="C344" s="8"/>
      <c r="D344" s="8"/>
      <c r="E344" s="16"/>
      <c r="F344" s="38" t="str">
        <f>HYPERLINK("#'Test Case'!A1","n.1.1.3")</f>
        <v>n.1.1.3</v>
      </c>
      <c r="G344" s="449" t="s">
        <v>70</v>
      </c>
      <c r="H344" s="449"/>
      <c r="I344" s="449"/>
      <c r="J344" s="452"/>
      <c r="K344" s="88"/>
      <c r="L344" s="88"/>
      <c r="M344" s="88"/>
      <c r="N344" s="88"/>
      <c r="O344" s="88"/>
      <c r="P344" s="1"/>
      <c r="Q344" s="1"/>
      <c r="R344" s="1"/>
      <c r="S344" s="1"/>
      <c r="T344" s="1"/>
    </row>
    <row r="345" spans="1:23" ht="15" hidden="1" customHeight="1" outlineLevel="3">
      <c r="A345" s="62"/>
      <c r="B345" s="5"/>
      <c r="C345" s="8"/>
      <c r="D345" s="8"/>
      <c r="E345" s="16"/>
      <c r="F345" s="38" t="str">
        <f>HYPERLINK("#'Test Case'!A1","n.1.1.4")</f>
        <v>n.1.1.4</v>
      </c>
      <c r="G345" s="449" t="s">
        <v>71</v>
      </c>
      <c r="H345" s="449"/>
      <c r="I345" s="449"/>
      <c r="J345" s="452"/>
      <c r="K345" s="88"/>
      <c r="L345" s="88"/>
      <c r="M345" s="88"/>
      <c r="N345" s="88"/>
      <c r="O345" s="88"/>
      <c r="P345" s="1"/>
      <c r="Q345" s="1"/>
      <c r="R345" s="1"/>
      <c r="S345" s="1"/>
      <c r="T345" s="1"/>
    </row>
    <row r="346" spans="1:23" ht="15" hidden="1" customHeight="1" outlineLevel="2" collapsed="1">
      <c r="A346" s="62"/>
      <c r="B346" s="5"/>
      <c r="C346" s="5"/>
      <c r="D346" s="5"/>
      <c r="E346" s="32" t="s">
        <v>28</v>
      </c>
      <c r="F346" s="450" t="s">
        <v>35</v>
      </c>
      <c r="G346" s="450"/>
      <c r="H346" s="450"/>
      <c r="I346" s="450"/>
      <c r="J346" s="451"/>
      <c r="K346" s="135" t="e">
        <f t="shared" ref="K346:L346" si="103">IF(AND(K347:K350),"Passed","Failed")</f>
        <v>#VALUE!</v>
      </c>
      <c r="L346" s="135" t="e">
        <f t="shared" si="103"/>
        <v>#VALUE!</v>
      </c>
      <c r="M346" s="135" t="e">
        <f>IF(AND(M347:M350),"Passed","Failed")</f>
        <v>#VALUE!</v>
      </c>
      <c r="N346" s="135" t="e">
        <f t="shared" ref="N346:O346" si="104">IF(AND(N347:N350),"Passed","Failed")</f>
        <v>#VALUE!</v>
      </c>
      <c r="O346" s="135" t="e">
        <f t="shared" si="104"/>
        <v>#VALUE!</v>
      </c>
      <c r="P346" s="1"/>
      <c r="Q346" s="1"/>
      <c r="R346" s="1"/>
      <c r="S346" s="1"/>
      <c r="T346" s="1"/>
    </row>
    <row r="347" spans="1:23" ht="15" hidden="1" customHeight="1" outlineLevel="3">
      <c r="A347" s="62"/>
      <c r="B347" s="5"/>
      <c r="C347" s="5"/>
      <c r="D347" s="5"/>
      <c r="E347" s="16"/>
      <c r="F347" s="38" t="str">
        <f>HYPERLINK("#'Test Case'!A1","n.2.1.1")</f>
        <v>n.2.1.1</v>
      </c>
      <c r="G347" s="449" t="s">
        <v>68</v>
      </c>
      <c r="H347" s="449"/>
      <c r="I347" s="449"/>
      <c r="J347" s="452"/>
      <c r="K347" s="88"/>
      <c r="L347" s="88"/>
      <c r="M347" s="88"/>
      <c r="N347" s="88"/>
      <c r="O347" s="88"/>
      <c r="P347" s="1"/>
      <c r="Q347" s="1"/>
      <c r="R347" s="1"/>
      <c r="S347" s="1"/>
      <c r="T347" s="1"/>
    </row>
    <row r="348" spans="1:23" ht="15" hidden="1" customHeight="1" outlineLevel="3">
      <c r="A348" s="62"/>
      <c r="B348" s="5"/>
      <c r="C348" s="5"/>
      <c r="D348" s="5"/>
      <c r="E348" s="16"/>
      <c r="F348" s="38" t="str">
        <f>HYPERLINK("#'Test Case'!A1","n.2.1.2")</f>
        <v>n.2.1.2</v>
      </c>
      <c r="G348" s="449" t="s">
        <v>69</v>
      </c>
      <c r="H348" s="449"/>
      <c r="I348" s="449"/>
      <c r="J348" s="452"/>
      <c r="K348" s="88"/>
      <c r="L348" s="88"/>
      <c r="M348" s="88"/>
      <c r="N348" s="88"/>
      <c r="O348" s="88"/>
      <c r="P348" s="1"/>
      <c r="Q348" s="1"/>
      <c r="R348" s="1"/>
      <c r="S348" s="1"/>
      <c r="T348" s="1"/>
    </row>
    <row r="349" spans="1:23" ht="15" hidden="1" customHeight="1" outlineLevel="3">
      <c r="A349" s="62"/>
      <c r="B349" s="1"/>
      <c r="C349" s="1"/>
      <c r="D349" s="1"/>
      <c r="E349" s="1"/>
      <c r="F349" s="38" t="str">
        <f>HYPERLINK("#'Test Case'!A1","n.2.1.3")</f>
        <v>n.2.1.3</v>
      </c>
      <c r="G349" s="449" t="s">
        <v>70</v>
      </c>
      <c r="H349" s="449"/>
      <c r="I349" s="449"/>
      <c r="J349" s="452"/>
      <c r="K349" s="88"/>
      <c r="L349" s="88"/>
      <c r="M349" s="88"/>
      <c r="N349" s="88"/>
      <c r="O349" s="88"/>
      <c r="P349" s="1"/>
      <c r="Q349" s="1"/>
      <c r="R349" s="1"/>
      <c r="S349" s="1"/>
      <c r="T349" s="1"/>
    </row>
    <row r="350" spans="1:23" ht="15" hidden="1" customHeight="1" outlineLevel="3">
      <c r="A350" s="62"/>
      <c r="B350" s="1"/>
      <c r="C350" s="1"/>
      <c r="D350" s="1"/>
      <c r="E350" s="1"/>
      <c r="F350" s="38" t="str">
        <f>HYPERLINK("#'Test Case'!A1","n.2.1.4")</f>
        <v>n.2.1.4</v>
      </c>
      <c r="G350" s="449" t="s">
        <v>71</v>
      </c>
      <c r="H350" s="449"/>
      <c r="I350" s="449"/>
      <c r="J350" s="452"/>
      <c r="K350" s="88"/>
      <c r="L350" s="88"/>
      <c r="M350" s="88"/>
      <c r="N350" s="88"/>
      <c r="O350" s="88"/>
      <c r="P350" s="1"/>
      <c r="Q350" s="1"/>
      <c r="R350" s="1"/>
      <c r="S350" s="1"/>
      <c r="T350" s="1"/>
    </row>
    <row r="351" spans="1:23" ht="15" hidden="1" customHeight="1" outlineLevel="2" collapsed="1">
      <c r="A351" s="62"/>
      <c r="B351" s="1"/>
      <c r="C351" s="1"/>
      <c r="D351" s="29" t="s">
        <v>27</v>
      </c>
      <c r="E351" s="453" t="s">
        <v>26</v>
      </c>
      <c r="F351" s="454"/>
      <c r="G351" s="454"/>
      <c r="H351" s="454"/>
      <c r="I351" s="454"/>
      <c r="J351" s="454"/>
      <c r="K351" s="108"/>
      <c r="L351" s="108"/>
      <c r="M351" s="88"/>
      <c r="N351" s="88"/>
      <c r="O351" s="88"/>
      <c r="P351" s="1"/>
      <c r="Q351" s="1"/>
      <c r="R351" s="1"/>
      <c r="S351" s="1"/>
      <c r="T351" s="1"/>
    </row>
    <row r="352" spans="1:23" ht="15" hidden="1" customHeight="1" outlineLevel="2" collapsed="1">
      <c r="A352" s="62"/>
      <c r="B352" s="1"/>
      <c r="C352" s="1"/>
      <c r="D352" s="5"/>
      <c r="E352" s="32" t="s">
        <v>29</v>
      </c>
      <c r="F352" s="450" t="s">
        <v>37</v>
      </c>
      <c r="G352" s="450"/>
      <c r="H352" s="450"/>
      <c r="I352" s="450"/>
      <c r="J352" s="451"/>
      <c r="K352" s="135" t="e">
        <f t="shared" ref="K352:L352" si="105">IF(AND(K353:K356),"Passed","Failed")</f>
        <v>#VALUE!</v>
      </c>
      <c r="L352" s="135" t="e">
        <f t="shared" si="105"/>
        <v>#VALUE!</v>
      </c>
      <c r="M352" s="135" t="e">
        <f>IF(AND(M353:M356),"Passed","Failed")</f>
        <v>#VALUE!</v>
      </c>
      <c r="N352" s="135" t="e">
        <f t="shared" ref="N352:O352" si="106">IF(AND(N353:N356),"Passed","Failed")</f>
        <v>#VALUE!</v>
      </c>
      <c r="O352" s="135" t="e">
        <f t="shared" si="106"/>
        <v>#VALUE!</v>
      </c>
      <c r="P352" s="1"/>
      <c r="Q352" s="1"/>
      <c r="R352" s="1"/>
      <c r="S352" s="1"/>
      <c r="T352" s="1"/>
      <c r="U352" s="1"/>
      <c r="V352" s="1"/>
      <c r="W352" s="1"/>
    </row>
    <row r="353" spans="1:23" ht="15" hidden="1" customHeight="1" outlineLevel="3">
      <c r="A353" s="62"/>
      <c r="B353" s="1"/>
      <c r="C353" s="1"/>
      <c r="D353" s="5"/>
      <c r="E353" s="16"/>
      <c r="F353" s="31" t="s">
        <v>30</v>
      </c>
      <c r="G353" s="449"/>
      <c r="H353" s="449"/>
      <c r="I353" s="449"/>
      <c r="J353" s="452"/>
      <c r="K353" s="88"/>
      <c r="L353" s="88"/>
      <c r="M353" s="88"/>
      <c r="N353" s="88"/>
      <c r="O353" s="88"/>
      <c r="P353" s="1"/>
      <c r="Q353" s="1"/>
      <c r="R353" s="1"/>
      <c r="S353" s="1"/>
      <c r="T353" s="1"/>
      <c r="U353" s="1"/>
      <c r="V353" s="1"/>
      <c r="W353" s="1"/>
    </row>
    <row r="354" spans="1:23" ht="15" hidden="1" customHeight="1" outlineLevel="3">
      <c r="A354" s="62"/>
      <c r="B354" s="1"/>
      <c r="C354" s="1"/>
      <c r="D354" s="5"/>
      <c r="E354" s="16"/>
      <c r="F354" s="31" t="s">
        <v>31</v>
      </c>
      <c r="G354" s="449"/>
      <c r="H354" s="449"/>
      <c r="I354" s="449"/>
      <c r="J354" s="452"/>
      <c r="K354" s="88"/>
      <c r="L354" s="88"/>
      <c r="M354" s="88"/>
      <c r="N354" s="88"/>
      <c r="O354" s="88"/>
      <c r="P354" s="1"/>
      <c r="Q354" s="1"/>
      <c r="R354" s="1"/>
      <c r="S354" s="1"/>
      <c r="T354" s="1"/>
      <c r="U354" s="1"/>
      <c r="V354" s="1"/>
      <c r="W354" s="1"/>
    </row>
    <row r="355" spans="1:23" ht="15" hidden="1" customHeight="1" outlineLevel="3">
      <c r="A355" s="62"/>
      <c r="B355" s="1"/>
      <c r="C355" s="1"/>
      <c r="D355" s="1"/>
      <c r="E355" s="1"/>
      <c r="F355" s="31" t="s">
        <v>32</v>
      </c>
      <c r="G355" s="449"/>
      <c r="H355" s="449"/>
      <c r="I355" s="449"/>
      <c r="J355" s="452"/>
      <c r="K355" s="88"/>
      <c r="L355" s="88"/>
      <c r="M355" s="88"/>
      <c r="N355" s="88"/>
      <c r="O355" s="88"/>
      <c r="P355" s="1"/>
      <c r="Q355" s="1"/>
      <c r="R355" s="1"/>
      <c r="S355" s="1"/>
      <c r="T355" s="1"/>
      <c r="U355" s="1"/>
      <c r="V355" s="1"/>
      <c r="W355" s="1"/>
    </row>
    <row r="356" spans="1:23" ht="15" hidden="1" customHeight="1" outlineLevel="3">
      <c r="A356" s="62"/>
      <c r="B356" s="1"/>
      <c r="C356" s="1"/>
      <c r="D356" s="1"/>
      <c r="E356" s="1"/>
      <c r="F356" s="31" t="s">
        <v>33</v>
      </c>
      <c r="G356" s="449"/>
      <c r="H356" s="449"/>
      <c r="I356" s="449"/>
      <c r="J356" s="452"/>
      <c r="K356" s="88"/>
      <c r="L356" s="88"/>
      <c r="M356" s="88"/>
      <c r="N356" s="88"/>
      <c r="O356" s="88"/>
      <c r="P356" s="1"/>
      <c r="Q356" s="1"/>
      <c r="R356" s="1"/>
      <c r="S356" s="1"/>
      <c r="T356" s="1"/>
      <c r="U356" s="1"/>
      <c r="V356" s="1"/>
      <c r="W356" s="1"/>
    </row>
    <row r="357" spans="1:23" ht="15" hidden="1" customHeight="1" outlineLevel="2" collapsed="1">
      <c r="A357" s="62"/>
      <c r="B357" s="1"/>
      <c r="C357" s="1"/>
      <c r="D357" s="1"/>
      <c r="E357" s="1"/>
      <c r="F357" s="1"/>
      <c r="G357" s="1"/>
      <c r="H357" s="1"/>
      <c r="I357" s="1"/>
      <c r="J357" s="1"/>
      <c r="K357" s="88"/>
      <c r="L357" s="88"/>
      <c r="M357" s="88"/>
      <c r="N357" s="88"/>
      <c r="O357" s="88"/>
      <c r="P357" s="1"/>
      <c r="Q357" s="1"/>
      <c r="R357" s="1"/>
      <c r="S357" s="1"/>
      <c r="T357" s="1"/>
      <c r="U357" s="1"/>
      <c r="V357" s="1"/>
      <c r="W357" s="1"/>
    </row>
    <row r="358" spans="1:23" ht="18.75" outlineLevel="1" collapsed="1">
      <c r="A358" s="62"/>
      <c r="B358" s="1"/>
      <c r="C358" s="1"/>
      <c r="D358" s="1"/>
      <c r="E358" s="9"/>
      <c r="F358" s="15"/>
      <c r="G358" s="14"/>
      <c r="H358" s="1"/>
      <c r="I358" s="1"/>
      <c r="J358" s="1"/>
      <c r="K358" s="460" t="s">
        <v>16</v>
      </c>
      <c r="L358" s="460"/>
      <c r="M358" s="447" t="s">
        <v>20</v>
      </c>
      <c r="N358" s="447"/>
      <c r="O358" s="447"/>
      <c r="P358" s="1"/>
      <c r="Q358" s="1"/>
      <c r="R358" s="1"/>
      <c r="S358" s="1"/>
      <c r="T358" s="1"/>
    </row>
    <row r="359" spans="1:23" outlineLevel="1">
      <c r="A359" s="62"/>
      <c r="B359" s="303" t="s">
        <v>8</v>
      </c>
      <c r="C359" s="455" t="s">
        <v>9</v>
      </c>
      <c r="D359" s="455"/>
      <c r="E359" s="455"/>
      <c r="F359" s="455"/>
      <c r="G359" s="455"/>
      <c r="H359" s="455"/>
      <c r="I359" s="455"/>
      <c r="J359" s="456"/>
      <c r="K359" s="89" t="s">
        <v>19</v>
      </c>
      <c r="L359" s="89" t="s">
        <v>15</v>
      </c>
      <c r="M359" s="89" t="s">
        <v>18</v>
      </c>
      <c r="N359" s="89" t="s">
        <v>44</v>
      </c>
      <c r="O359" s="89" t="s">
        <v>156</v>
      </c>
      <c r="P359" s="1"/>
      <c r="Q359" s="1"/>
      <c r="R359" s="1"/>
      <c r="S359" s="1"/>
      <c r="T359" s="1"/>
    </row>
    <row r="360" spans="1:23" outlineLevel="1">
      <c r="A360" s="62"/>
      <c r="B360" s="27" t="s">
        <v>21</v>
      </c>
      <c r="C360" s="28" t="s">
        <v>22</v>
      </c>
      <c r="D360" s="457" t="s">
        <v>25</v>
      </c>
      <c r="E360" s="458"/>
      <c r="F360" s="458"/>
      <c r="G360" s="458"/>
      <c r="H360" s="458"/>
      <c r="I360" s="458"/>
      <c r="J360" s="459"/>
      <c r="K360" s="107" t="e">
        <f>IF(AND(K362="Passed",K367="Passed"),"For review","For completion")</f>
        <v>#VALUE!</v>
      </c>
      <c r="L360" s="107" t="e">
        <f>IF(AND(L362="Passed",L367="Passed"),"QA ready","For completion")</f>
        <v>#VALUE!</v>
      </c>
      <c r="M360" s="107" t="e">
        <f>IF(AND(M362="Passed",M367="Passed"),"For verification","For completion")</f>
        <v>#VALUE!</v>
      </c>
      <c r="N360" s="107" t="e">
        <f>IF(AND(N362="Passed",N367="Passed"),"Demo ready","For completion")</f>
        <v>#VALUE!</v>
      </c>
      <c r="O360" s="107" t="e">
        <f>IF(AND(O362="Passed",O367="Passed"),"Production ready","For completion")</f>
        <v>#VALUE!</v>
      </c>
      <c r="P360" s="1"/>
      <c r="Q360" s="1"/>
      <c r="R360" s="1"/>
      <c r="S360" s="1"/>
      <c r="T360" s="1"/>
    </row>
    <row r="361" spans="1:23" ht="15" hidden="1" customHeight="1" outlineLevel="2">
      <c r="A361" s="62"/>
      <c r="B361" s="5"/>
      <c r="C361" s="8"/>
      <c r="D361" s="29" t="s">
        <v>23</v>
      </c>
      <c r="E361" s="453" t="s">
        <v>26</v>
      </c>
      <c r="F361" s="454"/>
      <c r="G361" s="454"/>
      <c r="H361" s="454"/>
      <c r="I361" s="454"/>
      <c r="J361" s="463"/>
      <c r="K361" s="108"/>
      <c r="L361" s="108"/>
      <c r="M361" s="88"/>
      <c r="N361" s="88"/>
      <c r="O361" s="88"/>
      <c r="P361" s="1"/>
      <c r="Q361" s="1"/>
      <c r="R361" s="1"/>
      <c r="S361" s="1"/>
      <c r="T361" s="1"/>
    </row>
    <row r="362" spans="1:23" ht="15" hidden="1" customHeight="1" outlineLevel="2">
      <c r="A362" s="62"/>
      <c r="B362" s="5"/>
      <c r="C362" s="8"/>
      <c r="D362" s="8"/>
      <c r="E362" s="33" t="s">
        <v>24</v>
      </c>
      <c r="F362" s="450" t="s">
        <v>34</v>
      </c>
      <c r="G362" s="450"/>
      <c r="H362" s="450"/>
      <c r="I362" s="450"/>
      <c r="J362" s="450"/>
      <c r="K362" s="306" t="e">
        <f t="shared" ref="K362:L362" si="107">IF(AND(K363:K366),"Passed","Failed")</f>
        <v>#VALUE!</v>
      </c>
      <c r="L362" s="306" t="e">
        <f t="shared" si="107"/>
        <v>#VALUE!</v>
      </c>
      <c r="M362" s="306" t="e">
        <f>IF(AND(M363:M366),"Passed","Failed")</f>
        <v>#VALUE!</v>
      </c>
      <c r="N362" s="306" t="e">
        <f t="shared" ref="N362:O362" si="108">IF(AND(N363:N366),"Passed","Failed")</f>
        <v>#VALUE!</v>
      </c>
      <c r="O362" s="306" t="e">
        <f t="shared" si="108"/>
        <v>#VALUE!</v>
      </c>
      <c r="P362" s="1"/>
      <c r="Q362" s="1"/>
      <c r="R362" s="1"/>
      <c r="S362" s="1"/>
      <c r="T362" s="1"/>
    </row>
    <row r="363" spans="1:23" ht="15" hidden="1" customHeight="1" outlineLevel="3">
      <c r="A363" s="62"/>
      <c r="B363" s="5"/>
      <c r="C363" s="8"/>
      <c r="D363" s="8"/>
      <c r="E363" s="16"/>
      <c r="F363" s="38" t="str">
        <f>HYPERLINK("#'Test Case'!A1","n.1.1.1")</f>
        <v>n.1.1.1</v>
      </c>
      <c r="G363" s="449" t="s">
        <v>68</v>
      </c>
      <c r="H363" s="449"/>
      <c r="I363" s="449"/>
      <c r="J363" s="449"/>
      <c r="K363" s="88"/>
      <c r="L363" s="88"/>
      <c r="M363" s="88"/>
      <c r="N363" s="88"/>
      <c r="O363" s="88"/>
      <c r="P363" s="1"/>
      <c r="Q363" s="1"/>
      <c r="R363" s="1"/>
      <c r="S363" s="1"/>
      <c r="T363" s="1"/>
    </row>
    <row r="364" spans="1:23" ht="15" hidden="1" customHeight="1" outlineLevel="3">
      <c r="A364" s="62"/>
      <c r="B364" s="5"/>
      <c r="C364" s="8"/>
      <c r="D364" s="8"/>
      <c r="E364" s="16"/>
      <c r="F364" s="38" t="str">
        <f>HYPERLINK("#'Test Case'!A1","n.1.1.2")</f>
        <v>n.1.1.2</v>
      </c>
      <c r="G364" s="449" t="s">
        <v>69</v>
      </c>
      <c r="H364" s="449"/>
      <c r="I364" s="449"/>
      <c r="J364" s="449"/>
      <c r="K364" s="88"/>
      <c r="L364" s="88"/>
      <c r="M364" s="88"/>
      <c r="N364" s="88"/>
      <c r="O364" s="88"/>
      <c r="P364" s="1"/>
      <c r="Q364" s="1"/>
      <c r="R364" s="1"/>
      <c r="S364" s="1"/>
      <c r="T364" s="1"/>
    </row>
    <row r="365" spans="1:23" ht="15" hidden="1" customHeight="1" outlineLevel="3">
      <c r="A365" s="62"/>
      <c r="B365" s="5"/>
      <c r="C365" s="8"/>
      <c r="D365" s="8"/>
      <c r="E365" s="16"/>
      <c r="F365" s="38" t="str">
        <f>HYPERLINK("#'Test Case'!A1","n.1.1.3")</f>
        <v>n.1.1.3</v>
      </c>
      <c r="G365" s="449" t="s">
        <v>70</v>
      </c>
      <c r="H365" s="449"/>
      <c r="I365" s="449"/>
      <c r="J365" s="449"/>
      <c r="K365" s="88"/>
      <c r="L365" s="88"/>
      <c r="M365" s="88"/>
      <c r="N365" s="88"/>
      <c r="O365" s="88"/>
      <c r="P365" s="1"/>
      <c r="Q365" s="1"/>
      <c r="R365" s="1"/>
      <c r="S365" s="1"/>
      <c r="T365" s="1"/>
    </row>
    <row r="366" spans="1:23" ht="15" hidden="1" customHeight="1" outlineLevel="3">
      <c r="A366" s="62"/>
      <c r="B366" s="5"/>
      <c r="C366" s="8"/>
      <c r="D366" s="8"/>
      <c r="E366" s="16"/>
      <c r="F366" s="38" t="str">
        <f>HYPERLINK("#'Test Case'!A1","n.1.1.4")</f>
        <v>n.1.1.4</v>
      </c>
      <c r="G366" s="449" t="s">
        <v>71</v>
      </c>
      <c r="H366" s="449"/>
      <c r="I366" s="449"/>
      <c r="J366" s="449"/>
      <c r="K366" s="88"/>
      <c r="L366" s="88"/>
      <c r="M366" s="88"/>
      <c r="N366" s="88"/>
      <c r="O366" s="88"/>
      <c r="P366" s="1"/>
      <c r="Q366" s="1"/>
      <c r="R366" s="1"/>
      <c r="S366" s="1"/>
      <c r="T366" s="1"/>
    </row>
    <row r="367" spans="1:23" ht="15" hidden="1" customHeight="1" outlineLevel="2" collapsed="1">
      <c r="A367" s="62"/>
      <c r="B367" s="5"/>
      <c r="C367" s="5"/>
      <c r="D367" s="5"/>
      <c r="E367" s="32" t="s">
        <v>28</v>
      </c>
      <c r="F367" s="450" t="s">
        <v>35</v>
      </c>
      <c r="G367" s="450"/>
      <c r="H367" s="450"/>
      <c r="I367" s="450"/>
      <c r="J367" s="450"/>
      <c r="K367" s="135" t="e">
        <f t="shared" ref="K367:L367" si="109">IF(AND(K368:K371),"Passed","Failed")</f>
        <v>#VALUE!</v>
      </c>
      <c r="L367" s="135" t="e">
        <f t="shared" si="109"/>
        <v>#VALUE!</v>
      </c>
      <c r="M367" s="135" t="e">
        <f>IF(AND(M368:M371),"Passed","Failed")</f>
        <v>#VALUE!</v>
      </c>
      <c r="N367" s="135" t="e">
        <f t="shared" ref="N367:O367" si="110">IF(AND(N368:N371),"Passed","Failed")</f>
        <v>#VALUE!</v>
      </c>
      <c r="O367" s="135" t="e">
        <f t="shared" si="110"/>
        <v>#VALUE!</v>
      </c>
      <c r="P367" s="1"/>
      <c r="Q367" s="1"/>
      <c r="R367" s="1"/>
      <c r="S367" s="1"/>
      <c r="T367" s="1"/>
    </row>
    <row r="368" spans="1:23" ht="15" hidden="1" customHeight="1" outlineLevel="3">
      <c r="A368" s="62"/>
      <c r="B368" s="5"/>
      <c r="C368" s="5"/>
      <c r="D368" s="5"/>
      <c r="E368" s="16"/>
      <c r="F368" s="38" t="str">
        <f>HYPERLINK("#'Test Case'!A1","n.2.1.1")</f>
        <v>n.2.1.1</v>
      </c>
      <c r="G368" s="449" t="s">
        <v>68</v>
      </c>
      <c r="H368" s="449"/>
      <c r="I368" s="449"/>
      <c r="J368" s="449"/>
      <c r="K368" s="88"/>
      <c r="L368" s="88"/>
      <c r="M368" s="88"/>
      <c r="N368" s="88"/>
      <c r="O368" s="88"/>
      <c r="P368" s="1"/>
      <c r="Q368" s="1"/>
      <c r="R368" s="1"/>
      <c r="S368" s="1"/>
      <c r="T368" s="1"/>
    </row>
    <row r="369" spans="1:24" ht="15" hidden="1" customHeight="1" outlineLevel="3">
      <c r="A369" s="62"/>
      <c r="B369" s="5"/>
      <c r="C369" s="5"/>
      <c r="D369" s="5"/>
      <c r="E369" s="16"/>
      <c r="F369" s="38" t="str">
        <f>HYPERLINK("#'Test Case'!A1","n.2.1.2")</f>
        <v>n.2.1.2</v>
      </c>
      <c r="G369" s="449" t="s">
        <v>69</v>
      </c>
      <c r="H369" s="449"/>
      <c r="I369" s="449"/>
      <c r="J369" s="449"/>
      <c r="K369" s="88"/>
      <c r="L369" s="88"/>
      <c r="M369" s="88"/>
      <c r="N369" s="88"/>
      <c r="O369" s="88"/>
      <c r="P369" s="1"/>
      <c r="Q369" s="1"/>
      <c r="R369" s="1"/>
      <c r="S369" s="1"/>
      <c r="T369" s="1"/>
    </row>
    <row r="370" spans="1:24" ht="15" hidden="1" customHeight="1" outlineLevel="3">
      <c r="A370" s="62"/>
      <c r="B370" s="1"/>
      <c r="C370" s="1"/>
      <c r="D370" s="1"/>
      <c r="E370" s="1"/>
      <c r="F370" s="38" t="str">
        <f>HYPERLINK("#'Test Case'!A1","n.2.1.3")</f>
        <v>n.2.1.3</v>
      </c>
      <c r="G370" s="449" t="s">
        <v>70</v>
      </c>
      <c r="H370" s="449"/>
      <c r="I370" s="449"/>
      <c r="J370" s="449"/>
      <c r="K370" s="88"/>
      <c r="L370" s="88"/>
      <c r="M370" s="88"/>
      <c r="N370" s="88"/>
      <c r="O370" s="88"/>
      <c r="P370" s="1"/>
      <c r="Q370" s="1"/>
      <c r="R370" s="1"/>
      <c r="S370" s="1"/>
      <c r="T370" s="1"/>
    </row>
    <row r="371" spans="1:24" ht="15" hidden="1" customHeight="1" outlineLevel="3">
      <c r="A371" s="62"/>
      <c r="B371" s="1"/>
      <c r="C371" s="1"/>
      <c r="D371" s="1"/>
      <c r="E371" s="1"/>
      <c r="F371" s="38" t="str">
        <f>HYPERLINK("#'Test Case'!A1","n.2.1.4")</f>
        <v>n.2.1.4</v>
      </c>
      <c r="G371" s="449" t="s">
        <v>71</v>
      </c>
      <c r="H371" s="449"/>
      <c r="I371" s="449"/>
      <c r="J371" s="449"/>
      <c r="K371" s="88"/>
      <c r="L371" s="88"/>
      <c r="M371" s="88"/>
      <c r="N371" s="88"/>
      <c r="O371" s="88"/>
      <c r="P371" s="1"/>
      <c r="Q371" s="1"/>
      <c r="R371" s="1"/>
      <c r="S371" s="1"/>
      <c r="T371" s="1"/>
    </row>
    <row r="372" spans="1:24" ht="15" hidden="1" customHeight="1" outlineLevel="2" collapsed="1">
      <c r="A372" s="62"/>
      <c r="B372" s="1"/>
      <c r="C372" s="1"/>
      <c r="D372" s="29" t="s">
        <v>27</v>
      </c>
      <c r="E372" s="453" t="s">
        <v>26</v>
      </c>
      <c r="F372" s="454"/>
      <c r="G372" s="454"/>
      <c r="H372" s="454"/>
      <c r="I372" s="454"/>
      <c r="J372" s="463"/>
      <c r="K372" s="108"/>
      <c r="L372" s="108"/>
      <c r="M372" s="88"/>
      <c r="N372" s="88"/>
      <c r="O372" s="88"/>
      <c r="P372" s="1"/>
      <c r="Q372" s="1"/>
      <c r="R372" s="1"/>
      <c r="S372" s="1"/>
      <c r="T372" s="1"/>
    </row>
    <row r="373" spans="1:24" ht="15" hidden="1" customHeight="1" outlineLevel="2">
      <c r="A373" s="62"/>
      <c r="B373" s="1"/>
      <c r="C373" s="1"/>
      <c r="D373" s="8"/>
      <c r="E373" s="33" t="s">
        <v>28</v>
      </c>
      <c r="F373" s="450" t="s">
        <v>36</v>
      </c>
      <c r="G373" s="450"/>
      <c r="H373" s="450"/>
      <c r="I373" s="450"/>
      <c r="J373" s="450"/>
      <c r="K373" s="135" t="e">
        <f t="shared" ref="K373:L373" si="111">IF(AND(K374:K377),"Passed","Failed")</f>
        <v>#VALUE!</v>
      </c>
      <c r="L373" s="135" t="e">
        <f t="shared" si="111"/>
        <v>#VALUE!</v>
      </c>
      <c r="M373" s="135" t="e">
        <f>IF(AND(M374:M377),"Passed","Failed")</f>
        <v>#VALUE!</v>
      </c>
      <c r="N373" s="135" t="e">
        <f t="shared" ref="N373:O373" si="112">IF(AND(N374:N377),"Passed","Failed")</f>
        <v>#VALUE!</v>
      </c>
      <c r="O373" s="135" t="e">
        <f t="shared" si="112"/>
        <v>#VALUE!</v>
      </c>
      <c r="P373" s="1"/>
      <c r="Q373" s="1"/>
      <c r="R373" s="1"/>
      <c r="S373" s="1"/>
      <c r="T373" s="1"/>
    </row>
    <row r="374" spans="1:24" ht="15" hidden="1" customHeight="1" outlineLevel="3">
      <c r="A374" s="62"/>
      <c r="B374" s="1"/>
      <c r="C374" s="1"/>
      <c r="D374" s="8"/>
      <c r="E374" s="16"/>
      <c r="F374" s="30" t="s">
        <v>30</v>
      </c>
      <c r="G374" s="449"/>
      <c r="H374" s="449"/>
      <c r="I374" s="449"/>
      <c r="J374" s="449"/>
      <c r="K374" s="88"/>
      <c r="L374" s="88"/>
      <c r="M374" s="88"/>
      <c r="N374" s="88"/>
      <c r="O374" s="88"/>
      <c r="P374" s="1"/>
      <c r="Q374" s="1"/>
      <c r="R374" s="1"/>
      <c r="S374" s="1"/>
      <c r="T374" s="1"/>
    </row>
    <row r="375" spans="1:24" ht="15" hidden="1" customHeight="1" outlineLevel="3">
      <c r="A375" s="62"/>
      <c r="B375" s="1"/>
      <c r="C375" s="1"/>
      <c r="D375" s="8"/>
      <c r="E375" s="16"/>
      <c r="F375" s="30" t="s">
        <v>31</v>
      </c>
      <c r="G375" s="449"/>
      <c r="H375" s="449"/>
      <c r="I375" s="449"/>
      <c r="J375" s="449"/>
      <c r="K375" s="88"/>
      <c r="L375" s="88"/>
      <c r="M375" s="88"/>
      <c r="N375" s="88"/>
      <c r="O375" s="88"/>
      <c r="P375" s="1"/>
      <c r="Q375" s="1"/>
      <c r="R375" s="1"/>
      <c r="S375" s="1"/>
      <c r="T375" s="1"/>
    </row>
    <row r="376" spans="1:24" ht="15" hidden="1" customHeight="1" outlineLevel="3">
      <c r="A376" s="62"/>
      <c r="B376" s="1"/>
      <c r="C376" s="1"/>
      <c r="D376" s="8"/>
      <c r="E376" s="16"/>
      <c r="F376" s="30" t="s">
        <v>32</v>
      </c>
      <c r="G376" s="449"/>
      <c r="H376" s="449"/>
      <c r="I376" s="449"/>
      <c r="J376" s="449"/>
      <c r="K376" s="88"/>
      <c r="L376" s="88"/>
      <c r="M376" s="88"/>
      <c r="N376" s="88"/>
      <c r="O376" s="88"/>
      <c r="P376" s="1"/>
      <c r="Q376" s="1"/>
      <c r="R376" s="1"/>
      <c r="S376" s="1"/>
      <c r="T376" s="1"/>
    </row>
    <row r="377" spans="1:24" ht="15" hidden="1" customHeight="1" outlineLevel="3">
      <c r="A377" s="62"/>
      <c r="B377" s="1"/>
      <c r="C377" s="1"/>
      <c r="D377" s="8"/>
      <c r="E377" s="16"/>
      <c r="F377" s="30" t="s">
        <v>33</v>
      </c>
      <c r="G377" s="449"/>
      <c r="H377" s="449"/>
      <c r="I377" s="449"/>
      <c r="J377" s="449"/>
      <c r="K377" s="88"/>
      <c r="L377" s="88"/>
      <c r="M377" s="88"/>
      <c r="N377" s="88"/>
      <c r="O377" s="88"/>
      <c r="P377" s="1"/>
      <c r="Q377" s="1"/>
      <c r="R377" s="1"/>
      <c r="S377" s="1"/>
      <c r="T377" s="1"/>
    </row>
    <row r="378" spans="1:24" ht="15" hidden="1" customHeight="1" outlineLevel="2" collapsed="1">
      <c r="A378" s="62"/>
      <c r="B378" s="1"/>
      <c r="C378" s="1"/>
      <c r="D378" s="5"/>
      <c r="E378" s="32" t="s">
        <v>29</v>
      </c>
      <c r="F378" s="450" t="s">
        <v>37</v>
      </c>
      <c r="G378" s="450"/>
      <c r="H378" s="450"/>
      <c r="I378" s="450"/>
      <c r="J378" s="451"/>
      <c r="K378" s="306" t="e">
        <f t="shared" ref="K378:L378" si="113">IF(AND(K379:K382),"Passed","Failed")</f>
        <v>#VALUE!</v>
      </c>
      <c r="L378" s="306" t="e">
        <f t="shared" si="113"/>
        <v>#VALUE!</v>
      </c>
      <c r="M378" s="306" t="e">
        <f>IF(AND(M379:M382),"Passed","Failed")</f>
        <v>#VALUE!</v>
      </c>
      <c r="N378" s="306" t="e">
        <f t="shared" ref="N378:O378" si="114">IF(AND(N379:N382),"Passed","Failed")</f>
        <v>#VALUE!</v>
      </c>
      <c r="O378" s="306" t="e">
        <f t="shared" si="114"/>
        <v>#VALUE!</v>
      </c>
      <c r="P378" s="1"/>
      <c r="Q378" s="1"/>
      <c r="R378" s="1"/>
      <c r="S378" s="1"/>
      <c r="T378" s="1"/>
      <c r="U378" s="1"/>
      <c r="V378" s="1"/>
      <c r="W378" s="1"/>
      <c r="X378" s="1"/>
    </row>
    <row r="379" spans="1:24" ht="15" hidden="1" customHeight="1" outlineLevel="3">
      <c r="A379" s="62"/>
      <c r="B379" s="1"/>
      <c r="C379" s="1"/>
      <c r="D379" s="5"/>
      <c r="E379" s="16"/>
      <c r="F379" s="314" t="s">
        <v>30</v>
      </c>
      <c r="G379" s="464"/>
      <c r="H379" s="464"/>
      <c r="I379" s="464"/>
      <c r="J379" s="465"/>
      <c r="K379" s="315"/>
      <c r="L379" s="315"/>
      <c r="M379" s="315"/>
      <c r="N379" s="315"/>
      <c r="O379" s="316"/>
      <c r="P379" s="1"/>
      <c r="Q379" s="1"/>
      <c r="R379" s="1"/>
      <c r="S379" s="1"/>
      <c r="T379" s="1"/>
      <c r="U379" s="1"/>
      <c r="V379" s="1"/>
      <c r="W379" s="1"/>
      <c r="X379" s="1"/>
    </row>
    <row r="380" spans="1:24" ht="15" hidden="1" customHeight="1" outlineLevel="3">
      <c r="A380" s="62"/>
      <c r="B380" s="1"/>
      <c r="C380" s="1"/>
      <c r="D380" s="5"/>
      <c r="E380" s="16"/>
      <c r="F380" s="317" t="s">
        <v>31</v>
      </c>
      <c r="G380" s="449"/>
      <c r="H380" s="449"/>
      <c r="I380" s="449"/>
      <c r="J380" s="452"/>
      <c r="K380" s="88"/>
      <c r="L380" s="88"/>
      <c r="M380" s="88"/>
      <c r="N380" s="88"/>
      <c r="O380" s="318"/>
      <c r="P380" s="1"/>
      <c r="Q380" s="1"/>
      <c r="R380" s="1"/>
      <c r="S380" s="1"/>
      <c r="T380" s="1"/>
      <c r="U380" s="1"/>
      <c r="V380" s="1"/>
      <c r="W380" s="1"/>
      <c r="X380" s="1"/>
    </row>
    <row r="381" spans="1:24" ht="15" hidden="1" customHeight="1" outlineLevel="3">
      <c r="A381" s="62"/>
      <c r="B381" s="1"/>
      <c r="C381" s="1"/>
      <c r="D381" s="1"/>
      <c r="E381" s="1"/>
      <c r="F381" s="317" t="s">
        <v>32</v>
      </c>
      <c r="G381" s="449"/>
      <c r="H381" s="449"/>
      <c r="I381" s="449"/>
      <c r="J381" s="452"/>
      <c r="K381" s="88"/>
      <c r="L381" s="88"/>
      <c r="M381" s="88"/>
      <c r="N381" s="88"/>
      <c r="O381" s="318"/>
      <c r="P381" s="1"/>
      <c r="Q381" s="1"/>
      <c r="R381" s="1"/>
      <c r="S381" s="1"/>
      <c r="T381" s="1"/>
      <c r="U381" s="1"/>
      <c r="V381" s="1"/>
      <c r="W381" s="1"/>
      <c r="X381" s="1"/>
    </row>
    <row r="382" spans="1:24" ht="15" hidden="1" customHeight="1" outlineLevel="3">
      <c r="A382" s="62"/>
      <c r="B382" s="1"/>
      <c r="C382" s="1"/>
      <c r="D382" s="1"/>
      <c r="E382" s="1"/>
      <c r="F382" s="319" t="s">
        <v>33</v>
      </c>
      <c r="G382" s="461"/>
      <c r="H382" s="461"/>
      <c r="I382" s="461"/>
      <c r="J382" s="462"/>
      <c r="K382" s="320"/>
      <c r="L382" s="320"/>
      <c r="M382" s="320"/>
      <c r="N382" s="320"/>
      <c r="O382" s="321"/>
      <c r="P382" s="1"/>
      <c r="Q382" s="1"/>
      <c r="R382" s="1"/>
      <c r="S382" s="1"/>
      <c r="T382" s="1"/>
      <c r="U382" s="1"/>
      <c r="V382" s="1"/>
      <c r="W382" s="1"/>
      <c r="X382" s="1"/>
    </row>
    <row r="383" spans="1:24" ht="15" hidden="1" customHeight="1" outlineLevel="2" collapsed="1">
      <c r="A383" s="62"/>
      <c r="B383" s="1"/>
      <c r="C383" s="1"/>
      <c r="D383" s="1"/>
      <c r="E383" s="1"/>
      <c r="F383" s="1"/>
      <c r="G383" s="1"/>
      <c r="H383" s="1"/>
      <c r="I383" s="1"/>
      <c r="J383" s="1"/>
      <c r="K383" s="307"/>
      <c r="L383" s="307"/>
      <c r="M383" s="307"/>
      <c r="N383" s="307"/>
      <c r="O383" s="307"/>
      <c r="P383" s="1"/>
      <c r="Q383" s="1"/>
      <c r="R383" s="1"/>
      <c r="S383" s="1"/>
      <c r="T383" s="1"/>
      <c r="U383" s="1"/>
      <c r="V383" s="1"/>
      <c r="W383" s="1"/>
    </row>
    <row r="384" spans="1:24" ht="18.75" outlineLevel="1" collapsed="1">
      <c r="A384" s="62"/>
      <c r="B384" s="1"/>
      <c r="C384" s="1"/>
      <c r="D384" s="1"/>
      <c r="E384" s="9"/>
      <c r="F384" s="15"/>
      <c r="G384" s="14"/>
      <c r="H384" s="1"/>
      <c r="I384" s="1"/>
      <c r="J384" s="1"/>
      <c r="K384" s="460" t="s">
        <v>16</v>
      </c>
      <c r="L384" s="460"/>
      <c r="M384" s="447" t="s">
        <v>20</v>
      </c>
      <c r="N384" s="447"/>
      <c r="O384" s="447"/>
      <c r="P384" s="1"/>
      <c r="Q384" s="1"/>
      <c r="R384" s="1"/>
      <c r="S384" s="1"/>
      <c r="T384" s="1"/>
    </row>
    <row r="385" spans="1:20" outlineLevel="1">
      <c r="A385" s="62"/>
      <c r="B385" s="303" t="s">
        <v>8</v>
      </c>
      <c r="C385" s="455" t="s">
        <v>9</v>
      </c>
      <c r="D385" s="455"/>
      <c r="E385" s="455"/>
      <c r="F385" s="455"/>
      <c r="G385" s="455"/>
      <c r="H385" s="455"/>
      <c r="I385" s="455"/>
      <c r="J385" s="456"/>
      <c r="K385" s="89" t="s">
        <v>19</v>
      </c>
      <c r="L385" s="89" t="s">
        <v>15</v>
      </c>
      <c r="M385" s="89" t="s">
        <v>18</v>
      </c>
      <c r="N385" s="89" t="s">
        <v>44</v>
      </c>
      <c r="O385" s="89" t="s">
        <v>156</v>
      </c>
      <c r="P385" s="1"/>
      <c r="Q385" s="1"/>
      <c r="R385" s="1"/>
      <c r="S385" s="1"/>
      <c r="T385" s="1"/>
    </row>
    <row r="386" spans="1:20" outlineLevel="1">
      <c r="A386" s="62"/>
      <c r="B386" s="27" t="s">
        <v>21</v>
      </c>
      <c r="C386" s="28" t="s">
        <v>22</v>
      </c>
      <c r="D386" s="457" t="s">
        <v>25</v>
      </c>
      <c r="E386" s="458"/>
      <c r="F386" s="458"/>
      <c r="G386" s="458"/>
      <c r="H386" s="458"/>
      <c r="I386" s="458"/>
      <c r="J386" s="459"/>
      <c r="K386" s="107" t="e">
        <f>IF(AND(K388="Passed",K393="Passed"),"For review","For completion")</f>
        <v>#VALUE!</v>
      </c>
      <c r="L386" s="107" t="e">
        <f>IF(AND(L388="Passed",L393="Passed"),"QA ready","For completion")</f>
        <v>#VALUE!</v>
      </c>
      <c r="M386" s="107" t="e">
        <f>IF(AND(M388="Passed",M393="Passed"),"For verification","For completion")</f>
        <v>#VALUE!</v>
      </c>
      <c r="N386" s="107" t="e">
        <f>IF(AND(N388="Passed",N393="Passed"),"Demo ready","For completion")</f>
        <v>#VALUE!</v>
      </c>
      <c r="O386" s="107" t="e">
        <f>IF(AND(O388="Passed",O393="Passed"),"Production ready","For completion")</f>
        <v>#VALUE!</v>
      </c>
      <c r="P386" s="1"/>
      <c r="Q386" s="1"/>
      <c r="R386" s="1"/>
      <c r="S386" s="1"/>
      <c r="T386" s="1"/>
    </row>
    <row r="387" spans="1:20" ht="15" hidden="1" customHeight="1" outlineLevel="2">
      <c r="A387" s="62"/>
      <c r="B387" s="5"/>
      <c r="C387" s="8"/>
      <c r="D387" s="29" t="s">
        <v>23</v>
      </c>
      <c r="E387" s="453" t="s">
        <v>26</v>
      </c>
      <c r="F387" s="454"/>
      <c r="G387" s="454"/>
      <c r="H387" s="454"/>
      <c r="I387" s="454"/>
      <c r="J387" s="463"/>
      <c r="K387" s="108"/>
      <c r="L387" s="108"/>
      <c r="M387" s="88"/>
      <c r="N387" s="88"/>
      <c r="O387" s="88"/>
      <c r="P387" s="1"/>
      <c r="Q387" s="1"/>
      <c r="R387" s="1"/>
      <c r="S387" s="1"/>
      <c r="T387" s="1"/>
    </row>
    <row r="388" spans="1:20" ht="15" hidden="1" customHeight="1" outlineLevel="2">
      <c r="A388" s="62"/>
      <c r="B388" s="5"/>
      <c r="C388" s="8"/>
      <c r="D388" s="8"/>
      <c r="E388" s="33" t="s">
        <v>24</v>
      </c>
      <c r="F388" s="450" t="s">
        <v>34</v>
      </c>
      <c r="G388" s="450"/>
      <c r="H388" s="450"/>
      <c r="I388" s="450"/>
      <c r="J388" s="450"/>
      <c r="K388" s="306" t="e">
        <f t="shared" ref="K388:L388" si="115">IF(AND(K389:K392),"Passed","Failed")</f>
        <v>#VALUE!</v>
      </c>
      <c r="L388" s="306" t="e">
        <f t="shared" si="115"/>
        <v>#VALUE!</v>
      </c>
      <c r="M388" s="306" t="e">
        <f>IF(AND(M389:M392),"Passed","Failed")</f>
        <v>#VALUE!</v>
      </c>
      <c r="N388" s="306" t="e">
        <f t="shared" ref="N388:O388" si="116">IF(AND(N389:N392),"Passed","Failed")</f>
        <v>#VALUE!</v>
      </c>
      <c r="O388" s="306" t="e">
        <f t="shared" si="116"/>
        <v>#VALUE!</v>
      </c>
      <c r="P388" s="1"/>
      <c r="Q388" s="1"/>
      <c r="R388" s="1"/>
      <c r="S388" s="1"/>
      <c r="T388" s="1"/>
    </row>
    <row r="389" spans="1:20" ht="15" hidden="1" customHeight="1" outlineLevel="3">
      <c r="A389" s="62"/>
      <c r="B389" s="5"/>
      <c r="C389" s="8"/>
      <c r="D389" s="8"/>
      <c r="E389" s="16"/>
      <c r="F389" s="38" t="str">
        <f>HYPERLINK("#'Test Case'!A1","n.1.1.1")</f>
        <v>n.1.1.1</v>
      </c>
      <c r="G389" s="449" t="s">
        <v>68</v>
      </c>
      <c r="H389" s="449"/>
      <c r="I389" s="449"/>
      <c r="J389" s="449"/>
      <c r="K389" s="88"/>
      <c r="L389" s="88"/>
      <c r="M389" s="88"/>
      <c r="N389" s="88"/>
      <c r="O389" s="88"/>
      <c r="P389" s="1"/>
      <c r="Q389" s="1"/>
      <c r="R389" s="1"/>
      <c r="S389" s="1"/>
      <c r="T389" s="1"/>
    </row>
    <row r="390" spans="1:20" ht="15" hidden="1" customHeight="1" outlineLevel="3">
      <c r="A390" s="62"/>
      <c r="B390" s="5"/>
      <c r="C390" s="8"/>
      <c r="D390" s="8"/>
      <c r="E390" s="16"/>
      <c r="F390" s="38" t="str">
        <f>HYPERLINK("#'Test Case'!A1","n.1.1.2")</f>
        <v>n.1.1.2</v>
      </c>
      <c r="G390" s="449" t="s">
        <v>69</v>
      </c>
      <c r="H390" s="449"/>
      <c r="I390" s="449"/>
      <c r="J390" s="449"/>
      <c r="K390" s="88"/>
      <c r="L390" s="88"/>
      <c r="M390" s="88"/>
      <c r="N390" s="88"/>
      <c r="O390" s="88"/>
      <c r="P390" s="1"/>
      <c r="Q390" s="1"/>
      <c r="R390" s="1"/>
      <c r="S390" s="1"/>
      <c r="T390" s="1"/>
    </row>
    <row r="391" spans="1:20" ht="15" hidden="1" customHeight="1" outlineLevel="3">
      <c r="A391" s="62"/>
      <c r="B391" s="5"/>
      <c r="C391" s="8"/>
      <c r="D391" s="8"/>
      <c r="E391" s="16"/>
      <c r="F391" s="38" t="str">
        <f>HYPERLINK("#'Test Case'!A1","n.1.1.3")</f>
        <v>n.1.1.3</v>
      </c>
      <c r="G391" s="449" t="s">
        <v>70</v>
      </c>
      <c r="H391" s="449"/>
      <c r="I391" s="449"/>
      <c r="J391" s="449"/>
      <c r="K391" s="88"/>
      <c r="L391" s="88"/>
      <c r="M391" s="88"/>
      <c r="N391" s="88"/>
      <c r="O391" s="88"/>
      <c r="P391" s="1"/>
      <c r="Q391" s="1"/>
      <c r="R391" s="1"/>
      <c r="S391" s="1"/>
      <c r="T391" s="1"/>
    </row>
    <row r="392" spans="1:20" ht="15" hidden="1" customHeight="1" outlineLevel="3">
      <c r="A392" s="62"/>
      <c r="B392" s="5"/>
      <c r="C392" s="8"/>
      <c r="D392" s="8"/>
      <c r="E392" s="16"/>
      <c r="F392" s="38" t="str">
        <f>HYPERLINK("#'Test Case'!A1","n.1.1.4")</f>
        <v>n.1.1.4</v>
      </c>
      <c r="G392" s="449" t="s">
        <v>71</v>
      </c>
      <c r="H392" s="449"/>
      <c r="I392" s="449"/>
      <c r="J392" s="449"/>
      <c r="K392" s="88"/>
      <c r="L392" s="88"/>
      <c r="M392" s="88"/>
      <c r="N392" s="88"/>
      <c r="O392" s="88"/>
      <c r="P392" s="1"/>
      <c r="Q392" s="1"/>
      <c r="R392" s="1"/>
      <c r="S392" s="1"/>
      <c r="T392" s="1"/>
    </row>
    <row r="393" spans="1:20" ht="15" hidden="1" customHeight="1" outlineLevel="2" collapsed="1">
      <c r="A393" s="62"/>
      <c r="B393" s="5"/>
      <c r="C393" s="5"/>
      <c r="D393" s="5"/>
      <c r="E393" s="32" t="s">
        <v>28</v>
      </c>
      <c r="F393" s="450" t="s">
        <v>35</v>
      </c>
      <c r="G393" s="450"/>
      <c r="H393" s="450"/>
      <c r="I393" s="450"/>
      <c r="J393" s="450"/>
      <c r="K393" s="135" t="e">
        <f t="shared" ref="K393:L393" si="117">IF(AND(K394:K397),"Passed","Failed")</f>
        <v>#VALUE!</v>
      </c>
      <c r="L393" s="135" t="e">
        <f t="shared" si="117"/>
        <v>#VALUE!</v>
      </c>
      <c r="M393" s="135" t="e">
        <f>IF(AND(M394:M397),"Passed","Failed")</f>
        <v>#VALUE!</v>
      </c>
      <c r="N393" s="135" t="e">
        <f t="shared" ref="N393:O393" si="118">IF(AND(N394:N397),"Passed","Failed")</f>
        <v>#VALUE!</v>
      </c>
      <c r="O393" s="135" t="e">
        <f t="shared" si="118"/>
        <v>#VALUE!</v>
      </c>
      <c r="P393" s="1"/>
      <c r="Q393" s="1"/>
      <c r="R393" s="1"/>
      <c r="S393" s="1"/>
      <c r="T393" s="1"/>
    </row>
    <row r="394" spans="1:20" ht="15" hidden="1" customHeight="1" outlineLevel="3">
      <c r="A394" s="62"/>
      <c r="B394" s="5"/>
      <c r="C394" s="5"/>
      <c r="D394" s="5"/>
      <c r="E394" s="16"/>
      <c r="F394" s="38" t="str">
        <f>HYPERLINK("#'Test Case'!A1","n.2.1.1")</f>
        <v>n.2.1.1</v>
      </c>
      <c r="G394" s="449" t="s">
        <v>68</v>
      </c>
      <c r="H394" s="449"/>
      <c r="I394" s="449"/>
      <c r="J394" s="449"/>
      <c r="K394" s="88"/>
      <c r="L394" s="88"/>
      <c r="M394" s="88"/>
      <c r="N394" s="88"/>
      <c r="O394" s="88"/>
      <c r="P394" s="1"/>
      <c r="Q394" s="1"/>
      <c r="R394" s="1"/>
      <c r="S394" s="1"/>
      <c r="T394" s="1"/>
    </row>
    <row r="395" spans="1:20" ht="15" hidden="1" customHeight="1" outlineLevel="3">
      <c r="A395" s="62"/>
      <c r="B395" s="5"/>
      <c r="C395" s="5"/>
      <c r="D395" s="5"/>
      <c r="E395" s="16"/>
      <c r="F395" s="38" t="str">
        <f>HYPERLINK("#'Test Case'!A1","n.2.1.2")</f>
        <v>n.2.1.2</v>
      </c>
      <c r="G395" s="449" t="s">
        <v>69</v>
      </c>
      <c r="H395" s="449"/>
      <c r="I395" s="449"/>
      <c r="J395" s="449"/>
      <c r="K395" s="88"/>
      <c r="L395" s="88"/>
      <c r="M395" s="88"/>
      <c r="N395" s="88"/>
      <c r="O395" s="88"/>
      <c r="P395" s="1"/>
      <c r="Q395" s="1"/>
      <c r="R395" s="1"/>
      <c r="S395" s="1"/>
      <c r="T395" s="1"/>
    </row>
    <row r="396" spans="1:20" ht="15" hidden="1" customHeight="1" outlineLevel="3">
      <c r="A396" s="62"/>
      <c r="B396" s="1"/>
      <c r="C396" s="1"/>
      <c r="D396" s="1"/>
      <c r="E396" s="1"/>
      <c r="F396" s="38" t="str">
        <f>HYPERLINK("#'Test Case'!A1","n.2.1.3")</f>
        <v>n.2.1.3</v>
      </c>
      <c r="G396" s="449" t="s">
        <v>70</v>
      </c>
      <c r="H396" s="449"/>
      <c r="I396" s="449"/>
      <c r="J396" s="449"/>
      <c r="K396" s="88"/>
      <c r="L396" s="88"/>
      <c r="M396" s="88"/>
      <c r="N396" s="88"/>
      <c r="O396" s="88"/>
      <c r="P396" s="1"/>
      <c r="Q396" s="1"/>
      <c r="R396" s="1"/>
      <c r="S396" s="1"/>
      <c r="T396" s="1"/>
    </row>
    <row r="397" spans="1:20" ht="15" hidden="1" customHeight="1" outlineLevel="3">
      <c r="A397" s="62"/>
      <c r="B397" s="1"/>
      <c r="C397" s="1"/>
      <c r="D397" s="1"/>
      <c r="E397" s="1"/>
      <c r="F397" s="38" t="str">
        <f>HYPERLINK("#'Test Case'!A1","n.2.1.4")</f>
        <v>n.2.1.4</v>
      </c>
      <c r="G397" s="449" t="s">
        <v>71</v>
      </c>
      <c r="H397" s="449"/>
      <c r="I397" s="449"/>
      <c r="J397" s="449"/>
      <c r="K397" s="88"/>
      <c r="L397" s="88"/>
      <c r="M397" s="88"/>
      <c r="N397" s="88"/>
      <c r="O397" s="88"/>
      <c r="P397" s="1"/>
      <c r="Q397" s="1"/>
      <c r="R397" s="1"/>
      <c r="S397" s="1"/>
      <c r="T397" s="1"/>
    </row>
    <row r="398" spans="1:20" ht="15" hidden="1" customHeight="1" outlineLevel="2" collapsed="1">
      <c r="A398" s="62"/>
      <c r="B398" s="1"/>
      <c r="C398" s="1"/>
      <c r="D398" s="29" t="s">
        <v>27</v>
      </c>
      <c r="E398" s="453" t="s">
        <v>26</v>
      </c>
      <c r="F398" s="454"/>
      <c r="G398" s="454"/>
      <c r="H398" s="454"/>
      <c r="I398" s="454"/>
      <c r="J398" s="463"/>
      <c r="K398" s="108"/>
      <c r="L398" s="108"/>
      <c r="M398" s="88"/>
      <c r="N398" s="88"/>
      <c r="O398" s="88"/>
      <c r="P398" s="1"/>
      <c r="Q398" s="1"/>
      <c r="R398" s="1"/>
      <c r="S398" s="1"/>
      <c r="T398" s="1"/>
    </row>
    <row r="399" spans="1:20" ht="15" hidden="1" customHeight="1" outlineLevel="2">
      <c r="A399" s="62"/>
      <c r="B399" s="1"/>
      <c r="C399" s="1"/>
      <c r="D399" s="8"/>
      <c r="E399" s="33" t="s">
        <v>28</v>
      </c>
      <c r="F399" s="450" t="s">
        <v>36</v>
      </c>
      <c r="G399" s="450"/>
      <c r="H399" s="450"/>
      <c r="I399" s="450"/>
      <c r="J399" s="450"/>
      <c r="K399" s="135" t="e">
        <f t="shared" ref="K399:L399" si="119">IF(AND(K400:K403),"Passed","Failed")</f>
        <v>#VALUE!</v>
      </c>
      <c r="L399" s="135" t="e">
        <f t="shared" si="119"/>
        <v>#VALUE!</v>
      </c>
      <c r="M399" s="135" t="e">
        <f>IF(AND(M400:M403),"Passed","Failed")</f>
        <v>#VALUE!</v>
      </c>
      <c r="N399" s="135" t="e">
        <f t="shared" ref="N399:O399" si="120">IF(AND(N400:N403),"Passed","Failed")</f>
        <v>#VALUE!</v>
      </c>
      <c r="O399" s="135" t="e">
        <f t="shared" si="120"/>
        <v>#VALUE!</v>
      </c>
      <c r="P399" s="1"/>
      <c r="Q399" s="1"/>
      <c r="R399" s="1"/>
      <c r="S399" s="1"/>
      <c r="T399" s="1"/>
    </row>
    <row r="400" spans="1:20" ht="15" hidden="1" customHeight="1" outlineLevel="3">
      <c r="A400" s="62"/>
      <c r="B400" s="1"/>
      <c r="C400" s="1"/>
      <c r="D400" s="8"/>
      <c r="E400" s="16"/>
      <c r="F400" s="30" t="s">
        <v>30</v>
      </c>
      <c r="G400" s="449"/>
      <c r="H400" s="449"/>
      <c r="I400" s="449"/>
      <c r="J400" s="449"/>
      <c r="K400" s="88"/>
      <c r="L400" s="88"/>
      <c r="M400" s="88"/>
      <c r="N400" s="88"/>
      <c r="O400" s="88"/>
      <c r="P400" s="1"/>
      <c r="Q400" s="1"/>
      <c r="R400" s="1"/>
      <c r="S400" s="1"/>
      <c r="T400" s="1"/>
    </row>
    <row r="401" spans="1:24" ht="15" hidden="1" customHeight="1" outlineLevel="3">
      <c r="A401" s="62"/>
      <c r="B401" s="1"/>
      <c r="C401" s="1"/>
      <c r="D401" s="8"/>
      <c r="E401" s="16"/>
      <c r="F401" s="30" t="s">
        <v>31</v>
      </c>
      <c r="G401" s="449"/>
      <c r="H401" s="449"/>
      <c r="I401" s="449"/>
      <c r="J401" s="449"/>
      <c r="K401" s="88"/>
      <c r="L401" s="88"/>
      <c r="M401" s="88"/>
      <c r="N401" s="88"/>
      <c r="O401" s="88"/>
      <c r="P401" s="1"/>
      <c r="Q401" s="1"/>
      <c r="R401" s="1"/>
      <c r="S401" s="1"/>
      <c r="T401" s="1"/>
    </row>
    <row r="402" spans="1:24" ht="15" hidden="1" customHeight="1" outlineLevel="3">
      <c r="A402" s="62"/>
      <c r="B402" s="1"/>
      <c r="C402" s="1"/>
      <c r="D402" s="8"/>
      <c r="E402" s="16"/>
      <c r="F402" s="30" t="s">
        <v>32</v>
      </c>
      <c r="G402" s="449"/>
      <c r="H402" s="449"/>
      <c r="I402" s="449"/>
      <c r="J402" s="449"/>
      <c r="K402" s="88"/>
      <c r="L402" s="88"/>
      <c r="M402" s="88"/>
      <c r="N402" s="88"/>
      <c r="O402" s="88"/>
      <c r="P402" s="1"/>
      <c r="Q402" s="1"/>
      <c r="R402" s="1"/>
      <c r="S402" s="1"/>
      <c r="T402" s="1"/>
    </row>
    <row r="403" spans="1:24" ht="15" hidden="1" customHeight="1" outlineLevel="3">
      <c r="A403" s="62"/>
      <c r="B403" s="1"/>
      <c r="C403" s="1"/>
      <c r="D403" s="8"/>
      <c r="E403" s="16"/>
      <c r="F403" s="30" t="s">
        <v>33</v>
      </c>
      <c r="G403" s="449"/>
      <c r="H403" s="449"/>
      <c r="I403" s="449"/>
      <c r="J403" s="449"/>
      <c r="K403" s="88"/>
      <c r="L403" s="88"/>
      <c r="M403" s="88"/>
      <c r="N403" s="88"/>
      <c r="O403" s="88"/>
      <c r="P403" s="1"/>
      <c r="Q403" s="1"/>
      <c r="R403" s="1"/>
      <c r="S403" s="1"/>
      <c r="T403" s="1"/>
    </row>
    <row r="404" spans="1:24" ht="15" hidden="1" customHeight="1" outlineLevel="2" collapsed="1">
      <c r="A404" s="62"/>
      <c r="B404" s="1"/>
      <c r="C404" s="1"/>
      <c r="D404" s="5"/>
      <c r="E404" s="32" t="s">
        <v>29</v>
      </c>
      <c r="F404" s="450" t="s">
        <v>37</v>
      </c>
      <c r="G404" s="450"/>
      <c r="H404" s="450"/>
      <c r="I404" s="450"/>
      <c r="J404" s="451"/>
      <c r="K404" s="306" t="e">
        <f t="shared" ref="K404:L404" si="121">IF(AND(K405:K408),"Passed","Failed")</f>
        <v>#VALUE!</v>
      </c>
      <c r="L404" s="306" t="e">
        <f t="shared" si="121"/>
        <v>#VALUE!</v>
      </c>
      <c r="M404" s="306" t="e">
        <f>IF(AND(M405:M408),"Passed","Failed")</f>
        <v>#VALUE!</v>
      </c>
      <c r="N404" s="306" t="e">
        <f t="shared" ref="N404:O404" si="122">IF(AND(N405:N408),"Passed","Failed")</f>
        <v>#VALUE!</v>
      </c>
      <c r="O404" s="306" t="e">
        <f t="shared" si="122"/>
        <v>#VALUE!</v>
      </c>
      <c r="P404" s="1"/>
      <c r="Q404" s="1"/>
      <c r="R404" s="1"/>
      <c r="S404" s="1"/>
      <c r="T404" s="1"/>
      <c r="U404" s="1"/>
      <c r="V404" s="1"/>
      <c r="W404" s="1"/>
      <c r="X404" s="1"/>
    </row>
    <row r="405" spans="1:24" ht="15" hidden="1" customHeight="1" outlineLevel="3">
      <c r="A405" s="62"/>
      <c r="B405" s="1"/>
      <c r="C405" s="1"/>
      <c r="D405" s="5"/>
      <c r="E405" s="16"/>
      <c r="F405" s="314" t="s">
        <v>30</v>
      </c>
      <c r="G405" s="464"/>
      <c r="H405" s="464"/>
      <c r="I405" s="464"/>
      <c r="J405" s="465"/>
      <c r="K405" s="315"/>
      <c r="L405" s="315"/>
      <c r="M405" s="315"/>
      <c r="N405" s="315"/>
      <c r="O405" s="316"/>
      <c r="P405" s="1"/>
      <c r="Q405" s="1"/>
      <c r="R405" s="1"/>
      <c r="S405" s="1"/>
      <c r="T405" s="1"/>
      <c r="U405" s="1"/>
      <c r="V405" s="1"/>
      <c r="W405" s="1"/>
      <c r="X405" s="1"/>
    </row>
    <row r="406" spans="1:24" ht="15" hidden="1" customHeight="1" outlineLevel="3">
      <c r="A406" s="62"/>
      <c r="B406" s="1"/>
      <c r="C406" s="1"/>
      <c r="D406" s="5"/>
      <c r="E406" s="16"/>
      <c r="F406" s="317" t="s">
        <v>31</v>
      </c>
      <c r="G406" s="449"/>
      <c r="H406" s="449"/>
      <c r="I406" s="449"/>
      <c r="J406" s="452"/>
      <c r="K406" s="88"/>
      <c r="L406" s="88"/>
      <c r="M406" s="88"/>
      <c r="N406" s="88"/>
      <c r="O406" s="318"/>
      <c r="P406" s="1"/>
      <c r="Q406" s="1"/>
      <c r="R406" s="1"/>
      <c r="S406" s="1"/>
      <c r="T406" s="1"/>
      <c r="U406" s="1"/>
      <c r="V406" s="1"/>
      <c r="W406" s="1"/>
      <c r="X406" s="1"/>
    </row>
    <row r="407" spans="1:24" ht="15" hidden="1" customHeight="1" outlineLevel="3">
      <c r="A407" s="62"/>
      <c r="B407" s="1"/>
      <c r="C407" s="1"/>
      <c r="D407" s="1"/>
      <c r="E407" s="1"/>
      <c r="F407" s="317" t="s">
        <v>32</v>
      </c>
      <c r="G407" s="449"/>
      <c r="H407" s="449"/>
      <c r="I407" s="449"/>
      <c r="J407" s="452"/>
      <c r="K407" s="88"/>
      <c r="L407" s="88"/>
      <c r="M407" s="88"/>
      <c r="N407" s="88"/>
      <c r="O407" s="318"/>
      <c r="P407" s="1"/>
      <c r="Q407" s="1"/>
      <c r="R407" s="1"/>
      <c r="S407" s="1"/>
      <c r="T407" s="1"/>
      <c r="U407" s="1"/>
      <c r="V407" s="1"/>
      <c r="W407" s="1"/>
      <c r="X407" s="1"/>
    </row>
    <row r="408" spans="1:24" ht="15" hidden="1" customHeight="1" outlineLevel="3">
      <c r="A408" s="62"/>
      <c r="B408" s="1"/>
      <c r="C408" s="1"/>
      <c r="D408" s="1"/>
      <c r="E408" s="1"/>
      <c r="F408" s="319" t="s">
        <v>33</v>
      </c>
      <c r="G408" s="461"/>
      <c r="H408" s="461"/>
      <c r="I408" s="461"/>
      <c r="J408" s="462"/>
      <c r="K408" s="320"/>
      <c r="L408" s="320"/>
      <c r="M408" s="320"/>
      <c r="N408" s="320"/>
      <c r="O408" s="321"/>
      <c r="P408" s="1"/>
      <c r="Q408" s="1"/>
      <c r="R408" s="1"/>
      <c r="S408" s="1"/>
      <c r="T408" s="1"/>
      <c r="U408" s="1"/>
      <c r="V408" s="1"/>
      <c r="W408" s="1"/>
      <c r="X408" s="1"/>
    </row>
    <row r="409" spans="1:24" ht="15" hidden="1" customHeight="1" outlineLevel="2" collapsed="1">
      <c r="A409" s="62"/>
      <c r="B409" s="1"/>
      <c r="C409" s="1"/>
      <c r="D409" s="1"/>
      <c r="E409" s="1"/>
      <c r="F409" s="1"/>
      <c r="G409" s="1"/>
      <c r="H409" s="1"/>
      <c r="I409" s="1"/>
      <c r="J409" s="1"/>
      <c r="K409" s="307"/>
      <c r="L409" s="307"/>
      <c r="M409" s="307"/>
      <c r="N409" s="307"/>
      <c r="O409" s="307"/>
      <c r="P409" s="1"/>
      <c r="Q409" s="1"/>
      <c r="R409" s="1"/>
      <c r="S409" s="1"/>
      <c r="T409" s="1"/>
      <c r="U409" s="1"/>
      <c r="V409" s="1"/>
      <c r="W409" s="1"/>
    </row>
    <row r="410" spans="1:24" ht="18.75" outlineLevel="1" collapsed="1">
      <c r="A410" s="62"/>
      <c r="B410" s="1"/>
      <c r="C410" s="1"/>
      <c r="D410" s="1"/>
      <c r="E410" s="9"/>
      <c r="F410" s="15"/>
      <c r="G410" s="14"/>
      <c r="H410" s="1"/>
      <c r="I410" s="1"/>
      <c r="J410" s="1"/>
      <c r="K410" s="460" t="s">
        <v>16</v>
      </c>
      <c r="L410" s="460"/>
      <c r="M410" s="447" t="s">
        <v>20</v>
      </c>
      <c r="N410" s="447"/>
      <c r="O410" s="447"/>
      <c r="P410" s="1"/>
      <c r="Q410" s="1"/>
      <c r="R410" s="1"/>
      <c r="S410" s="1"/>
      <c r="T410" s="1"/>
    </row>
    <row r="411" spans="1:24" outlineLevel="1">
      <c r="A411" s="62"/>
      <c r="B411" s="303" t="s">
        <v>8</v>
      </c>
      <c r="C411" s="455" t="s">
        <v>9</v>
      </c>
      <c r="D411" s="455"/>
      <c r="E411" s="455"/>
      <c r="F411" s="455"/>
      <c r="G411" s="455"/>
      <c r="H411" s="455"/>
      <c r="I411" s="455"/>
      <c r="J411" s="456"/>
      <c r="K411" s="89" t="s">
        <v>19</v>
      </c>
      <c r="L411" s="89" t="s">
        <v>15</v>
      </c>
      <c r="M411" s="89" t="s">
        <v>18</v>
      </c>
      <c r="N411" s="89" t="s">
        <v>44</v>
      </c>
      <c r="O411" s="89" t="s">
        <v>156</v>
      </c>
      <c r="P411" s="1"/>
      <c r="Q411" s="1"/>
      <c r="R411" s="1"/>
      <c r="S411" s="1"/>
      <c r="T411" s="1"/>
    </row>
    <row r="412" spans="1:24" outlineLevel="1">
      <c r="A412" s="62"/>
      <c r="B412" s="27" t="s">
        <v>21</v>
      </c>
      <c r="C412" s="28" t="s">
        <v>22</v>
      </c>
      <c r="D412" s="457" t="s">
        <v>25</v>
      </c>
      <c r="E412" s="458"/>
      <c r="F412" s="458"/>
      <c r="G412" s="458"/>
      <c r="H412" s="458"/>
      <c r="I412" s="458"/>
      <c r="J412" s="459"/>
      <c r="K412" s="107" t="e">
        <f>IF(AND(K414="Passed",K419="Passed"),"For review","For completion")</f>
        <v>#VALUE!</v>
      </c>
      <c r="L412" s="107" t="e">
        <f>IF(AND(L414="Passed",L419="Passed"),"QA ready","For completion")</f>
        <v>#VALUE!</v>
      </c>
      <c r="M412" s="107" t="e">
        <f>IF(AND(M414="Passed",M419="Passed"),"For verification","For completion")</f>
        <v>#VALUE!</v>
      </c>
      <c r="N412" s="107" t="e">
        <f>IF(AND(N414="Passed",N419="Passed"),"Demo ready","For completion")</f>
        <v>#VALUE!</v>
      </c>
      <c r="O412" s="107" t="e">
        <f>IF(AND(O414="Passed",O419="Passed"),"Production ready","For completion")</f>
        <v>#VALUE!</v>
      </c>
      <c r="P412" s="1"/>
      <c r="Q412" s="1"/>
      <c r="R412" s="1"/>
      <c r="S412" s="1"/>
      <c r="T412" s="1"/>
    </row>
    <row r="413" spans="1:24" ht="15" hidden="1" customHeight="1" outlineLevel="2">
      <c r="A413" s="62"/>
      <c r="B413" s="5"/>
      <c r="C413" s="8"/>
      <c r="D413" s="29" t="s">
        <v>23</v>
      </c>
      <c r="E413" s="453" t="s">
        <v>26</v>
      </c>
      <c r="F413" s="454"/>
      <c r="G413" s="454"/>
      <c r="H413" s="454"/>
      <c r="I413" s="454"/>
      <c r="J413" s="463"/>
      <c r="K413" s="108"/>
      <c r="L413" s="108"/>
      <c r="M413" s="88"/>
      <c r="N413" s="88"/>
      <c r="O413" s="88"/>
      <c r="P413" s="1"/>
      <c r="Q413" s="1"/>
      <c r="R413" s="1"/>
      <c r="S413" s="1"/>
      <c r="T413" s="1"/>
    </row>
    <row r="414" spans="1:24" ht="15" hidden="1" customHeight="1" outlineLevel="2">
      <c r="A414" s="62"/>
      <c r="B414" s="5"/>
      <c r="C414" s="8"/>
      <c r="D414" s="8"/>
      <c r="E414" s="33" t="s">
        <v>24</v>
      </c>
      <c r="F414" s="450" t="s">
        <v>34</v>
      </c>
      <c r="G414" s="450"/>
      <c r="H414" s="450"/>
      <c r="I414" s="450"/>
      <c r="J414" s="450"/>
      <c r="K414" s="306" t="e">
        <f t="shared" ref="K414:L414" si="123">IF(AND(K415:K418),"Passed","Failed")</f>
        <v>#VALUE!</v>
      </c>
      <c r="L414" s="306" t="e">
        <f t="shared" si="123"/>
        <v>#VALUE!</v>
      </c>
      <c r="M414" s="306" t="e">
        <f>IF(AND(M415:M418),"Passed","Failed")</f>
        <v>#VALUE!</v>
      </c>
      <c r="N414" s="306" t="e">
        <f t="shared" ref="N414:O414" si="124">IF(AND(N415:N418),"Passed","Failed")</f>
        <v>#VALUE!</v>
      </c>
      <c r="O414" s="306" t="e">
        <f t="shared" si="124"/>
        <v>#VALUE!</v>
      </c>
      <c r="P414" s="1"/>
      <c r="Q414" s="1"/>
      <c r="R414" s="1"/>
      <c r="S414" s="1"/>
      <c r="T414" s="1"/>
    </row>
    <row r="415" spans="1:24" ht="15" hidden="1" customHeight="1" outlineLevel="3">
      <c r="A415" s="62"/>
      <c r="B415" s="5"/>
      <c r="C415" s="8"/>
      <c r="D415" s="8"/>
      <c r="E415" s="16"/>
      <c r="F415" s="38" t="str">
        <f>HYPERLINK("#'Test Case'!A1","n.1.1.1")</f>
        <v>n.1.1.1</v>
      </c>
      <c r="G415" s="449" t="s">
        <v>68</v>
      </c>
      <c r="H415" s="449"/>
      <c r="I415" s="449"/>
      <c r="J415" s="449"/>
      <c r="K415" s="88"/>
      <c r="L415" s="88"/>
      <c r="M415" s="88"/>
      <c r="N415" s="88"/>
      <c r="O415" s="88"/>
      <c r="P415" s="1"/>
      <c r="Q415" s="1"/>
      <c r="R415" s="1"/>
      <c r="S415" s="1"/>
      <c r="T415" s="1"/>
    </row>
    <row r="416" spans="1:24" ht="15" hidden="1" customHeight="1" outlineLevel="3">
      <c r="A416" s="62"/>
      <c r="B416" s="5"/>
      <c r="C416" s="8"/>
      <c r="D416" s="8"/>
      <c r="E416" s="16"/>
      <c r="F416" s="38" t="str">
        <f>HYPERLINK("#'Test Case'!A1","n.1.1.2")</f>
        <v>n.1.1.2</v>
      </c>
      <c r="G416" s="449" t="s">
        <v>69</v>
      </c>
      <c r="H416" s="449"/>
      <c r="I416" s="449"/>
      <c r="J416" s="449"/>
      <c r="K416" s="88"/>
      <c r="L416" s="88"/>
      <c r="M416" s="88"/>
      <c r="N416" s="88"/>
      <c r="O416" s="88"/>
      <c r="P416" s="1"/>
      <c r="Q416" s="1"/>
      <c r="R416" s="1"/>
      <c r="S416" s="1"/>
      <c r="T416" s="1"/>
    </row>
    <row r="417" spans="1:24" ht="15" hidden="1" customHeight="1" outlineLevel="3">
      <c r="A417" s="62"/>
      <c r="B417" s="5"/>
      <c r="C417" s="8"/>
      <c r="D417" s="8"/>
      <c r="E417" s="16"/>
      <c r="F417" s="38" t="str">
        <f>HYPERLINK("#'Test Case'!A1","n.1.1.3")</f>
        <v>n.1.1.3</v>
      </c>
      <c r="G417" s="449" t="s">
        <v>70</v>
      </c>
      <c r="H417" s="449"/>
      <c r="I417" s="449"/>
      <c r="J417" s="449"/>
      <c r="K417" s="88"/>
      <c r="L417" s="88"/>
      <c r="M417" s="88"/>
      <c r="N417" s="88"/>
      <c r="O417" s="88"/>
      <c r="P417" s="1"/>
      <c r="Q417" s="1"/>
      <c r="R417" s="1"/>
      <c r="S417" s="1"/>
      <c r="T417" s="1"/>
    </row>
    <row r="418" spans="1:24" ht="15" hidden="1" customHeight="1" outlineLevel="3">
      <c r="A418" s="62"/>
      <c r="B418" s="5"/>
      <c r="C418" s="8"/>
      <c r="D418" s="8"/>
      <c r="E418" s="16"/>
      <c r="F418" s="38" t="str">
        <f>HYPERLINK("#'Test Case'!A1","n.1.1.4")</f>
        <v>n.1.1.4</v>
      </c>
      <c r="G418" s="449" t="s">
        <v>71</v>
      </c>
      <c r="H418" s="449"/>
      <c r="I418" s="449"/>
      <c r="J418" s="449"/>
      <c r="K418" s="88"/>
      <c r="L418" s="88"/>
      <c r="M418" s="88"/>
      <c r="N418" s="88"/>
      <c r="O418" s="88"/>
      <c r="P418" s="1"/>
      <c r="Q418" s="1"/>
      <c r="R418" s="1"/>
      <c r="S418" s="1"/>
      <c r="T418" s="1"/>
    </row>
    <row r="419" spans="1:24" ht="15" hidden="1" customHeight="1" outlineLevel="2" collapsed="1">
      <c r="A419" s="62"/>
      <c r="B419" s="5"/>
      <c r="C419" s="5"/>
      <c r="D419" s="5"/>
      <c r="E419" s="32" t="s">
        <v>28</v>
      </c>
      <c r="F419" s="450" t="s">
        <v>35</v>
      </c>
      <c r="G419" s="450"/>
      <c r="H419" s="450"/>
      <c r="I419" s="450"/>
      <c r="J419" s="450"/>
      <c r="K419" s="135" t="e">
        <f t="shared" ref="K419:L419" si="125">IF(AND(K420:K423),"Passed","Failed")</f>
        <v>#VALUE!</v>
      </c>
      <c r="L419" s="135" t="e">
        <f t="shared" si="125"/>
        <v>#VALUE!</v>
      </c>
      <c r="M419" s="135" t="e">
        <f>IF(AND(M420:M423),"Passed","Failed")</f>
        <v>#VALUE!</v>
      </c>
      <c r="N419" s="135" t="e">
        <f t="shared" ref="N419:O419" si="126">IF(AND(N420:N423),"Passed","Failed")</f>
        <v>#VALUE!</v>
      </c>
      <c r="O419" s="135" t="e">
        <f t="shared" si="126"/>
        <v>#VALUE!</v>
      </c>
      <c r="P419" s="1"/>
      <c r="Q419" s="1"/>
      <c r="R419" s="1"/>
      <c r="S419" s="1"/>
      <c r="T419" s="1"/>
    </row>
    <row r="420" spans="1:24" ht="15" hidden="1" customHeight="1" outlineLevel="3">
      <c r="A420" s="62"/>
      <c r="B420" s="5"/>
      <c r="C420" s="5"/>
      <c r="D420" s="5"/>
      <c r="E420" s="16"/>
      <c r="F420" s="38" t="str">
        <f>HYPERLINK("#'Test Case'!A1","n.2.1.1")</f>
        <v>n.2.1.1</v>
      </c>
      <c r="G420" s="449" t="s">
        <v>68</v>
      </c>
      <c r="H420" s="449"/>
      <c r="I420" s="449"/>
      <c r="J420" s="449"/>
      <c r="K420" s="88"/>
      <c r="L420" s="88"/>
      <c r="M420" s="88"/>
      <c r="N420" s="88"/>
      <c r="O420" s="88"/>
      <c r="P420" s="1"/>
      <c r="Q420" s="1"/>
      <c r="R420" s="1"/>
      <c r="S420" s="1"/>
      <c r="T420" s="1"/>
    </row>
    <row r="421" spans="1:24" ht="15" hidden="1" customHeight="1" outlineLevel="3">
      <c r="A421" s="62"/>
      <c r="B421" s="5"/>
      <c r="C421" s="5"/>
      <c r="D421" s="5"/>
      <c r="E421" s="16"/>
      <c r="F421" s="38" t="str">
        <f>HYPERLINK("#'Test Case'!A1","n.2.1.2")</f>
        <v>n.2.1.2</v>
      </c>
      <c r="G421" s="449" t="s">
        <v>69</v>
      </c>
      <c r="H421" s="449"/>
      <c r="I421" s="449"/>
      <c r="J421" s="449"/>
      <c r="K421" s="88"/>
      <c r="L421" s="88"/>
      <c r="M421" s="88"/>
      <c r="N421" s="88"/>
      <c r="O421" s="88"/>
      <c r="P421" s="1"/>
      <c r="Q421" s="1"/>
      <c r="R421" s="1"/>
      <c r="S421" s="1"/>
      <c r="T421" s="1"/>
    </row>
    <row r="422" spans="1:24" ht="15" hidden="1" customHeight="1" outlineLevel="3">
      <c r="A422" s="62"/>
      <c r="B422" s="1"/>
      <c r="C422" s="1"/>
      <c r="D422" s="1"/>
      <c r="E422" s="1"/>
      <c r="F422" s="38" t="str">
        <f>HYPERLINK("#'Test Case'!A1","n.2.1.3")</f>
        <v>n.2.1.3</v>
      </c>
      <c r="G422" s="449" t="s">
        <v>70</v>
      </c>
      <c r="H422" s="449"/>
      <c r="I422" s="449"/>
      <c r="J422" s="449"/>
      <c r="K422" s="88"/>
      <c r="L422" s="88"/>
      <c r="M422" s="88"/>
      <c r="N422" s="88"/>
      <c r="O422" s="88"/>
      <c r="P422" s="1"/>
      <c r="Q422" s="1"/>
      <c r="R422" s="1"/>
      <c r="S422" s="1"/>
      <c r="T422" s="1"/>
    </row>
    <row r="423" spans="1:24" ht="15" hidden="1" customHeight="1" outlineLevel="3">
      <c r="A423" s="62"/>
      <c r="B423" s="1"/>
      <c r="C423" s="1"/>
      <c r="D423" s="1"/>
      <c r="E423" s="1"/>
      <c r="F423" s="38" t="str">
        <f>HYPERLINK("#'Test Case'!A1","n.2.1.4")</f>
        <v>n.2.1.4</v>
      </c>
      <c r="G423" s="449" t="s">
        <v>71</v>
      </c>
      <c r="H423" s="449"/>
      <c r="I423" s="449"/>
      <c r="J423" s="449"/>
      <c r="K423" s="88"/>
      <c r="L423" s="88"/>
      <c r="M423" s="88"/>
      <c r="N423" s="88"/>
      <c r="O423" s="88"/>
      <c r="P423" s="1"/>
      <c r="Q423" s="1"/>
      <c r="R423" s="1"/>
      <c r="S423" s="1"/>
      <c r="T423" s="1"/>
    </row>
    <row r="424" spans="1:24" ht="15" hidden="1" customHeight="1" outlineLevel="2" collapsed="1">
      <c r="A424" s="62"/>
      <c r="B424" s="1"/>
      <c r="C424" s="1"/>
      <c r="D424" s="29" t="s">
        <v>27</v>
      </c>
      <c r="E424" s="453" t="s">
        <v>26</v>
      </c>
      <c r="F424" s="454"/>
      <c r="G424" s="454"/>
      <c r="H424" s="454"/>
      <c r="I424" s="454"/>
      <c r="J424" s="463"/>
      <c r="K424" s="108"/>
      <c r="L424" s="108"/>
      <c r="M424" s="88"/>
      <c r="N424" s="88"/>
      <c r="O424" s="88"/>
      <c r="P424" s="1"/>
      <c r="Q424" s="1"/>
      <c r="R424" s="1"/>
      <c r="S424" s="1"/>
      <c r="T424" s="1"/>
    </row>
    <row r="425" spans="1:24" ht="15" hidden="1" customHeight="1" outlineLevel="2">
      <c r="A425" s="62"/>
      <c r="B425" s="1"/>
      <c r="C425" s="1"/>
      <c r="D425" s="8"/>
      <c r="E425" s="33" t="s">
        <v>28</v>
      </c>
      <c r="F425" s="450" t="s">
        <v>36</v>
      </c>
      <c r="G425" s="450"/>
      <c r="H425" s="450"/>
      <c r="I425" s="450"/>
      <c r="J425" s="450"/>
      <c r="K425" s="135" t="e">
        <f t="shared" ref="K425:L425" si="127">IF(AND(K426:K429),"Passed","Failed")</f>
        <v>#VALUE!</v>
      </c>
      <c r="L425" s="135" t="e">
        <f t="shared" si="127"/>
        <v>#VALUE!</v>
      </c>
      <c r="M425" s="135" t="e">
        <f>IF(AND(M426:M429),"Passed","Failed")</f>
        <v>#VALUE!</v>
      </c>
      <c r="N425" s="135" t="e">
        <f t="shared" ref="N425:O425" si="128">IF(AND(N426:N429),"Passed","Failed")</f>
        <v>#VALUE!</v>
      </c>
      <c r="O425" s="135" t="e">
        <f t="shared" si="128"/>
        <v>#VALUE!</v>
      </c>
      <c r="P425" s="1"/>
      <c r="Q425" s="1"/>
      <c r="R425" s="1"/>
      <c r="S425" s="1"/>
      <c r="T425" s="1"/>
    </row>
    <row r="426" spans="1:24" ht="15" hidden="1" customHeight="1" outlineLevel="3">
      <c r="A426" s="62"/>
      <c r="B426" s="1"/>
      <c r="C426" s="1"/>
      <c r="D426" s="8"/>
      <c r="E426" s="16"/>
      <c r="F426" s="30" t="s">
        <v>30</v>
      </c>
      <c r="G426" s="449"/>
      <c r="H426" s="449"/>
      <c r="I426" s="449"/>
      <c r="J426" s="449"/>
      <c r="K426" s="88"/>
      <c r="L426" s="88"/>
      <c r="M426" s="88"/>
      <c r="N426" s="88"/>
      <c r="O426" s="88"/>
      <c r="P426" s="1"/>
      <c r="Q426" s="1"/>
      <c r="R426" s="1"/>
      <c r="S426" s="1"/>
      <c r="T426" s="1"/>
    </row>
    <row r="427" spans="1:24" ht="15" hidden="1" customHeight="1" outlineLevel="3">
      <c r="A427" s="62"/>
      <c r="B427" s="1"/>
      <c r="C427" s="1"/>
      <c r="D427" s="8"/>
      <c r="E427" s="16"/>
      <c r="F427" s="30" t="s">
        <v>31</v>
      </c>
      <c r="G427" s="449"/>
      <c r="H427" s="449"/>
      <c r="I427" s="449"/>
      <c r="J427" s="449"/>
      <c r="K427" s="88"/>
      <c r="L427" s="88"/>
      <c r="M427" s="88"/>
      <c r="N427" s="88"/>
      <c r="O427" s="88"/>
      <c r="P427" s="1"/>
      <c r="Q427" s="1"/>
      <c r="R427" s="1"/>
      <c r="S427" s="1"/>
      <c r="T427" s="1"/>
    </row>
    <row r="428" spans="1:24" ht="15" hidden="1" customHeight="1" outlineLevel="3">
      <c r="A428" s="62"/>
      <c r="B428" s="1"/>
      <c r="C428" s="1"/>
      <c r="D428" s="8"/>
      <c r="E428" s="16"/>
      <c r="F428" s="30" t="s">
        <v>32</v>
      </c>
      <c r="G428" s="449"/>
      <c r="H428" s="449"/>
      <c r="I428" s="449"/>
      <c r="J428" s="449"/>
      <c r="K428" s="88"/>
      <c r="L428" s="88"/>
      <c r="M428" s="88"/>
      <c r="N428" s="88"/>
      <c r="O428" s="88"/>
      <c r="P428" s="1"/>
      <c r="Q428" s="1"/>
      <c r="R428" s="1"/>
      <c r="S428" s="1"/>
      <c r="T428" s="1"/>
    </row>
    <row r="429" spans="1:24" ht="15" hidden="1" customHeight="1" outlineLevel="3">
      <c r="A429" s="62"/>
      <c r="B429" s="1"/>
      <c r="C429" s="1"/>
      <c r="D429" s="8"/>
      <c r="E429" s="16"/>
      <c r="F429" s="30" t="s">
        <v>33</v>
      </c>
      <c r="G429" s="449"/>
      <c r="H429" s="449"/>
      <c r="I429" s="449"/>
      <c r="J429" s="449"/>
      <c r="K429" s="88"/>
      <c r="L429" s="88"/>
      <c r="M429" s="88"/>
      <c r="N429" s="88"/>
      <c r="O429" s="88"/>
      <c r="P429" s="1"/>
      <c r="Q429" s="1"/>
      <c r="R429" s="1"/>
      <c r="S429" s="1"/>
      <c r="T429" s="1"/>
    </row>
    <row r="430" spans="1:24" ht="15" hidden="1" customHeight="1" outlineLevel="2" collapsed="1">
      <c r="A430" s="62"/>
      <c r="B430" s="1"/>
      <c r="C430" s="1"/>
      <c r="D430" s="5"/>
      <c r="E430" s="32" t="s">
        <v>29</v>
      </c>
      <c r="F430" s="450" t="s">
        <v>37</v>
      </c>
      <c r="G430" s="450"/>
      <c r="H430" s="450"/>
      <c r="I430" s="450"/>
      <c r="J430" s="451"/>
      <c r="K430" s="306" t="e">
        <f t="shared" ref="K430:L430" si="129">IF(AND(K431:K434),"Passed","Failed")</f>
        <v>#VALUE!</v>
      </c>
      <c r="L430" s="306" t="e">
        <f t="shared" si="129"/>
        <v>#VALUE!</v>
      </c>
      <c r="M430" s="306" t="e">
        <f>IF(AND(M431:M434),"Passed","Failed")</f>
        <v>#VALUE!</v>
      </c>
      <c r="N430" s="306" t="e">
        <f t="shared" ref="N430:O430" si="130">IF(AND(N431:N434),"Passed","Failed")</f>
        <v>#VALUE!</v>
      </c>
      <c r="O430" s="306" t="e">
        <f t="shared" si="130"/>
        <v>#VALUE!</v>
      </c>
      <c r="P430" s="1"/>
      <c r="Q430" s="1"/>
      <c r="R430" s="1"/>
      <c r="S430" s="1"/>
      <c r="T430" s="1"/>
      <c r="U430" s="1"/>
      <c r="V430" s="1"/>
      <c r="W430" s="1"/>
      <c r="X430" s="1"/>
    </row>
    <row r="431" spans="1:24" ht="15" hidden="1" customHeight="1" outlineLevel="3">
      <c r="A431" s="62"/>
      <c r="B431" s="1"/>
      <c r="C431" s="1"/>
      <c r="D431" s="5"/>
      <c r="E431" s="16"/>
      <c r="F431" s="314" t="s">
        <v>30</v>
      </c>
      <c r="G431" s="464"/>
      <c r="H431" s="464"/>
      <c r="I431" s="464"/>
      <c r="J431" s="465"/>
      <c r="K431" s="315"/>
      <c r="L431" s="315"/>
      <c r="M431" s="315"/>
      <c r="N431" s="315"/>
      <c r="O431" s="316"/>
      <c r="P431" s="1"/>
      <c r="Q431" s="1"/>
      <c r="R431" s="1"/>
      <c r="S431" s="1"/>
      <c r="T431" s="1"/>
      <c r="U431" s="1"/>
      <c r="V431" s="1"/>
      <c r="W431" s="1"/>
      <c r="X431" s="1"/>
    </row>
    <row r="432" spans="1:24" ht="15" hidden="1" customHeight="1" outlineLevel="3">
      <c r="A432" s="62"/>
      <c r="B432" s="1"/>
      <c r="C432" s="1"/>
      <c r="D432" s="5"/>
      <c r="E432" s="16"/>
      <c r="F432" s="317" t="s">
        <v>31</v>
      </c>
      <c r="G432" s="449"/>
      <c r="H432" s="449"/>
      <c r="I432" s="449"/>
      <c r="J432" s="452"/>
      <c r="K432" s="88"/>
      <c r="L432" s="88"/>
      <c r="M432" s="88"/>
      <c r="N432" s="88"/>
      <c r="O432" s="318"/>
      <c r="P432" s="1"/>
      <c r="Q432" s="1"/>
      <c r="R432" s="1"/>
      <c r="S432" s="1"/>
      <c r="T432" s="1"/>
      <c r="U432" s="1"/>
      <c r="V432" s="1"/>
      <c r="W432" s="1"/>
      <c r="X432" s="1"/>
    </row>
    <row r="433" spans="1:24" ht="15" hidden="1" customHeight="1" outlineLevel="3">
      <c r="A433" s="62"/>
      <c r="B433" s="1"/>
      <c r="C433" s="1"/>
      <c r="D433" s="1"/>
      <c r="E433" s="1"/>
      <c r="F433" s="317" t="s">
        <v>32</v>
      </c>
      <c r="G433" s="449"/>
      <c r="H433" s="449"/>
      <c r="I433" s="449"/>
      <c r="J433" s="452"/>
      <c r="K433" s="88"/>
      <c r="L433" s="88"/>
      <c r="M433" s="88"/>
      <c r="N433" s="88"/>
      <c r="O433" s="318"/>
      <c r="P433" s="1"/>
      <c r="Q433" s="1"/>
      <c r="R433" s="1"/>
      <c r="S433" s="1"/>
      <c r="T433" s="1"/>
      <c r="U433" s="1"/>
      <c r="V433" s="1"/>
      <c r="W433" s="1"/>
      <c r="X433" s="1"/>
    </row>
    <row r="434" spans="1:24" ht="15" hidden="1" customHeight="1" outlineLevel="3">
      <c r="A434" s="62"/>
      <c r="B434" s="1"/>
      <c r="C434" s="1"/>
      <c r="D434" s="1"/>
      <c r="E434" s="1"/>
      <c r="F434" s="319" t="s">
        <v>33</v>
      </c>
      <c r="G434" s="461"/>
      <c r="H434" s="461"/>
      <c r="I434" s="461"/>
      <c r="J434" s="462"/>
      <c r="K434" s="320"/>
      <c r="L434" s="320"/>
      <c r="M434" s="320"/>
      <c r="N434" s="320"/>
      <c r="O434" s="321"/>
      <c r="P434" s="1"/>
      <c r="Q434" s="1"/>
      <c r="R434" s="1"/>
      <c r="S434" s="1"/>
      <c r="T434" s="1"/>
      <c r="U434" s="1"/>
      <c r="V434" s="1"/>
      <c r="W434" s="1"/>
      <c r="X434" s="1"/>
    </row>
    <row r="435" spans="1:24" ht="15" hidden="1" customHeight="1" outlineLevel="2" collapsed="1">
      <c r="A435" s="62"/>
      <c r="B435" s="1"/>
      <c r="C435" s="1"/>
      <c r="D435" s="1"/>
      <c r="E435" s="1"/>
      <c r="F435" s="1"/>
      <c r="G435" s="1"/>
      <c r="H435" s="1"/>
      <c r="I435" s="1"/>
      <c r="J435" s="1"/>
      <c r="K435" s="307"/>
      <c r="L435" s="307"/>
      <c r="M435" s="307"/>
      <c r="N435" s="307"/>
      <c r="O435" s="307"/>
      <c r="P435" s="1"/>
      <c r="Q435" s="1"/>
      <c r="R435" s="1"/>
      <c r="S435" s="1"/>
      <c r="T435" s="1"/>
      <c r="U435" s="1"/>
      <c r="V435" s="1"/>
      <c r="W435" s="1"/>
    </row>
    <row r="436" spans="1:24" ht="18.75" outlineLevel="1" collapsed="1">
      <c r="A436" s="62"/>
      <c r="B436" s="1"/>
      <c r="C436" s="1"/>
      <c r="D436" s="1"/>
      <c r="E436" s="9"/>
      <c r="F436" s="15"/>
      <c r="G436" s="14"/>
      <c r="H436" s="1"/>
      <c r="I436" s="1"/>
      <c r="J436" s="1"/>
      <c r="K436" s="460" t="s">
        <v>16</v>
      </c>
      <c r="L436" s="460"/>
      <c r="M436" s="447" t="s">
        <v>20</v>
      </c>
      <c r="N436" s="447"/>
      <c r="O436" s="447"/>
      <c r="P436" s="1"/>
      <c r="Q436" s="1"/>
      <c r="R436" s="1"/>
      <c r="S436" s="1"/>
      <c r="T436" s="1"/>
    </row>
    <row r="437" spans="1:24" outlineLevel="1">
      <c r="A437" s="62"/>
      <c r="B437" s="303" t="s">
        <v>8</v>
      </c>
      <c r="C437" s="455" t="s">
        <v>9</v>
      </c>
      <c r="D437" s="455"/>
      <c r="E437" s="455"/>
      <c r="F437" s="455"/>
      <c r="G437" s="455"/>
      <c r="H437" s="455"/>
      <c r="I437" s="455"/>
      <c r="J437" s="456"/>
      <c r="K437" s="89" t="s">
        <v>19</v>
      </c>
      <c r="L437" s="89" t="s">
        <v>15</v>
      </c>
      <c r="M437" s="89" t="s">
        <v>18</v>
      </c>
      <c r="N437" s="89" t="s">
        <v>44</v>
      </c>
      <c r="O437" s="89" t="s">
        <v>156</v>
      </c>
      <c r="P437" s="1"/>
      <c r="Q437" s="1"/>
      <c r="R437" s="1"/>
      <c r="S437" s="1"/>
      <c r="T437" s="1"/>
    </row>
    <row r="438" spans="1:24" outlineLevel="1">
      <c r="A438" s="62"/>
      <c r="B438" s="27" t="s">
        <v>21</v>
      </c>
      <c r="C438" s="28" t="s">
        <v>22</v>
      </c>
      <c r="D438" s="457" t="s">
        <v>25</v>
      </c>
      <c r="E438" s="458"/>
      <c r="F438" s="458"/>
      <c r="G438" s="458"/>
      <c r="H438" s="458"/>
      <c r="I438" s="458"/>
      <c r="J438" s="459"/>
      <c r="K438" s="107" t="e">
        <f>IF(AND(K440="Passed",K445="Passed"),"For review","For completion")</f>
        <v>#VALUE!</v>
      </c>
      <c r="L438" s="107" t="e">
        <f>IF(AND(L440="Passed",L445="Passed"),"QA ready","For completion")</f>
        <v>#VALUE!</v>
      </c>
      <c r="M438" s="107" t="e">
        <f>IF(AND(M440="Passed",M445="Passed"),"For verification","For completion")</f>
        <v>#VALUE!</v>
      </c>
      <c r="N438" s="107" t="e">
        <f>IF(AND(N440="Passed",N445="Passed"),"Demo ready","For completion")</f>
        <v>#VALUE!</v>
      </c>
      <c r="O438" s="107" t="e">
        <f>IF(AND(O440="Passed",O445="Passed"),"Production ready","For completion")</f>
        <v>#VALUE!</v>
      </c>
      <c r="P438" s="1"/>
      <c r="Q438" s="1"/>
      <c r="R438" s="1"/>
      <c r="S438" s="1"/>
      <c r="T438" s="1"/>
    </row>
    <row r="439" spans="1:24" ht="15" hidden="1" customHeight="1" outlineLevel="2">
      <c r="A439" s="62"/>
      <c r="B439" s="5"/>
      <c r="C439" s="8"/>
      <c r="D439" s="29" t="s">
        <v>23</v>
      </c>
      <c r="E439" s="453" t="s">
        <v>26</v>
      </c>
      <c r="F439" s="454"/>
      <c r="G439" s="454"/>
      <c r="H439" s="454"/>
      <c r="I439" s="454"/>
      <c r="J439" s="463"/>
      <c r="K439" s="108"/>
      <c r="L439" s="108"/>
      <c r="M439" s="88"/>
      <c r="N439" s="88"/>
      <c r="O439" s="88"/>
      <c r="P439" s="1"/>
      <c r="Q439" s="1"/>
      <c r="R439" s="1"/>
      <c r="S439" s="1"/>
      <c r="T439" s="1"/>
    </row>
    <row r="440" spans="1:24" ht="15" hidden="1" customHeight="1" outlineLevel="2">
      <c r="A440" s="62"/>
      <c r="B440" s="5"/>
      <c r="C440" s="8"/>
      <c r="D440" s="8"/>
      <c r="E440" s="33" t="s">
        <v>24</v>
      </c>
      <c r="F440" s="450" t="s">
        <v>34</v>
      </c>
      <c r="G440" s="450"/>
      <c r="H440" s="450"/>
      <c r="I440" s="450"/>
      <c r="J440" s="450"/>
      <c r="K440" s="306" t="e">
        <f t="shared" ref="K440:L440" si="131">IF(AND(K441:K444),"Passed","Failed")</f>
        <v>#VALUE!</v>
      </c>
      <c r="L440" s="306" t="e">
        <f t="shared" si="131"/>
        <v>#VALUE!</v>
      </c>
      <c r="M440" s="306" t="e">
        <f>IF(AND(M441:M444),"Passed","Failed")</f>
        <v>#VALUE!</v>
      </c>
      <c r="N440" s="306" t="e">
        <f t="shared" ref="N440:O440" si="132">IF(AND(N441:N444),"Passed","Failed")</f>
        <v>#VALUE!</v>
      </c>
      <c r="O440" s="306" t="e">
        <f t="shared" si="132"/>
        <v>#VALUE!</v>
      </c>
      <c r="P440" s="1"/>
      <c r="Q440" s="1"/>
      <c r="R440" s="1"/>
      <c r="S440" s="1"/>
      <c r="T440" s="1"/>
    </row>
    <row r="441" spans="1:24" ht="15" hidden="1" customHeight="1" outlineLevel="3">
      <c r="A441" s="62"/>
      <c r="B441" s="5"/>
      <c r="C441" s="8"/>
      <c r="D441" s="8"/>
      <c r="E441" s="16"/>
      <c r="F441" s="38" t="str">
        <f>HYPERLINK("#'Test Case'!A1","n.1.1.1")</f>
        <v>n.1.1.1</v>
      </c>
      <c r="G441" s="449" t="s">
        <v>68</v>
      </c>
      <c r="H441" s="449"/>
      <c r="I441" s="449"/>
      <c r="J441" s="449"/>
      <c r="K441" s="88"/>
      <c r="L441" s="88"/>
      <c r="M441" s="88"/>
      <c r="N441" s="88"/>
      <c r="O441" s="88"/>
      <c r="P441" s="1"/>
      <c r="Q441" s="1"/>
      <c r="R441" s="1"/>
      <c r="S441" s="1"/>
      <c r="T441" s="1"/>
    </row>
    <row r="442" spans="1:24" ht="15" hidden="1" customHeight="1" outlineLevel="3">
      <c r="A442" s="62"/>
      <c r="B442" s="5"/>
      <c r="C442" s="8"/>
      <c r="D442" s="8"/>
      <c r="E442" s="16"/>
      <c r="F442" s="38" t="str">
        <f>HYPERLINK("#'Test Case'!A1","n.1.1.2")</f>
        <v>n.1.1.2</v>
      </c>
      <c r="G442" s="449" t="s">
        <v>69</v>
      </c>
      <c r="H442" s="449"/>
      <c r="I442" s="449"/>
      <c r="J442" s="449"/>
      <c r="K442" s="88"/>
      <c r="L442" s="88"/>
      <c r="M442" s="88"/>
      <c r="N442" s="88"/>
      <c r="O442" s="88"/>
      <c r="P442" s="1"/>
      <c r="Q442" s="1"/>
      <c r="R442" s="1"/>
      <c r="S442" s="1"/>
      <c r="T442" s="1"/>
    </row>
    <row r="443" spans="1:24" ht="15" hidden="1" customHeight="1" outlineLevel="3">
      <c r="A443" s="62"/>
      <c r="B443" s="5"/>
      <c r="C443" s="8"/>
      <c r="D443" s="8"/>
      <c r="E443" s="16"/>
      <c r="F443" s="38" t="str">
        <f>HYPERLINK("#'Test Case'!A1","n.1.1.3")</f>
        <v>n.1.1.3</v>
      </c>
      <c r="G443" s="449" t="s">
        <v>70</v>
      </c>
      <c r="H443" s="449"/>
      <c r="I443" s="449"/>
      <c r="J443" s="449"/>
      <c r="K443" s="88"/>
      <c r="L443" s="88"/>
      <c r="M443" s="88"/>
      <c r="N443" s="88"/>
      <c r="O443" s="88"/>
      <c r="P443" s="1"/>
      <c r="Q443" s="1"/>
      <c r="R443" s="1"/>
      <c r="S443" s="1"/>
      <c r="T443" s="1"/>
    </row>
    <row r="444" spans="1:24" ht="15" hidden="1" customHeight="1" outlineLevel="3">
      <c r="A444" s="62"/>
      <c r="B444" s="5"/>
      <c r="C444" s="8"/>
      <c r="D444" s="8"/>
      <c r="E444" s="16"/>
      <c r="F444" s="38" t="str">
        <f>HYPERLINK("#'Test Case'!A1","n.1.1.4")</f>
        <v>n.1.1.4</v>
      </c>
      <c r="G444" s="449" t="s">
        <v>71</v>
      </c>
      <c r="H444" s="449"/>
      <c r="I444" s="449"/>
      <c r="J444" s="449"/>
      <c r="K444" s="88"/>
      <c r="L444" s="88"/>
      <c r="M444" s="88"/>
      <c r="N444" s="88"/>
      <c r="O444" s="88"/>
      <c r="P444" s="1"/>
      <c r="Q444" s="1"/>
      <c r="R444" s="1"/>
      <c r="S444" s="1"/>
      <c r="T444" s="1"/>
    </row>
    <row r="445" spans="1:24" ht="15" hidden="1" customHeight="1" outlineLevel="2" collapsed="1">
      <c r="A445" s="62"/>
      <c r="B445" s="5"/>
      <c r="C445" s="5"/>
      <c r="D445" s="5"/>
      <c r="E445" s="32" t="s">
        <v>28</v>
      </c>
      <c r="F445" s="450" t="s">
        <v>35</v>
      </c>
      <c r="G445" s="450"/>
      <c r="H445" s="450"/>
      <c r="I445" s="450"/>
      <c r="J445" s="450"/>
      <c r="K445" s="135" t="e">
        <f t="shared" ref="K445:L445" si="133">IF(AND(K446:K449),"Passed","Failed")</f>
        <v>#VALUE!</v>
      </c>
      <c r="L445" s="135" t="e">
        <f t="shared" si="133"/>
        <v>#VALUE!</v>
      </c>
      <c r="M445" s="135" t="e">
        <f>IF(AND(M446:M449),"Passed","Failed")</f>
        <v>#VALUE!</v>
      </c>
      <c r="N445" s="135" t="e">
        <f t="shared" ref="N445:O445" si="134">IF(AND(N446:N449),"Passed","Failed")</f>
        <v>#VALUE!</v>
      </c>
      <c r="O445" s="135" t="e">
        <f t="shared" si="134"/>
        <v>#VALUE!</v>
      </c>
      <c r="P445" s="1"/>
      <c r="Q445" s="1"/>
      <c r="R445" s="1"/>
      <c r="S445" s="1"/>
      <c r="T445" s="1"/>
    </row>
    <row r="446" spans="1:24" ht="15" hidden="1" customHeight="1" outlineLevel="3">
      <c r="A446" s="62"/>
      <c r="B446" s="5"/>
      <c r="C446" s="5"/>
      <c r="D446" s="5"/>
      <c r="E446" s="16"/>
      <c r="F446" s="38" t="str">
        <f>HYPERLINK("#'Test Case'!A1","n.2.1.1")</f>
        <v>n.2.1.1</v>
      </c>
      <c r="G446" s="449" t="s">
        <v>68</v>
      </c>
      <c r="H446" s="449"/>
      <c r="I446" s="449"/>
      <c r="J446" s="449"/>
      <c r="K446" s="88"/>
      <c r="L446" s="88"/>
      <c r="M446" s="88"/>
      <c r="N446" s="88"/>
      <c r="O446" s="88"/>
      <c r="P446" s="1"/>
      <c r="Q446" s="1"/>
      <c r="R446" s="1"/>
      <c r="S446" s="1"/>
      <c r="T446" s="1"/>
    </row>
    <row r="447" spans="1:24" ht="15" hidden="1" customHeight="1" outlineLevel="3">
      <c r="A447" s="62"/>
      <c r="B447" s="5"/>
      <c r="C447" s="5"/>
      <c r="D447" s="5"/>
      <c r="E447" s="16"/>
      <c r="F447" s="38" t="str">
        <f>HYPERLINK("#'Test Case'!A1","n.2.1.2")</f>
        <v>n.2.1.2</v>
      </c>
      <c r="G447" s="449" t="s">
        <v>69</v>
      </c>
      <c r="H447" s="449"/>
      <c r="I447" s="449"/>
      <c r="J447" s="449"/>
      <c r="K447" s="88"/>
      <c r="L447" s="88"/>
      <c r="M447" s="88"/>
      <c r="N447" s="88"/>
      <c r="O447" s="88"/>
      <c r="P447" s="1"/>
      <c r="Q447" s="1"/>
      <c r="R447" s="1"/>
      <c r="S447" s="1"/>
      <c r="T447" s="1"/>
    </row>
    <row r="448" spans="1:24" ht="15" hidden="1" customHeight="1" outlineLevel="3">
      <c r="A448" s="62"/>
      <c r="B448" s="1"/>
      <c r="C448" s="1"/>
      <c r="D448" s="1"/>
      <c r="E448" s="1"/>
      <c r="F448" s="38" t="str">
        <f>HYPERLINK("#'Test Case'!A1","n.2.1.3")</f>
        <v>n.2.1.3</v>
      </c>
      <c r="G448" s="449" t="s">
        <v>70</v>
      </c>
      <c r="H448" s="449"/>
      <c r="I448" s="449"/>
      <c r="J448" s="449"/>
      <c r="K448" s="88"/>
      <c r="L448" s="88"/>
      <c r="M448" s="88"/>
      <c r="N448" s="88"/>
      <c r="O448" s="88"/>
      <c r="P448" s="1"/>
      <c r="Q448" s="1"/>
      <c r="R448" s="1"/>
      <c r="S448" s="1"/>
      <c r="T448" s="1"/>
    </row>
    <row r="449" spans="1:24" ht="15" hidden="1" customHeight="1" outlineLevel="3">
      <c r="A449" s="62"/>
      <c r="B449" s="1"/>
      <c r="C449" s="1"/>
      <c r="D449" s="1"/>
      <c r="E449" s="1"/>
      <c r="F449" s="38" t="str">
        <f>HYPERLINK("#'Test Case'!A1","n.2.1.4")</f>
        <v>n.2.1.4</v>
      </c>
      <c r="G449" s="449" t="s">
        <v>71</v>
      </c>
      <c r="H449" s="449"/>
      <c r="I449" s="449"/>
      <c r="J449" s="449"/>
      <c r="K449" s="88"/>
      <c r="L449" s="88"/>
      <c r="M449" s="88"/>
      <c r="N449" s="88"/>
      <c r="O449" s="88"/>
      <c r="P449" s="1"/>
      <c r="Q449" s="1"/>
      <c r="R449" s="1"/>
      <c r="S449" s="1"/>
      <c r="T449" s="1"/>
    </row>
    <row r="450" spans="1:24" ht="15" hidden="1" customHeight="1" outlineLevel="2" collapsed="1">
      <c r="A450" s="62"/>
      <c r="B450" s="1"/>
      <c r="C450" s="1"/>
      <c r="D450" s="29" t="s">
        <v>27</v>
      </c>
      <c r="E450" s="453" t="s">
        <v>26</v>
      </c>
      <c r="F450" s="454"/>
      <c r="G450" s="454"/>
      <c r="H450" s="454"/>
      <c r="I450" s="454"/>
      <c r="J450" s="463"/>
      <c r="K450" s="108"/>
      <c r="L450" s="108"/>
      <c r="M450" s="88"/>
      <c r="N450" s="88"/>
      <c r="O450" s="88"/>
      <c r="P450" s="1"/>
      <c r="Q450" s="1"/>
      <c r="R450" s="1"/>
      <c r="S450" s="1"/>
      <c r="T450" s="1"/>
    </row>
    <row r="451" spans="1:24" ht="15" hidden="1" customHeight="1" outlineLevel="2">
      <c r="A451" s="62"/>
      <c r="B451" s="1"/>
      <c r="C451" s="1"/>
      <c r="D451" s="8"/>
      <c r="E451" s="33" t="s">
        <v>28</v>
      </c>
      <c r="F451" s="450" t="s">
        <v>36</v>
      </c>
      <c r="G451" s="450"/>
      <c r="H451" s="450"/>
      <c r="I451" s="450"/>
      <c r="J451" s="450"/>
      <c r="K451" s="135" t="e">
        <f t="shared" ref="K451:L451" si="135">IF(AND(K452:K455),"Passed","Failed")</f>
        <v>#VALUE!</v>
      </c>
      <c r="L451" s="135" t="e">
        <f t="shared" si="135"/>
        <v>#VALUE!</v>
      </c>
      <c r="M451" s="135" t="e">
        <f>IF(AND(M452:M455),"Passed","Failed")</f>
        <v>#VALUE!</v>
      </c>
      <c r="N451" s="135" t="e">
        <f t="shared" ref="N451:O451" si="136">IF(AND(N452:N455),"Passed","Failed")</f>
        <v>#VALUE!</v>
      </c>
      <c r="O451" s="135" t="e">
        <f t="shared" si="136"/>
        <v>#VALUE!</v>
      </c>
      <c r="P451" s="1"/>
      <c r="Q451" s="1"/>
      <c r="R451" s="1"/>
      <c r="S451" s="1"/>
      <c r="T451" s="1"/>
    </row>
    <row r="452" spans="1:24" ht="15" hidden="1" customHeight="1" outlineLevel="3">
      <c r="A452" s="62"/>
      <c r="B452" s="1"/>
      <c r="C452" s="1"/>
      <c r="D452" s="8"/>
      <c r="E452" s="16"/>
      <c r="F452" s="30" t="s">
        <v>30</v>
      </c>
      <c r="G452" s="449"/>
      <c r="H452" s="449"/>
      <c r="I452" s="449"/>
      <c r="J452" s="449"/>
      <c r="K452" s="88"/>
      <c r="L452" s="88"/>
      <c r="M452" s="88"/>
      <c r="N452" s="88"/>
      <c r="O452" s="88"/>
      <c r="P452" s="1"/>
      <c r="Q452" s="1"/>
      <c r="R452" s="1"/>
      <c r="S452" s="1"/>
      <c r="T452" s="1"/>
    </row>
    <row r="453" spans="1:24" ht="15" hidden="1" customHeight="1" outlineLevel="3">
      <c r="A453" s="62"/>
      <c r="B453" s="1"/>
      <c r="C453" s="1"/>
      <c r="D453" s="8"/>
      <c r="E453" s="16"/>
      <c r="F453" s="30" t="s">
        <v>31</v>
      </c>
      <c r="G453" s="449"/>
      <c r="H453" s="449"/>
      <c r="I453" s="449"/>
      <c r="J453" s="449"/>
      <c r="K453" s="88"/>
      <c r="L453" s="88"/>
      <c r="M453" s="88"/>
      <c r="N453" s="88"/>
      <c r="O453" s="88"/>
      <c r="P453" s="1"/>
      <c r="Q453" s="1"/>
      <c r="R453" s="1"/>
      <c r="S453" s="1"/>
      <c r="T453" s="1"/>
    </row>
    <row r="454" spans="1:24" ht="15" hidden="1" customHeight="1" outlineLevel="3">
      <c r="A454" s="62"/>
      <c r="B454" s="1"/>
      <c r="C454" s="1"/>
      <c r="D454" s="8"/>
      <c r="E454" s="16"/>
      <c r="F454" s="30" t="s">
        <v>32</v>
      </c>
      <c r="G454" s="449"/>
      <c r="H454" s="449"/>
      <c r="I454" s="449"/>
      <c r="J454" s="449"/>
      <c r="K454" s="88"/>
      <c r="L454" s="88"/>
      <c r="M454" s="88"/>
      <c r="N454" s="88"/>
      <c r="O454" s="88"/>
      <c r="P454" s="1"/>
      <c r="Q454" s="1"/>
      <c r="R454" s="1"/>
      <c r="S454" s="1"/>
      <c r="T454" s="1"/>
    </row>
    <row r="455" spans="1:24" ht="15" hidden="1" customHeight="1" outlineLevel="3">
      <c r="A455" s="62"/>
      <c r="B455" s="1"/>
      <c r="C455" s="1"/>
      <c r="D455" s="8"/>
      <c r="E455" s="16"/>
      <c r="F455" s="30" t="s">
        <v>33</v>
      </c>
      <c r="G455" s="449"/>
      <c r="H455" s="449"/>
      <c r="I455" s="449"/>
      <c r="J455" s="449"/>
      <c r="K455" s="88"/>
      <c r="L455" s="88"/>
      <c r="M455" s="88"/>
      <c r="N455" s="88"/>
      <c r="O455" s="88"/>
      <c r="P455" s="1"/>
      <c r="Q455" s="1"/>
      <c r="R455" s="1"/>
      <c r="S455" s="1"/>
      <c r="T455" s="1"/>
    </row>
    <row r="456" spans="1:24" ht="15" hidden="1" customHeight="1" outlineLevel="2" collapsed="1">
      <c r="A456" s="62"/>
      <c r="B456" s="1"/>
      <c r="C456" s="1"/>
      <c r="D456" s="5"/>
      <c r="E456" s="32" t="s">
        <v>29</v>
      </c>
      <c r="F456" s="450" t="s">
        <v>37</v>
      </c>
      <c r="G456" s="450"/>
      <c r="H456" s="450"/>
      <c r="I456" s="450"/>
      <c r="J456" s="451"/>
      <c r="K456" s="306" t="e">
        <f t="shared" ref="K456:L456" si="137">IF(AND(K457:K460),"Passed","Failed")</f>
        <v>#VALUE!</v>
      </c>
      <c r="L456" s="306" t="e">
        <f t="shared" si="137"/>
        <v>#VALUE!</v>
      </c>
      <c r="M456" s="306" t="e">
        <f>IF(AND(M457:M460),"Passed","Failed")</f>
        <v>#VALUE!</v>
      </c>
      <c r="N456" s="306" t="e">
        <f t="shared" ref="N456:O456" si="138">IF(AND(N457:N460),"Passed","Failed")</f>
        <v>#VALUE!</v>
      </c>
      <c r="O456" s="306" t="e">
        <f t="shared" si="138"/>
        <v>#VALUE!</v>
      </c>
      <c r="P456" s="1"/>
      <c r="Q456" s="1"/>
      <c r="R456" s="1"/>
      <c r="S456" s="1"/>
      <c r="T456" s="1"/>
      <c r="U456" s="1"/>
      <c r="V456" s="1"/>
      <c r="W456" s="1"/>
      <c r="X456" s="1"/>
    </row>
    <row r="457" spans="1:24" ht="15" hidden="1" customHeight="1" outlineLevel="3">
      <c r="A457" s="62"/>
      <c r="B457" s="1"/>
      <c r="C457" s="1"/>
      <c r="D457" s="5"/>
      <c r="E457" s="16"/>
      <c r="F457" s="314" t="s">
        <v>30</v>
      </c>
      <c r="G457" s="464"/>
      <c r="H457" s="464"/>
      <c r="I457" s="464"/>
      <c r="J457" s="465"/>
      <c r="K457" s="315"/>
      <c r="L457" s="315"/>
      <c r="M457" s="315"/>
      <c r="N457" s="315"/>
      <c r="O457" s="316"/>
      <c r="P457" s="1"/>
      <c r="Q457" s="1"/>
      <c r="R457" s="1"/>
      <c r="S457" s="1"/>
      <c r="T457" s="1"/>
      <c r="U457" s="1"/>
      <c r="V457" s="1"/>
      <c r="W457" s="1"/>
      <c r="X457" s="1"/>
    </row>
    <row r="458" spans="1:24" ht="15" hidden="1" customHeight="1" outlineLevel="3">
      <c r="A458" s="62"/>
      <c r="B458" s="1"/>
      <c r="C458" s="1"/>
      <c r="D458" s="5"/>
      <c r="E458" s="16"/>
      <c r="F458" s="317" t="s">
        <v>31</v>
      </c>
      <c r="G458" s="449"/>
      <c r="H458" s="449"/>
      <c r="I458" s="449"/>
      <c r="J458" s="452"/>
      <c r="K458" s="88"/>
      <c r="L458" s="88"/>
      <c r="M458" s="88"/>
      <c r="N458" s="88"/>
      <c r="O458" s="318"/>
      <c r="P458" s="1"/>
      <c r="Q458" s="1"/>
      <c r="R458" s="1"/>
      <c r="S458" s="1"/>
      <c r="T458" s="1"/>
      <c r="U458" s="1"/>
      <c r="V458" s="1"/>
      <c r="W458" s="1"/>
      <c r="X458" s="1"/>
    </row>
    <row r="459" spans="1:24" ht="15" hidden="1" customHeight="1" outlineLevel="3">
      <c r="A459" s="62"/>
      <c r="B459" s="1"/>
      <c r="C459" s="1"/>
      <c r="D459" s="1"/>
      <c r="E459" s="1"/>
      <c r="F459" s="317" t="s">
        <v>32</v>
      </c>
      <c r="G459" s="449"/>
      <c r="H459" s="449"/>
      <c r="I459" s="449"/>
      <c r="J459" s="452"/>
      <c r="K459" s="88"/>
      <c r="L459" s="88"/>
      <c r="M459" s="88"/>
      <c r="N459" s="88"/>
      <c r="O459" s="318"/>
      <c r="P459" s="1"/>
      <c r="Q459" s="1"/>
      <c r="R459" s="1"/>
      <c r="S459" s="1"/>
      <c r="T459" s="1"/>
      <c r="U459" s="1"/>
      <c r="V459" s="1"/>
      <c r="W459" s="1"/>
      <c r="X459" s="1"/>
    </row>
    <row r="460" spans="1:24" ht="15" hidden="1" customHeight="1" outlineLevel="3">
      <c r="A460" s="62"/>
      <c r="B460" s="1"/>
      <c r="C460" s="1"/>
      <c r="D460" s="1"/>
      <c r="E460" s="1"/>
      <c r="F460" s="319" t="s">
        <v>33</v>
      </c>
      <c r="G460" s="461"/>
      <c r="H460" s="461"/>
      <c r="I460" s="461"/>
      <c r="J460" s="462"/>
      <c r="K460" s="320"/>
      <c r="L460" s="320"/>
      <c r="M460" s="320"/>
      <c r="N460" s="320"/>
      <c r="O460" s="321"/>
      <c r="P460" s="1"/>
      <c r="Q460" s="1"/>
      <c r="R460" s="1"/>
      <c r="S460" s="1"/>
      <c r="T460" s="1"/>
      <c r="U460" s="1"/>
      <c r="V460" s="1"/>
      <c r="W460" s="1"/>
      <c r="X460" s="1"/>
    </row>
    <row r="461" spans="1:24" ht="15" hidden="1" customHeight="1" outlineLevel="2" collapsed="1">
      <c r="A461" s="62"/>
      <c r="B461" s="1"/>
      <c r="C461" s="1"/>
      <c r="D461" s="1"/>
      <c r="E461" s="1"/>
      <c r="F461" s="1"/>
      <c r="G461" s="1"/>
      <c r="H461" s="1"/>
      <c r="I461" s="1"/>
      <c r="J461" s="1"/>
      <c r="K461" s="307"/>
      <c r="L461" s="307"/>
      <c r="M461" s="307"/>
      <c r="N461" s="307"/>
      <c r="O461" s="307"/>
      <c r="P461" s="1"/>
      <c r="Q461" s="1"/>
      <c r="R461" s="1"/>
      <c r="S461" s="1"/>
      <c r="T461" s="1"/>
      <c r="U461" s="1"/>
      <c r="V461" s="1"/>
      <c r="W461" s="1"/>
    </row>
    <row r="462" spans="1:24" ht="18.75" outlineLevel="1" collapsed="1">
      <c r="A462" s="62"/>
      <c r="B462" s="1"/>
      <c r="C462" s="1"/>
      <c r="D462" s="1"/>
      <c r="E462" s="9"/>
      <c r="F462" s="15"/>
      <c r="G462" s="14"/>
      <c r="H462" s="1"/>
      <c r="I462" s="1"/>
      <c r="J462" s="1"/>
      <c r="K462" s="460" t="s">
        <v>16</v>
      </c>
      <c r="L462" s="460"/>
      <c r="M462" s="447" t="s">
        <v>20</v>
      </c>
      <c r="N462" s="447"/>
      <c r="O462" s="447"/>
      <c r="P462" s="1"/>
      <c r="Q462" s="1"/>
      <c r="R462" s="1"/>
      <c r="S462" s="1"/>
      <c r="T462" s="1"/>
    </row>
    <row r="463" spans="1:24" outlineLevel="1">
      <c r="A463" s="62"/>
      <c r="B463" s="303" t="s">
        <v>8</v>
      </c>
      <c r="C463" s="455" t="s">
        <v>9</v>
      </c>
      <c r="D463" s="455"/>
      <c r="E463" s="455"/>
      <c r="F463" s="455"/>
      <c r="G463" s="455"/>
      <c r="H463" s="455"/>
      <c r="I463" s="455"/>
      <c r="J463" s="456"/>
      <c r="K463" s="89" t="s">
        <v>19</v>
      </c>
      <c r="L463" s="89" t="s">
        <v>15</v>
      </c>
      <c r="M463" s="89" t="s">
        <v>18</v>
      </c>
      <c r="N463" s="89" t="s">
        <v>44</v>
      </c>
      <c r="O463" s="89" t="s">
        <v>156</v>
      </c>
      <c r="P463" s="1"/>
      <c r="Q463" s="1"/>
      <c r="R463" s="1"/>
      <c r="S463" s="1"/>
      <c r="T463" s="1"/>
    </row>
    <row r="464" spans="1:24" outlineLevel="1">
      <c r="A464" s="62"/>
      <c r="B464" s="27" t="s">
        <v>21</v>
      </c>
      <c r="C464" s="28" t="s">
        <v>22</v>
      </c>
      <c r="D464" s="457" t="s">
        <v>25</v>
      </c>
      <c r="E464" s="458"/>
      <c r="F464" s="458"/>
      <c r="G464" s="458"/>
      <c r="H464" s="458"/>
      <c r="I464" s="458"/>
      <c r="J464" s="459"/>
      <c r="K464" s="107" t="e">
        <f>IF(AND(K466="Passed",K471="Passed"),"For review","For completion")</f>
        <v>#VALUE!</v>
      </c>
      <c r="L464" s="107" t="e">
        <f>IF(AND(L466="Passed",L471="Passed"),"QA ready","For completion")</f>
        <v>#VALUE!</v>
      </c>
      <c r="M464" s="107" t="e">
        <f>IF(AND(M466="Passed",M471="Passed"),"For verification","For completion")</f>
        <v>#VALUE!</v>
      </c>
      <c r="N464" s="107" t="e">
        <f>IF(AND(N466="Passed",N471="Passed"),"Demo ready","For completion")</f>
        <v>#VALUE!</v>
      </c>
      <c r="O464" s="107" t="e">
        <f>IF(AND(O466="Passed",O471="Passed"),"Production ready","For completion")</f>
        <v>#VALUE!</v>
      </c>
      <c r="P464" s="1"/>
      <c r="Q464" s="1"/>
      <c r="R464" s="1"/>
      <c r="S464" s="1"/>
      <c r="T464" s="1"/>
    </row>
    <row r="465" spans="1:20" ht="15" hidden="1" customHeight="1" outlineLevel="2">
      <c r="A465" s="62"/>
      <c r="B465" s="5"/>
      <c r="C465" s="8"/>
      <c r="D465" s="29" t="s">
        <v>23</v>
      </c>
      <c r="E465" s="453" t="s">
        <v>26</v>
      </c>
      <c r="F465" s="454"/>
      <c r="G465" s="454"/>
      <c r="H465" s="454"/>
      <c r="I465" s="454"/>
      <c r="J465" s="463"/>
      <c r="K465" s="108"/>
      <c r="L465" s="108"/>
      <c r="M465" s="88"/>
      <c r="N465" s="88"/>
      <c r="O465" s="88"/>
      <c r="P465" s="1"/>
      <c r="Q465" s="1"/>
      <c r="R465" s="1"/>
      <c r="S465" s="1"/>
      <c r="T465" s="1"/>
    </row>
    <row r="466" spans="1:20" ht="15" hidden="1" customHeight="1" outlineLevel="2">
      <c r="A466" s="62"/>
      <c r="B466" s="5"/>
      <c r="C466" s="8"/>
      <c r="D466" s="8"/>
      <c r="E466" s="33" t="s">
        <v>24</v>
      </c>
      <c r="F466" s="450" t="s">
        <v>34</v>
      </c>
      <c r="G466" s="450"/>
      <c r="H466" s="450"/>
      <c r="I466" s="450"/>
      <c r="J466" s="450"/>
      <c r="K466" s="306" t="e">
        <f t="shared" ref="K466:L466" si="139">IF(AND(K467:K470),"Passed","Failed")</f>
        <v>#VALUE!</v>
      </c>
      <c r="L466" s="306" t="e">
        <f t="shared" si="139"/>
        <v>#VALUE!</v>
      </c>
      <c r="M466" s="306" t="e">
        <f>IF(AND(M467:M470),"Passed","Failed")</f>
        <v>#VALUE!</v>
      </c>
      <c r="N466" s="306" t="e">
        <f t="shared" ref="N466:O466" si="140">IF(AND(N467:N470),"Passed","Failed")</f>
        <v>#VALUE!</v>
      </c>
      <c r="O466" s="306" t="e">
        <f t="shared" si="140"/>
        <v>#VALUE!</v>
      </c>
      <c r="P466" s="1"/>
      <c r="Q466" s="1"/>
      <c r="R466" s="1"/>
      <c r="S466" s="1"/>
      <c r="T466" s="1"/>
    </row>
    <row r="467" spans="1:20" ht="15" hidden="1" customHeight="1" outlineLevel="3">
      <c r="A467" s="62"/>
      <c r="B467" s="5"/>
      <c r="C467" s="8"/>
      <c r="D467" s="8"/>
      <c r="E467" s="16"/>
      <c r="F467" s="38" t="str">
        <f>HYPERLINK("#'Test Case'!A1","n.1.1.1")</f>
        <v>n.1.1.1</v>
      </c>
      <c r="G467" s="449" t="s">
        <v>68</v>
      </c>
      <c r="H467" s="449"/>
      <c r="I467" s="449"/>
      <c r="J467" s="449"/>
      <c r="K467" s="88"/>
      <c r="L467" s="88"/>
      <c r="M467" s="88"/>
      <c r="N467" s="88"/>
      <c r="O467" s="88"/>
      <c r="P467" s="1"/>
      <c r="Q467" s="1"/>
      <c r="R467" s="1"/>
      <c r="S467" s="1"/>
      <c r="T467" s="1"/>
    </row>
    <row r="468" spans="1:20" ht="15" hidden="1" customHeight="1" outlineLevel="3">
      <c r="A468" s="62"/>
      <c r="B468" s="5"/>
      <c r="C468" s="8"/>
      <c r="D468" s="8"/>
      <c r="E468" s="16"/>
      <c r="F468" s="38" t="str">
        <f>HYPERLINK("#'Test Case'!A1","n.1.1.2")</f>
        <v>n.1.1.2</v>
      </c>
      <c r="G468" s="449" t="s">
        <v>69</v>
      </c>
      <c r="H468" s="449"/>
      <c r="I468" s="449"/>
      <c r="J468" s="449"/>
      <c r="K468" s="88"/>
      <c r="L468" s="88"/>
      <c r="M468" s="88"/>
      <c r="N468" s="88"/>
      <c r="O468" s="88"/>
      <c r="P468" s="1"/>
      <c r="Q468" s="1"/>
      <c r="R468" s="1"/>
      <c r="S468" s="1"/>
      <c r="T468" s="1"/>
    </row>
    <row r="469" spans="1:20" ht="15" hidden="1" customHeight="1" outlineLevel="3">
      <c r="A469" s="62"/>
      <c r="B469" s="5"/>
      <c r="C469" s="8"/>
      <c r="D469" s="8"/>
      <c r="E469" s="16"/>
      <c r="F469" s="38" t="str">
        <f>HYPERLINK("#'Test Case'!A1","n.1.1.3")</f>
        <v>n.1.1.3</v>
      </c>
      <c r="G469" s="449" t="s">
        <v>70</v>
      </c>
      <c r="H469" s="449"/>
      <c r="I469" s="449"/>
      <c r="J469" s="449"/>
      <c r="K469" s="88"/>
      <c r="L469" s="88"/>
      <c r="M469" s="88"/>
      <c r="N469" s="88"/>
      <c r="O469" s="88"/>
      <c r="P469" s="1"/>
      <c r="Q469" s="1"/>
      <c r="R469" s="1"/>
      <c r="S469" s="1"/>
      <c r="T469" s="1"/>
    </row>
    <row r="470" spans="1:20" ht="15" hidden="1" customHeight="1" outlineLevel="3">
      <c r="A470" s="62"/>
      <c r="B470" s="5"/>
      <c r="C470" s="8"/>
      <c r="D470" s="8"/>
      <c r="E470" s="16"/>
      <c r="F470" s="38" t="str">
        <f>HYPERLINK("#'Test Case'!A1","n.1.1.4")</f>
        <v>n.1.1.4</v>
      </c>
      <c r="G470" s="449" t="s">
        <v>71</v>
      </c>
      <c r="H470" s="449"/>
      <c r="I470" s="449"/>
      <c r="J470" s="449"/>
      <c r="K470" s="88"/>
      <c r="L470" s="88"/>
      <c r="M470" s="88"/>
      <c r="N470" s="88"/>
      <c r="O470" s="88"/>
      <c r="P470" s="1"/>
      <c r="Q470" s="1"/>
      <c r="R470" s="1"/>
      <c r="S470" s="1"/>
      <c r="T470" s="1"/>
    </row>
    <row r="471" spans="1:20" ht="15" hidden="1" customHeight="1" outlineLevel="2" collapsed="1">
      <c r="A471" s="62"/>
      <c r="B471" s="5"/>
      <c r="C471" s="5"/>
      <c r="D471" s="5"/>
      <c r="E471" s="32" t="s">
        <v>28</v>
      </c>
      <c r="F471" s="450" t="s">
        <v>35</v>
      </c>
      <c r="G471" s="450"/>
      <c r="H471" s="450"/>
      <c r="I471" s="450"/>
      <c r="J471" s="450"/>
      <c r="K471" s="135" t="e">
        <f t="shared" ref="K471:L471" si="141">IF(AND(K472:K475),"Passed","Failed")</f>
        <v>#VALUE!</v>
      </c>
      <c r="L471" s="135" t="e">
        <f t="shared" si="141"/>
        <v>#VALUE!</v>
      </c>
      <c r="M471" s="135" t="e">
        <f>IF(AND(M472:M475),"Passed","Failed")</f>
        <v>#VALUE!</v>
      </c>
      <c r="N471" s="135" t="e">
        <f t="shared" ref="N471:O471" si="142">IF(AND(N472:N475),"Passed","Failed")</f>
        <v>#VALUE!</v>
      </c>
      <c r="O471" s="135" t="e">
        <f t="shared" si="142"/>
        <v>#VALUE!</v>
      </c>
      <c r="P471" s="1"/>
      <c r="Q471" s="1"/>
      <c r="R471" s="1"/>
      <c r="S471" s="1"/>
      <c r="T471" s="1"/>
    </row>
    <row r="472" spans="1:20" ht="15" hidden="1" customHeight="1" outlineLevel="3">
      <c r="A472" s="62"/>
      <c r="B472" s="5"/>
      <c r="C472" s="5"/>
      <c r="D472" s="5"/>
      <c r="E472" s="16"/>
      <c r="F472" s="38" t="str">
        <f>HYPERLINK("#'Test Case'!A1","n.2.1.1")</f>
        <v>n.2.1.1</v>
      </c>
      <c r="G472" s="449" t="s">
        <v>68</v>
      </c>
      <c r="H472" s="449"/>
      <c r="I472" s="449"/>
      <c r="J472" s="449"/>
      <c r="K472" s="88"/>
      <c r="L472" s="88"/>
      <c r="M472" s="88"/>
      <c r="N472" s="88"/>
      <c r="O472" s="88"/>
      <c r="P472" s="1"/>
      <c r="Q472" s="1"/>
      <c r="R472" s="1"/>
      <c r="S472" s="1"/>
      <c r="T472" s="1"/>
    </row>
    <row r="473" spans="1:20" ht="15" hidden="1" customHeight="1" outlineLevel="3">
      <c r="A473" s="62"/>
      <c r="B473" s="5"/>
      <c r="C473" s="5"/>
      <c r="D473" s="5"/>
      <c r="E473" s="16"/>
      <c r="F473" s="38" t="str">
        <f>HYPERLINK("#'Test Case'!A1","n.2.1.2")</f>
        <v>n.2.1.2</v>
      </c>
      <c r="G473" s="449" t="s">
        <v>69</v>
      </c>
      <c r="H473" s="449"/>
      <c r="I473" s="449"/>
      <c r="J473" s="449"/>
      <c r="K473" s="88"/>
      <c r="L473" s="88"/>
      <c r="M473" s="88"/>
      <c r="N473" s="88"/>
      <c r="O473" s="88"/>
      <c r="P473" s="1"/>
      <c r="Q473" s="1"/>
      <c r="R473" s="1"/>
      <c r="S473" s="1"/>
      <c r="T473" s="1"/>
    </row>
    <row r="474" spans="1:20" ht="15" hidden="1" customHeight="1" outlineLevel="3">
      <c r="A474" s="62"/>
      <c r="B474" s="1"/>
      <c r="C474" s="1"/>
      <c r="D474" s="1"/>
      <c r="E474" s="1"/>
      <c r="F474" s="38" t="str">
        <f>HYPERLINK("#'Test Case'!A1","n.2.1.3")</f>
        <v>n.2.1.3</v>
      </c>
      <c r="G474" s="449" t="s">
        <v>70</v>
      </c>
      <c r="H474" s="449"/>
      <c r="I474" s="449"/>
      <c r="J474" s="449"/>
      <c r="K474" s="88"/>
      <c r="L474" s="88"/>
      <c r="M474" s="88"/>
      <c r="N474" s="88"/>
      <c r="O474" s="88"/>
      <c r="P474" s="1"/>
      <c r="Q474" s="1"/>
      <c r="R474" s="1"/>
      <c r="S474" s="1"/>
      <c r="T474" s="1"/>
    </row>
    <row r="475" spans="1:20" ht="15" hidden="1" customHeight="1" outlineLevel="3">
      <c r="A475" s="62"/>
      <c r="B475" s="1"/>
      <c r="C475" s="1"/>
      <c r="D475" s="1"/>
      <c r="E475" s="1"/>
      <c r="F475" s="38" t="str">
        <f>HYPERLINK("#'Test Case'!A1","n.2.1.4")</f>
        <v>n.2.1.4</v>
      </c>
      <c r="G475" s="449" t="s">
        <v>71</v>
      </c>
      <c r="H475" s="449"/>
      <c r="I475" s="449"/>
      <c r="J475" s="449"/>
      <c r="K475" s="88"/>
      <c r="L475" s="88"/>
      <c r="M475" s="88"/>
      <c r="N475" s="88"/>
      <c r="O475" s="88"/>
      <c r="P475" s="1"/>
      <c r="Q475" s="1"/>
      <c r="R475" s="1"/>
      <c r="S475" s="1"/>
      <c r="T475" s="1"/>
    </row>
    <row r="476" spans="1:20" ht="15" hidden="1" customHeight="1" outlineLevel="2" collapsed="1">
      <c r="A476" s="62"/>
      <c r="B476" s="1"/>
      <c r="C476" s="1"/>
      <c r="D476" s="29" t="s">
        <v>27</v>
      </c>
      <c r="E476" s="453" t="s">
        <v>26</v>
      </c>
      <c r="F476" s="454"/>
      <c r="G476" s="454"/>
      <c r="H476" s="454"/>
      <c r="I476" s="454"/>
      <c r="J476" s="463"/>
      <c r="K476" s="108"/>
      <c r="L476" s="108"/>
      <c r="M476" s="88"/>
      <c r="N476" s="88"/>
      <c r="O476" s="88"/>
      <c r="P476" s="1"/>
      <c r="Q476" s="1"/>
      <c r="R476" s="1"/>
      <c r="S476" s="1"/>
      <c r="T476" s="1"/>
    </row>
    <row r="477" spans="1:20" ht="15" hidden="1" customHeight="1" outlineLevel="2">
      <c r="A477" s="62"/>
      <c r="B477" s="1"/>
      <c r="C477" s="1"/>
      <c r="D477" s="8"/>
      <c r="E477" s="33" t="s">
        <v>28</v>
      </c>
      <c r="F477" s="450" t="s">
        <v>36</v>
      </c>
      <c r="G477" s="450"/>
      <c r="H477" s="450"/>
      <c r="I477" s="450"/>
      <c r="J477" s="450"/>
      <c r="K477" s="135" t="e">
        <f t="shared" ref="K477:L477" si="143">IF(AND(K478:K481),"Passed","Failed")</f>
        <v>#VALUE!</v>
      </c>
      <c r="L477" s="135" t="e">
        <f t="shared" si="143"/>
        <v>#VALUE!</v>
      </c>
      <c r="M477" s="135" t="e">
        <f>IF(AND(M478:M481),"Passed","Failed")</f>
        <v>#VALUE!</v>
      </c>
      <c r="N477" s="135" t="e">
        <f t="shared" ref="N477:O477" si="144">IF(AND(N478:N481),"Passed","Failed")</f>
        <v>#VALUE!</v>
      </c>
      <c r="O477" s="135" t="e">
        <f t="shared" si="144"/>
        <v>#VALUE!</v>
      </c>
      <c r="P477" s="1"/>
      <c r="Q477" s="1"/>
      <c r="R477" s="1"/>
      <c r="S477" s="1"/>
      <c r="T477" s="1"/>
    </row>
    <row r="478" spans="1:20" ht="15" hidden="1" customHeight="1" outlineLevel="3">
      <c r="A478" s="62"/>
      <c r="B478" s="1"/>
      <c r="C478" s="1"/>
      <c r="D478" s="8"/>
      <c r="E478" s="16"/>
      <c r="F478" s="30" t="s">
        <v>30</v>
      </c>
      <c r="G478" s="449"/>
      <c r="H478" s="449"/>
      <c r="I478" s="449"/>
      <c r="J478" s="449"/>
      <c r="K478" s="88"/>
      <c r="L478" s="88"/>
      <c r="M478" s="88"/>
      <c r="N478" s="88"/>
      <c r="O478" s="88"/>
      <c r="P478" s="1"/>
      <c r="Q478" s="1"/>
      <c r="R478" s="1"/>
      <c r="S478" s="1"/>
      <c r="T478" s="1"/>
    </row>
    <row r="479" spans="1:20" ht="15" hidden="1" customHeight="1" outlineLevel="3">
      <c r="A479" s="62"/>
      <c r="B479" s="1"/>
      <c r="C479" s="1"/>
      <c r="D479" s="8"/>
      <c r="E479" s="16"/>
      <c r="F479" s="30" t="s">
        <v>31</v>
      </c>
      <c r="G479" s="449"/>
      <c r="H479" s="449"/>
      <c r="I479" s="449"/>
      <c r="J479" s="449"/>
      <c r="K479" s="88"/>
      <c r="L479" s="88"/>
      <c r="M479" s="88"/>
      <c r="N479" s="88"/>
      <c r="O479" s="88"/>
      <c r="P479" s="1"/>
      <c r="Q479" s="1"/>
      <c r="R479" s="1"/>
      <c r="S479" s="1"/>
      <c r="T479" s="1"/>
    </row>
    <row r="480" spans="1:20" ht="15" hidden="1" customHeight="1" outlineLevel="3">
      <c r="A480" s="62"/>
      <c r="B480" s="1"/>
      <c r="C480" s="1"/>
      <c r="D480" s="8"/>
      <c r="E480" s="16"/>
      <c r="F480" s="30" t="s">
        <v>32</v>
      </c>
      <c r="G480" s="449"/>
      <c r="H480" s="449"/>
      <c r="I480" s="449"/>
      <c r="J480" s="449"/>
      <c r="K480" s="88"/>
      <c r="L480" s="88"/>
      <c r="M480" s="88"/>
      <c r="N480" s="88"/>
      <c r="O480" s="88"/>
      <c r="P480" s="1"/>
      <c r="Q480" s="1"/>
      <c r="R480" s="1"/>
      <c r="S480" s="1"/>
      <c r="T480" s="1"/>
    </row>
    <row r="481" spans="1:24" ht="15" hidden="1" customHeight="1" outlineLevel="3">
      <c r="A481" s="62"/>
      <c r="B481" s="1"/>
      <c r="C481" s="1"/>
      <c r="D481" s="8"/>
      <c r="E481" s="16"/>
      <c r="F481" s="30" t="s">
        <v>33</v>
      </c>
      <c r="G481" s="449"/>
      <c r="H481" s="449"/>
      <c r="I481" s="449"/>
      <c r="J481" s="449"/>
      <c r="K481" s="88"/>
      <c r="L481" s="88"/>
      <c r="M481" s="88"/>
      <c r="N481" s="88"/>
      <c r="O481" s="88"/>
      <c r="P481" s="1"/>
      <c r="Q481" s="1"/>
      <c r="R481" s="1"/>
      <c r="S481" s="1"/>
      <c r="T481" s="1"/>
    </row>
    <row r="482" spans="1:24" ht="15" hidden="1" customHeight="1" outlineLevel="2" collapsed="1">
      <c r="A482" s="62"/>
      <c r="B482" s="1"/>
      <c r="C482" s="1"/>
      <c r="D482" s="5"/>
      <c r="E482" s="32" t="s">
        <v>29</v>
      </c>
      <c r="F482" s="450" t="s">
        <v>37</v>
      </c>
      <c r="G482" s="450"/>
      <c r="H482" s="450"/>
      <c r="I482" s="450"/>
      <c r="J482" s="451"/>
      <c r="K482" s="306" t="e">
        <f t="shared" ref="K482:L482" si="145">IF(AND(K483:K486),"Passed","Failed")</f>
        <v>#VALUE!</v>
      </c>
      <c r="L482" s="306" t="e">
        <f t="shared" si="145"/>
        <v>#VALUE!</v>
      </c>
      <c r="M482" s="306" t="e">
        <f>IF(AND(M483:M486),"Passed","Failed")</f>
        <v>#VALUE!</v>
      </c>
      <c r="N482" s="306" t="e">
        <f t="shared" ref="N482:O482" si="146">IF(AND(N483:N486),"Passed","Failed")</f>
        <v>#VALUE!</v>
      </c>
      <c r="O482" s="306" t="e">
        <f t="shared" si="146"/>
        <v>#VALUE!</v>
      </c>
      <c r="P482" s="1"/>
      <c r="Q482" s="1"/>
      <c r="R482" s="1"/>
      <c r="S482" s="1"/>
      <c r="T482" s="1"/>
      <c r="U482" s="1"/>
      <c r="V482" s="1"/>
      <c r="W482" s="1"/>
      <c r="X482" s="1"/>
    </row>
    <row r="483" spans="1:24" ht="15" hidden="1" customHeight="1" outlineLevel="3">
      <c r="A483" s="62"/>
      <c r="B483" s="1"/>
      <c r="C483" s="1"/>
      <c r="D483" s="5"/>
      <c r="E483" s="16"/>
      <c r="F483" s="314" t="s">
        <v>30</v>
      </c>
      <c r="G483" s="464"/>
      <c r="H483" s="464"/>
      <c r="I483" s="464"/>
      <c r="J483" s="465"/>
      <c r="K483" s="315"/>
      <c r="L483" s="315"/>
      <c r="M483" s="315"/>
      <c r="N483" s="315"/>
      <c r="O483" s="316"/>
      <c r="P483" s="1"/>
      <c r="Q483" s="1"/>
      <c r="R483" s="1"/>
      <c r="S483" s="1"/>
      <c r="T483" s="1"/>
      <c r="U483" s="1"/>
      <c r="V483" s="1"/>
      <c r="W483" s="1"/>
      <c r="X483" s="1"/>
    </row>
    <row r="484" spans="1:24" ht="15" hidden="1" customHeight="1" outlineLevel="3">
      <c r="A484" s="62"/>
      <c r="B484" s="1"/>
      <c r="C484" s="1"/>
      <c r="D484" s="5"/>
      <c r="E484" s="16"/>
      <c r="F484" s="317" t="s">
        <v>31</v>
      </c>
      <c r="G484" s="449"/>
      <c r="H484" s="449"/>
      <c r="I484" s="449"/>
      <c r="J484" s="452"/>
      <c r="K484" s="88"/>
      <c r="L484" s="88"/>
      <c r="M484" s="88"/>
      <c r="N484" s="88"/>
      <c r="O484" s="318"/>
      <c r="P484" s="1"/>
      <c r="Q484" s="1"/>
      <c r="R484" s="1"/>
      <c r="S484" s="1"/>
      <c r="T484" s="1"/>
      <c r="U484" s="1"/>
      <c r="V484" s="1"/>
      <c r="W484" s="1"/>
      <c r="X484" s="1"/>
    </row>
    <row r="485" spans="1:24" ht="15" hidden="1" customHeight="1" outlineLevel="3">
      <c r="A485" s="62"/>
      <c r="B485" s="1"/>
      <c r="C485" s="1"/>
      <c r="D485" s="1"/>
      <c r="E485" s="1"/>
      <c r="F485" s="317" t="s">
        <v>32</v>
      </c>
      <c r="G485" s="449"/>
      <c r="H485" s="449"/>
      <c r="I485" s="449"/>
      <c r="J485" s="452"/>
      <c r="K485" s="88"/>
      <c r="L485" s="88"/>
      <c r="M485" s="88"/>
      <c r="N485" s="88"/>
      <c r="O485" s="318"/>
      <c r="P485" s="1"/>
      <c r="Q485" s="1"/>
      <c r="R485" s="1"/>
      <c r="S485" s="1"/>
      <c r="T485" s="1"/>
      <c r="U485" s="1"/>
      <c r="V485" s="1"/>
      <c r="W485" s="1"/>
      <c r="X485" s="1"/>
    </row>
    <row r="486" spans="1:24" ht="15" hidden="1" customHeight="1" outlineLevel="3">
      <c r="A486" s="62"/>
      <c r="B486" s="1"/>
      <c r="C486" s="1"/>
      <c r="D486" s="1"/>
      <c r="E486" s="1"/>
      <c r="F486" s="323" t="s">
        <v>33</v>
      </c>
      <c r="G486" s="470"/>
      <c r="H486" s="470"/>
      <c r="I486" s="470"/>
      <c r="J486" s="471"/>
      <c r="K486" s="320"/>
      <c r="L486" s="320"/>
      <c r="M486" s="320"/>
      <c r="N486" s="320"/>
      <c r="O486" s="321"/>
      <c r="P486" s="1"/>
      <c r="Q486" s="1"/>
      <c r="R486" s="1"/>
      <c r="S486" s="1"/>
      <c r="T486" s="1"/>
      <c r="U486" s="1"/>
      <c r="V486" s="1"/>
      <c r="W486" s="1"/>
      <c r="X486" s="1"/>
    </row>
    <row r="487" spans="1:24" ht="15" hidden="1" customHeight="1" outlineLevel="2" collapsed="1">
      <c r="A487" s="62"/>
      <c r="B487" s="1"/>
      <c r="C487" s="25"/>
      <c r="D487" s="25"/>
      <c r="E487" s="25"/>
      <c r="F487" s="25"/>
      <c r="G487" s="25"/>
      <c r="H487" s="25"/>
      <c r="I487" s="25"/>
      <c r="J487" s="25"/>
      <c r="K487" s="106"/>
      <c r="L487" s="307"/>
      <c r="M487" s="307"/>
      <c r="N487" s="307"/>
      <c r="O487" s="307"/>
      <c r="P487" s="1"/>
      <c r="Q487" s="1"/>
      <c r="R487" s="1"/>
      <c r="S487" s="1"/>
      <c r="T487" s="1"/>
      <c r="U487" s="1"/>
      <c r="V487" s="1"/>
      <c r="W487" s="1"/>
    </row>
    <row r="488" spans="1:24" outlineLevel="1" collapsed="1">
      <c r="A488" s="62"/>
      <c r="B488" s="25"/>
      <c r="C488" s="325"/>
      <c r="D488" s="325"/>
      <c r="E488" s="325"/>
      <c r="F488" s="325"/>
      <c r="G488" s="325"/>
      <c r="H488" s="325"/>
      <c r="I488" s="325"/>
      <c r="J488" s="325"/>
      <c r="K488" s="322"/>
      <c r="L488" s="60"/>
      <c r="M488" s="60"/>
      <c r="N488" s="60"/>
    </row>
    <row r="489" spans="1:24" ht="18.75" outlineLevel="1">
      <c r="A489" s="62"/>
      <c r="B489" s="25"/>
      <c r="C489" s="1"/>
      <c r="D489" s="1"/>
      <c r="E489" s="9"/>
      <c r="F489" s="15"/>
      <c r="G489" s="14"/>
      <c r="H489" s="1"/>
      <c r="I489" s="1"/>
      <c r="J489" s="1"/>
      <c r="K489" s="460" t="s">
        <v>16</v>
      </c>
      <c r="L489" s="460"/>
      <c r="M489" s="447" t="s">
        <v>20</v>
      </c>
      <c r="N489" s="447"/>
      <c r="O489" s="447"/>
      <c r="P489" s="1"/>
      <c r="Q489" s="1"/>
      <c r="R489" s="1"/>
      <c r="S489" s="1"/>
      <c r="T489" s="1"/>
    </row>
    <row r="490" spans="1:24" outlineLevel="1">
      <c r="A490" s="62"/>
      <c r="B490" s="324" t="s">
        <v>8</v>
      </c>
      <c r="C490" s="455" t="s">
        <v>9</v>
      </c>
      <c r="D490" s="455"/>
      <c r="E490" s="455"/>
      <c r="F490" s="455"/>
      <c r="G490" s="455"/>
      <c r="H490" s="455"/>
      <c r="I490" s="455"/>
      <c r="J490" s="456"/>
      <c r="K490" s="89" t="s">
        <v>19</v>
      </c>
      <c r="L490" s="89" t="s">
        <v>15</v>
      </c>
      <c r="M490" s="89" t="s">
        <v>18</v>
      </c>
      <c r="N490" s="89" t="s">
        <v>44</v>
      </c>
      <c r="O490" s="89" t="s">
        <v>156</v>
      </c>
      <c r="P490" s="1"/>
      <c r="Q490" s="1"/>
      <c r="R490" s="1"/>
      <c r="S490" s="1"/>
      <c r="T490" s="1"/>
    </row>
    <row r="491" spans="1:24" outlineLevel="1">
      <c r="A491" s="62"/>
      <c r="B491" s="27" t="s">
        <v>21</v>
      </c>
      <c r="C491" s="28" t="s">
        <v>22</v>
      </c>
      <c r="D491" s="457" t="s">
        <v>25</v>
      </c>
      <c r="E491" s="458"/>
      <c r="F491" s="458"/>
      <c r="G491" s="458"/>
      <c r="H491" s="458"/>
      <c r="I491" s="458"/>
      <c r="J491" s="459"/>
      <c r="K491" s="107" t="e">
        <f>IF(AND(K493="Passed",K498="Passed"),"For review","For completion")</f>
        <v>#VALUE!</v>
      </c>
      <c r="L491" s="107" t="e">
        <f>IF(AND(L493="Passed",L498="Passed"),"QA ready","For completion")</f>
        <v>#VALUE!</v>
      </c>
      <c r="M491" s="107" t="e">
        <f>IF(AND(M493="Passed",M498="Passed"),"For verification","For completion")</f>
        <v>#VALUE!</v>
      </c>
      <c r="N491" s="107" t="e">
        <f>IF(AND(N493="Passed",N498="Passed"),"Demo ready","For completion")</f>
        <v>#VALUE!</v>
      </c>
      <c r="O491" s="107" t="e">
        <f>IF(AND(O493="Passed",O498="Passed"),"Production ready","For completion")</f>
        <v>#VALUE!</v>
      </c>
      <c r="P491" s="1"/>
      <c r="Q491" s="1"/>
      <c r="R491" s="1"/>
      <c r="S491" s="1"/>
      <c r="T491" s="1"/>
    </row>
    <row r="492" spans="1:24" ht="15" hidden="1" customHeight="1" outlineLevel="2">
      <c r="A492" s="62"/>
      <c r="B492" s="5"/>
      <c r="C492" s="8"/>
      <c r="D492" s="29" t="s">
        <v>23</v>
      </c>
      <c r="E492" s="453" t="s">
        <v>26</v>
      </c>
      <c r="F492" s="454"/>
      <c r="G492" s="454"/>
      <c r="H492" s="454"/>
      <c r="I492" s="454"/>
      <c r="J492" s="463"/>
      <c r="K492" s="108"/>
      <c r="L492" s="108"/>
      <c r="M492" s="88"/>
      <c r="N492" s="88"/>
      <c r="O492" s="88"/>
      <c r="P492" s="1"/>
      <c r="Q492" s="1"/>
      <c r="R492" s="1"/>
      <c r="S492" s="1"/>
      <c r="T492" s="1"/>
    </row>
    <row r="493" spans="1:24" ht="15" hidden="1" customHeight="1" outlineLevel="2">
      <c r="A493" s="62"/>
      <c r="B493" s="5"/>
      <c r="C493" s="8"/>
      <c r="D493" s="8"/>
      <c r="E493" s="33" t="s">
        <v>24</v>
      </c>
      <c r="F493" s="450" t="s">
        <v>34</v>
      </c>
      <c r="G493" s="450"/>
      <c r="H493" s="450"/>
      <c r="I493" s="450"/>
      <c r="J493" s="450"/>
      <c r="K493" s="306" t="e">
        <f t="shared" ref="K493:L493" si="147">IF(AND(K494:K497),"Passed","Failed")</f>
        <v>#VALUE!</v>
      </c>
      <c r="L493" s="306" t="e">
        <f t="shared" si="147"/>
        <v>#VALUE!</v>
      </c>
      <c r="M493" s="306" t="e">
        <f>IF(AND(M494:M497),"Passed","Failed")</f>
        <v>#VALUE!</v>
      </c>
      <c r="N493" s="306" t="e">
        <f t="shared" ref="N493:O493" si="148">IF(AND(N494:N497),"Passed","Failed")</f>
        <v>#VALUE!</v>
      </c>
      <c r="O493" s="306" t="e">
        <f t="shared" si="148"/>
        <v>#VALUE!</v>
      </c>
      <c r="P493" s="1"/>
      <c r="Q493" s="1"/>
      <c r="R493" s="1"/>
      <c r="S493" s="1"/>
      <c r="T493" s="1"/>
    </row>
    <row r="494" spans="1:24" ht="15" hidden="1" customHeight="1" outlineLevel="3">
      <c r="A494" s="62"/>
      <c r="B494" s="5"/>
      <c r="C494" s="8"/>
      <c r="D494" s="8"/>
      <c r="E494" s="16"/>
      <c r="F494" s="38" t="str">
        <f>HYPERLINK("#'Test Case'!A1","n.1.1.1")</f>
        <v>n.1.1.1</v>
      </c>
      <c r="G494" s="449" t="s">
        <v>68</v>
      </c>
      <c r="H494" s="449"/>
      <c r="I494" s="449"/>
      <c r="J494" s="449"/>
      <c r="K494" s="88"/>
      <c r="L494" s="88"/>
      <c r="M494" s="88"/>
      <c r="N494" s="88"/>
      <c r="O494" s="88"/>
      <c r="P494" s="1"/>
      <c r="Q494" s="1"/>
      <c r="R494" s="1"/>
      <c r="S494" s="1"/>
      <c r="T494" s="1"/>
    </row>
    <row r="495" spans="1:24" ht="15" hidden="1" customHeight="1" outlineLevel="3">
      <c r="A495" s="62"/>
      <c r="B495" s="5"/>
      <c r="C495" s="8"/>
      <c r="D495" s="8"/>
      <c r="E495" s="16"/>
      <c r="F495" s="38" t="str">
        <f>HYPERLINK("#'Test Case'!A1","n.1.1.2")</f>
        <v>n.1.1.2</v>
      </c>
      <c r="G495" s="449" t="s">
        <v>69</v>
      </c>
      <c r="H495" s="449"/>
      <c r="I495" s="449"/>
      <c r="J495" s="449"/>
      <c r="K495" s="88"/>
      <c r="L495" s="88"/>
      <c r="M495" s="88"/>
      <c r="N495" s="88"/>
      <c r="O495" s="88"/>
      <c r="P495" s="1"/>
      <c r="Q495" s="1"/>
      <c r="R495" s="1"/>
      <c r="S495" s="1"/>
      <c r="T495" s="1"/>
    </row>
    <row r="496" spans="1:24" ht="15" hidden="1" customHeight="1" outlineLevel="3">
      <c r="A496" s="62"/>
      <c r="B496" s="5"/>
      <c r="C496" s="8"/>
      <c r="D496" s="8"/>
      <c r="E496" s="16"/>
      <c r="F496" s="38" t="str">
        <f>HYPERLINK("#'Test Case'!A1","n.1.1.3")</f>
        <v>n.1.1.3</v>
      </c>
      <c r="G496" s="449" t="s">
        <v>70</v>
      </c>
      <c r="H496" s="449"/>
      <c r="I496" s="449"/>
      <c r="J496" s="449"/>
      <c r="K496" s="88"/>
      <c r="L496" s="88"/>
      <c r="M496" s="88"/>
      <c r="N496" s="88"/>
      <c r="O496" s="88"/>
      <c r="P496" s="1"/>
      <c r="Q496" s="1"/>
      <c r="R496" s="1"/>
      <c r="S496" s="1"/>
      <c r="T496" s="1"/>
    </row>
    <row r="497" spans="1:24" ht="15" hidden="1" customHeight="1" outlineLevel="3">
      <c r="A497" s="62"/>
      <c r="B497" s="5"/>
      <c r="C497" s="8"/>
      <c r="D497" s="8"/>
      <c r="E497" s="16"/>
      <c r="F497" s="38" t="str">
        <f>HYPERLINK("#'Test Case'!A1","n.1.1.4")</f>
        <v>n.1.1.4</v>
      </c>
      <c r="G497" s="449" t="s">
        <v>71</v>
      </c>
      <c r="H497" s="449"/>
      <c r="I497" s="449"/>
      <c r="J497" s="449"/>
      <c r="K497" s="88"/>
      <c r="L497" s="88"/>
      <c r="M497" s="88"/>
      <c r="N497" s="88"/>
      <c r="O497" s="88"/>
      <c r="P497" s="1"/>
      <c r="Q497" s="1"/>
      <c r="R497" s="1"/>
      <c r="S497" s="1"/>
      <c r="T497" s="1"/>
    </row>
    <row r="498" spans="1:24" ht="15" hidden="1" customHeight="1" outlineLevel="2" collapsed="1">
      <c r="A498" s="62"/>
      <c r="B498" s="5"/>
      <c r="C498" s="5"/>
      <c r="D498" s="5"/>
      <c r="E498" s="32" t="s">
        <v>28</v>
      </c>
      <c r="F498" s="450" t="s">
        <v>35</v>
      </c>
      <c r="G498" s="450"/>
      <c r="H498" s="450"/>
      <c r="I498" s="450"/>
      <c r="J498" s="450"/>
      <c r="K498" s="135" t="e">
        <f t="shared" ref="K498:L498" si="149">IF(AND(K499:K502),"Passed","Failed")</f>
        <v>#VALUE!</v>
      </c>
      <c r="L498" s="135" t="e">
        <f t="shared" si="149"/>
        <v>#VALUE!</v>
      </c>
      <c r="M498" s="135" t="e">
        <f>IF(AND(M499:M502),"Passed","Failed")</f>
        <v>#VALUE!</v>
      </c>
      <c r="N498" s="135" t="e">
        <f t="shared" ref="N498:O498" si="150">IF(AND(N499:N502),"Passed","Failed")</f>
        <v>#VALUE!</v>
      </c>
      <c r="O498" s="135" t="e">
        <f t="shared" si="150"/>
        <v>#VALUE!</v>
      </c>
      <c r="P498" s="1"/>
      <c r="Q498" s="1"/>
      <c r="R498" s="1"/>
      <c r="S498" s="1"/>
      <c r="T498" s="1"/>
    </row>
    <row r="499" spans="1:24" ht="15" hidden="1" customHeight="1" outlineLevel="3">
      <c r="A499" s="62"/>
      <c r="B499" s="5"/>
      <c r="C499" s="5"/>
      <c r="D499" s="5"/>
      <c r="E499" s="16"/>
      <c r="F499" s="38" t="str">
        <f>HYPERLINK("#'Test Case'!A1","n.2.1.1")</f>
        <v>n.2.1.1</v>
      </c>
      <c r="G499" s="449" t="s">
        <v>68</v>
      </c>
      <c r="H499" s="449"/>
      <c r="I499" s="449"/>
      <c r="J499" s="449"/>
      <c r="K499" s="88"/>
      <c r="L499" s="88"/>
      <c r="M499" s="88"/>
      <c r="N499" s="88"/>
      <c r="O499" s="88"/>
      <c r="P499" s="1"/>
      <c r="Q499" s="1"/>
      <c r="R499" s="1"/>
      <c r="S499" s="1"/>
      <c r="T499" s="1"/>
    </row>
    <row r="500" spans="1:24" ht="15" hidden="1" customHeight="1" outlineLevel="3">
      <c r="A500" s="62"/>
      <c r="B500" s="1"/>
      <c r="C500" s="5"/>
      <c r="D500" s="5"/>
      <c r="E500" s="16"/>
      <c r="F500" s="38" t="str">
        <f>HYPERLINK("#'Test Case'!A1","n.2.1.2")</f>
        <v>n.2.1.2</v>
      </c>
      <c r="G500" s="449" t="s">
        <v>69</v>
      </c>
      <c r="H500" s="449"/>
      <c r="I500" s="449"/>
      <c r="J500" s="449"/>
      <c r="K500" s="88"/>
      <c r="L500" s="88"/>
      <c r="M500" s="88"/>
      <c r="N500" s="88"/>
      <c r="O500" s="88"/>
      <c r="P500" s="1"/>
      <c r="Q500" s="1"/>
      <c r="R500" s="1"/>
      <c r="S500" s="1"/>
      <c r="T500" s="1"/>
    </row>
    <row r="501" spans="1:24" ht="15" hidden="1" customHeight="1" outlineLevel="3">
      <c r="A501" s="62"/>
      <c r="B501" s="1"/>
      <c r="C501" s="1"/>
      <c r="D501" s="1"/>
      <c r="E501" s="1"/>
      <c r="F501" s="38" t="str">
        <f>HYPERLINK("#'Test Case'!A1","n.2.1.3")</f>
        <v>n.2.1.3</v>
      </c>
      <c r="G501" s="449" t="s">
        <v>70</v>
      </c>
      <c r="H501" s="449"/>
      <c r="I501" s="449"/>
      <c r="J501" s="449"/>
      <c r="K501" s="88"/>
      <c r="L501" s="88"/>
      <c r="M501" s="88"/>
      <c r="N501" s="88"/>
      <c r="O501" s="88"/>
      <c r="P501" s="1"/>
      <c r="Q501" s="1"/>
      <c r="R501" s="1"/>
      <c r="S501" s="1"/>
      <c r="T501" s="1"/>
    </row>
    <row r="502" spans="1:24" ht="15" hidden="1" customHeight="1" outlineLevel="3">
      <c r="A502" s="62"/>
      <c r="B502" s="1"/>
      <c r="C502" s="1"/>
      <c r="D502" s="1"/>
      <c r="E502" s="1"/>
      <c r="F502" s="38" t="str">
        <f>HYPERLINK("#'Test Case'!A1","n.2.1.4")</f>
        <v>n.2.1.4</v>
      </c>
      <c r="G502" s="449" t="s">
        <v>71</v>
      </c>
      <c r="H502" s="449"/>
      <c r="I502" s="449"/>
      <c r="J502" s="449"/>
      <c r="K502" s="88"/>
      <c r="L502" s="88"/>
      <c r="M502" s="88"/>
      <c r="N502" s="88"/>
      <c r="O502" s="88"/>
      <c r="P502" s="1"/>
      <c r="Q502" s="1"/>
      <c r="R502" s="1"/>
      <c r="S502" s="1"/>
      <c r="T502" s="1"/>
    </row>
    <row r="503" spans="1:24" ht="15" hidden="1" customHeight="1" outlineLevel="2" collapsed="1">
      <c r="A503" s="62"/>
      <c r="B503" s="1"/>
      <c r="C503" s="1"/>
      <c r="D503" s="29" t="s">
        <v>27</v>
      </c>
      <c r="E503" s="453" t="s">
        <v>26</v>
      </c>
      <c r="F503" s="454"/>
      <c r="G503" s="454"/>
      <c r="H503" s="454"/>
      <c r="I503" s="454"/>
      <c r="J503" s="463"/>
      <c r="K503" s="108"/>
      <c r="L503" s="108"/>
      <c r="M503" s="88"/>
      <c r="N503" s="88"/>
      <c r="O503" s="88"/>
      <c r="P503" s="1"/>
      <c r="Q503" s="1"/>
      <c r="R503" s="1"/>
      <c r="S503" s="1"/>
      <c r="T503" s="1"/>
    </row>
    <row r="504" spans="1:24" ht="15" hidden="1" customHeight="1" outlineLevel="2">
      <c r="A504" s="62"/>
      <c r="B504" s="1"/>
      <c r="C504" s="1"/>
      <c r="D504" s="8"/>
      <c r="E504" s="33" t="s">
        <v>28</v>
      </c>
      <c r="F504" s="450" t="s">
        <v>36</v>
      </c>
      <c r="G504" s="450"/>
      <c r="H504" s="450"/>
      <c r="I504" s="450"/>
      <c r="J504" s="450"/>
      <c r="K504" s="135" t="e">
        <f t="shared" ref="K504:L504" si="151">IF(AND(K505:K508),"Passed","Failed")</f>
        <v>#VALUE!</v>
      </c>
      <c r="L504" s="135" t="e">
        <f t="shared" si="151"/>
        <v>#VALUE!</v>
      </c>
      <c r="M504" s="135" t="e">
        <f>IF(AND(M505:M508),"Passed","Failed")</f>
        <v>#VALUE!</v>
      </c>
      <c r="N504" s="135" t="e">
        <f t="shared" ref="N504:O504" si="152">IF(AND(N505:N508),"Passed","Failed")</f>
        <v>#VALUE!</v>
      </c>
      <c r="O504" s="135" t="e">
        <f t="shared" si="152"/>
        <v>#VALUE!</v>
      </c>
      <c r="P504" s="1"/>
      <c r="Q504" s="1"/>
      <c r="R504" s="1"/>
      <c r="S504" s="1"/>
      <c r="T504" s="1"/>
    </row>
    <row r="505" spans="1:24" ht="15" hidden="1" customHeight="1" outlineLevel="3">
      <c r="A505" s="62"/>
      <c r="B505" s="1"/>
      <c r="C505" s="1"/>
      <c r="D505" s="8"/>
      <c r="E505" s="16"/>
      <c r="F505" s="30" t="s">
        <v>30</v>
      </c>
      <c r="G505" s="449"/>
      <c r="H505" s="449"/>
      <c r="I505" s="449"/>
      <c r="J505" s="449"/>
      <c r="K505" s="88"/>
      <c r="L505" s="88"/>
      <c r="M505" s="88"/>
      <c r="N505" s="88"/>
      <c r="O505" s="88"/>
      <c r="P505" s="1"/>
      <c r="Q505" s="1"/>
      <c r="R505" s="1"/>
      <c r="S505" s="1"/>
      <c r="T505" s="1"/>
    </row>
    <row r="506" spans="1:24" ht="15" hidden="1" customHeight="1" outlineLevel="3">
      <c r="A506" s="62"/>
      <c r="B506" s="1"/>
      <c r="C506" s="1"/>
      <c r="D506" s="8"/>
      <c r="E506" s="16"/>
      <c r="F506" s="30" t="s">
        <v>31</v>
      </c>
      <c r="G506" s="449"/>
      <c r="H506" s="449"/>
      <c r="I506" s="449"/>
      <c r="J506" s="449"/>
      <c r="K506" s="88"/>
      <c r="L506" s="88"/>
      <c r="M506" s="88"/>
      <c r="N506" s="88"/>
      <c r="O506" s="88"/>
      <c r="P506" s="1"/>
      <c r="Q506" s="1"/>
      <c r="R506" s="1"/>
      <c r="S506" s="1"/>
      <c r="T506" s="1"/>
    </row>
    <row r="507" spans="1:24" ht="15" hidden="1" customHeight="1" outlineLevel="3">
      <c r="A507" s="62"/>
      <c r="B507" s="1"/>
      <c r="C507" s="1"/>
      <c r="D507" s="8"/>
      <c r="E507" s="16"/>
      <c r="F507" s="30" t="s">
        <v>32</v>
      </c>
      <c r="G507" s="449"/>
      <c r="H507" s="449"/>
      <c r="I507" s="449"/>
      <c r="J507" s="449"/>
      <c r="K507" s="88"/>
      <c r="L507" s="88"/>
      <c r="M507" s="88"/>
      <c r="N507" s="88"/>
      <c r="O507" s="88"/>
      <c r="P507" s="1"/>
      <c r="Q507" s="1"/>
      <c r="R507" s="1"/>
      <c r="S507" s="1"/>
      <c r="T507" s="1"/>
    </row>
    <row r="508" spans="1:24" ht="15" hidden="1" customHeight="1" outlineLevel="3">
      <c r="A508" s="62"/>
      <c r="B508" s="1"/>
      <c r="C508" s="1"/>
      <c r="D508" s="8"/>
      <c r="E508" s="16"/>
      <c r="F508" s="30" t="s">
        <v>33</v>
      </c>
      <c r="G508" s="449"/>
      <c r="H508" s="449"/>
      <c r="I508" s="449"/>
      <c r="J508" s="449"/>
      <c r="K508" s="88"/>
      <c r="L508" s="88"/>
      <c r="M508" s="88"/>
      <c r="N508" s="88"/>
      <c r="O508" s="88"/>
      <c r="P508" s="1"/>
      <c r="Q508" s="1"/>
      <c r="R508" s="1"/>
      <c r="S508" s="1"/>
      <c r="T508" s="1"/>
    </row>
    <row r="509" spans="1:24" ht="15" hidden="1" customHeight="1" outlineLevel="2" collapsed="1">
      <c r="A509" s="62"/>
      <c r="B509" s="1"/>
      <c r="C509" s="1"/>
      <c r="D509" s="5"/>
      <c r="E509" s="32" t="s">
        <v>29</v>
      </c>
      <c r="F509" s="450" t="s">
        <v>37</v>
      </c>
      <c r="G509" s="450"/>
      <c r="H509" s="450"/>
      <c r="I509" s="450"/>
      <c r="J509" s="451"/>
      <c r="K509" s="306" t="e">
        <f t="shared" ref="K509:L509" si="153">IF(AND(K510:K513),"Passed","Failed")</f>
        <v>#VALUE!</v>
      </c>
      <c r="L509" s="306" t="e">
        <f t="shared" si="153"/>
        <v>#VALUE!</v>
      </c>
      <c r="M509" s="306" t="e">
        <f>IF(AND(M510:M513),"Passed","Failed")</f>
        <v>#VALUE!</v>
      </c>
      <c r="N509" s="306" t="e">
        <f t="shared" ref="N509:O509" si="154">IF(AND(N510:N513),"Passed","Failed")</f>
        <v>#VALUE!</v>
      </c>
      <c r="O509" s="306" t="e">
        <f t="shared" si="154"/>
        <v>#VALUE!</v>
      </c>
      <c r="P509" s="1"/>
      <c r="Q509" s="1"/>
      <c r="R509" s="1"/>
      <c r="S509" s="1"/>
      <c r="T509" s="1"/>
      <c r="U509" s="1"/>
      <c r="V509" s="1"/>
      <c r="W509" s="1"/>
      <c r="X509" s="1"/>
    </row>
    <row r="510" spans="1:24" ht="15" hidden="1" customHeight="1" outlineLevel="3">
      <c r="A510" s="62"/>
      <c r="B510" s="1"/>
      <c r="C510" s="1"/>
      <c r="D510" s="5"/>
      <c r="E510" s="16"/>
      <c r="F510" s="314" t="s">
        <v>30</v>
      </c>
      <c r="G510" s="464"/>
      <c r="H510" s="464"/>
      <c r="I510" s="464"/>
      <c r="J510" s="465"/>
      <c r="K510" s="315"/>
      <c r="L510" s="315"/>
      <c r="M510" s="315"/>
      <c r="N510" s="315"/>
      <c r="O510" s="316"/>
      <c r="P510" s="1"/>
      <c r="Q510" s="1"/>
      <c r="R510" s="1"/>
      <c r="S510" s="1"/>
      <c r="T510" s="1"/>
      <c r="U510" s="1"/>
      <c r="V510" s="1"/>
      <c r="W510" s="1"/>
      <c r="X510" s="1"/>
    </row>
    <row r="511" spans="1:24" ht="15" hidden="1" customHeight="1" outlineLevel="3">
      <c r="A511" s="62"/>
      <c r="B511" s="1"/>
      <c r="C511" s="1"/>
      <c r="D511" s="5"/>
      <c r="E511" s="16"/>
      <c r="F511" s="317" t="s">
        <v>31</v>
      </c>
      <c r="G511" s="449"/>
      <c r="H511" s="449"/>
      <c r="I511" s="449"/>
      <c r="J511" s="452"/>
      <c r="K511" s="88"/>
      <c r="L511" s="88"/>
      <c r="M511" s="88"/>
      <c r="N511" s="88"/>
      <c r="O511" s="318"/>
      <c r="P511" s="1"/>
      <c r="Q511" s="1"/>
      <c r="R511" s="1"/>
      <c r="S511" s="1"/>
      <c r="T511" s="1"/>
      <c r="U511" s="1"/>
      <c r="V511" s="1"/>
      <c r="W511" s="1"/>
      <c r="X511" s="1"/>
    </row>
    <row r="512" spans="1:24" ht="15" hidden="1" customHeight="1" outlineLevel="3">
      <c r="A512" s="62"/>
      <c r="B512" s="1"/>
      <c r="C512" s="1"/>
      <c r="D512" s="1"/>
      <c r="E512" s="1"/>
      <c r="F512" s="317" t="s">
        <v>32</v>
      </c>
      <c r="G512" s="449"/>
      <c r="H512" s="449"/>
      <c r="I512" s="449"/>
      <c r="J512" s="452"/>
      <c r="K512" s="88"/>
      <c r="L512" s="88"/>
      <c r="M512" s="88"/>
      <c r="N512" s="88"/>
      <c r="O512" s="318"/>
      <c r="P512" s="1"/>
      <c r="Q512" s="1"/>
      <c r="R512" s="1"/>
      <c r="S512" s="1"/>
      <c r="T512" s="1"/>
      <c r="U512" s="1"/>
      <c r="V512" s="1"/>
      <c r="W512" s="1"/>
      <c r="X512" s="1"/>
    </row>
    <row r="513" spans="1:24" ht="15" hidden="1" customHeight="1" outlineLevel="3">
      <c r="A513" s="62"/>
      <c r="B513" s="1"/>
      <c r="C513" s="1"/>
      <c r="D513" s="1"/>
      <c r="E513" s="1"/>
      <c r="F513" s="319" t="s">
        <v>33</v>
      </c>
      <c r="G513" s="461"/>
      <c r="H513" s="461"/>
      <c r="I513" s="461"/>
      <c r="J513" s="462"/>
      <c r="K513" s="320"/>
      <c r="L513" s="320"/>
      <c r="M513" s="320"/>
      <c r="N513" s="320"/>
      <c r="O513" s="321"/>
      <c r="P513" s="1"/>
      <c r="Q513" s="1"/>
      <c r="R513" s="1"/>
      <c r="S513" s="1"/>
      <c r="T513" s="1"/>
      <c r="U513" s="1"/>
      <c r="V513" s="1"/>
      <c r="W513" s="1"/>
      <c r="X513" s="1"/>
    </row>
    <row r="514" spans="1:24" ht="15" hidden="1" customHeight="1" outlineLevel="2" collapsed="1">
      <c r="A514" s="62"/>
      <c r="B514" s="1"/>
      <c r="C514" s="1"/>
      <c r="D514" s="1"/>
      <c r="E514" s="1"/>
      <c r="F514" s="1"/>
      <c r="G514" s="1"/>
      <c r="H514" s="1"/>
      <c r="I514" s="1"/>
      <c r="J514" s="1"/>
      <c r="K514" s="307"/>
      <c r="L514" s="307"/>
      <c r="M514" s="307"/>
      <c r="N514" s="307"/>
      <c r="O514" s="307"/>
      <c r="P514" s="1"/>
      <c r="Q514" s="1"/>
      <c r="R514" s="1"/>
      <c r="S514" s="1"/>
      <c r="T514" s="1"/>
      <c r="U514" s="1"/>
      <c r="V514" s="1"/>
      <c r="W514" s="1"/>
    </row>
    <row r="515" spans="1:24" outlineLevel="1" collapsed="1">
      <c r="A515" s="62"/>
      <c r="B515" s="59"/>
      <c r="C515" s="60"/>
      <c r="D515" s="60"/>
      <c r="E515" s="60"/>
      <c r="F515" s="60"/>
      <c r="G515" s="60"/>
      <c r="H515" s="60"/>
      <c r="I515" s="60"/>
      <c r="J515" s="60"/>
      <c r="K515" s="60"/>
      <c r="L515" s="60"/>
      <c r="M515" s="60"/>
      <c r="N515" s="60"/>
    </row>
  </sheetData>
  <dataConsolidate function="var" topLabels="1">
    <dataRefs count="1">
      <dataRef ref="A22:M43" sheet="Traceability  Matrix"/>
    </dataRefs>
  </dataConsolidate>
  <mergeCells count="505">
    <mergeCell ref="F509:J509"/>
    <mergeCell ref="G513:J513"/>
    <mergeCell ref="G510:J510"/>
    <mergeCell ref="G511:J511"/>
    <mergeCell ref="G512:J512"/>
    <mergeCell ref="G500:J500"/>
    <mergeCell ref="G501:J501"/>
    <mergeCell ref="G505:J505"/>
    <mergeCell ref="G506:J506"/>
    <mergeCell ref="G507:J507"/>
    <mergeCell ref="G502:J502"/>
    <mergeCell ref="E503:J503"/>
    <mergeCell ref="F504:J504"/>
    <mergeCell ref="G508:J508"/>
    <mergeCell ref="G494:J494"/>
    <mergeCell ref="G495:J495"/>
    <mergeCell ref="G496:J496"/>
    <mergeCell ref="G499:J499"/>
    <mergeCell ref="D491:J491"/>
    <mergeCell ref="E492:J492"/>
    <mergeCell ref="F493:J493"/>
    <mergeCell ref="G497:J497"/>
    <mergeCell ref="F498:J498"/>
    <mergeCell ref="F482:J482"/>
    <mergeCell ref="G483:J483"/>
    <mergeCell ref="G484:J484"/>
    <mergeCell ref="G485:J485"/>
    <mergeCell ref="G486:J486"/>
    <mergeCell ref="K489:L489"/>
    <mergeCell ref="M489:O489"/>
    <mergeCell ref="C490:J490"/>
    <mergeCell ref="G473:J473"/>
    <mergeCell ref="G474:J474"/>
    <mergeCell ref="G475:J475"/>
    <mergeCell ref="E476:J476"/>
    <mergeCell ref="F477:J477"/>
    <mergeCell ref="G478:J478"/>
    <mergeCell ref="G479:J479"/>
    <mergeCell ref="G480:J480"/>
    <mergeCell ref="G481:J481"/>
    <mergeCell ref="D464:J464"/>
    <mergeCell ref="E465:J465"/>
    <mergeCell ref="F466:J466"/>
    <mergeCell ref="G467:J467"/>
    <mergeCell ref="G468:J468"/>
    <mergeCell ref="G469:J469"/>
    <mergeCell ref="G470:J470"/>
    <mergeCell ref="F471:J471"/>
    <mergeCell ref="G472:J472"/>
    <mergeCell ref="G455:J455"/>
    <mergeCell ref="F456:J456"/>
    <mergeCell ref="G457:J457"/>
    <mergeCell ref="G458:J458"/>
    <mergeCell ref="G459:J459"/>
    <mergeCell ref="G460:J460"/>
    <mergeCell ref="K462:L462"/>
    <mergeCell ref="M462:O462"/>
    <mergeCell ref="C463:J463"/>
    <mergeCell ref="G446:J446"/>
    <mergeCell ref="G447:J447"/>
    <mergeCell ref="G448:J448"/>
    <mergeCell ref="G449:J449"/>
    <mergeCell ref="E450:J450"/>
    <mergeCell ref="F451:J451"/>
    <mergeCell ref="G452:J452"/>
    <mergeCell ref="G453:J453"/>
    <mergeCell ref="G454:J454"/>
    <mergeCell ref="C437:J437"/>
    <mergeCell ref="D438:J438"/>
    <mergeCell ref="E439:J439"/>
    <mergeCell ref="F440:J440"/>
    <mergeCell ref="G441:J441"/>
    <mergeCell ref="G442:J442"/>
    <mergeCell ref="G443:J443"/>
    <mergeCell ref="G444:J444"/>
    <mergeCell ref="F445:J445"/>
    <mergeCell ref="G428:J428"/>
    <mergeCell ref="G429:J429"/>
    <mergeCell ref="F430:J430"/>
    <mergeCell ref="G431:J431"/>
    <mergeCell ref="G432:J432"/>
    <mergeCell ref="G433:J433"/>
    <mergeCell ref="G434:J434"/>
    <mergeCell ref="K436:L436"/>
    <mergeCell ref="M436:O436"/>
    <mergeCell ref="F419:J419"/>
    <mergeCell ref="G420:J420"/>
    <mergeCell ref="G421:J421"/>
    <mergeCell ref="G422:J422"/>
    <mergeCell ref="G423:J423"/>
    <mergeCell ref="E424:J424"/>
    <mergeCell ref="F425:J425"/>
    <mergeCell ref="G426:J426"/>
    <mergeCell ref="G427:J427"/>
    <mergeCell ref="K410:L410"/>
    <mergeCell ref="M410:O410"/>
    <mergeCell ref="C411:J411"/>
    <mergeCell ref="D412:J412"/>
    <mergeCell ref="E413:J413"/>
    <mergeCell ref="F414:J414"/>
    <mergeCell ref="G416:J416"/>
    <mergeCell ref="G417:J417"/>
    <mergeCell ref="G418:J418"/>
    <mergeCell ref="G415:J415"/>
    <mergeCell ref="K384:L384"/>
    <mergeCell ref="M384:O384"/>
    <mergeCell ref="C385:J385"/>
    <mergeCell ref="D386:J386"/>
    <mergeCell ref="E387:J387"/>
    <mergeCell ref="F388:J388"/>
    <mergeCell ref="G389:J389"/>
    <mergeCell ref="G390:J390"/>
    <mergeCell ref="G391:J391"/>
    <mergeCell ref="G392:J392"/>
    <mergeCell ref="F393:J393"/>
    <mergeCell ref="G394:J394"/>
    <mergeCell ref="G395:J395"/>
    <mergeCell ref="E398:J398"/>
    <mergeCell ref="F399:J399"/>
    <mergeCell ref="G400:J400"/>
    <mergeCell ref="F404:J404"/>
    <mergeCell ref="G405:J405"/>
    <mergeCell ref="G406:J406"/>
    <mergeCell ref="G407:J407"/>
    <mergeCell ref="G408:J408"/>
    <mergeCell ref="G396:J396"/>
    <mergeCell ref="G397:J397"/>
    <mergeCell ref="G401:J401"/>
    <mergeCell ref="G402:J402"/>
    <mergeCell ref="G403:J403"/>
    <mergeCell ref="G179:J179"/>
    <mergeCell ref="C182:J182"/>
    <mergeCell ref="D183:J183"/>
    <mergeCell ref="F190:J190"/>
    <mergeCell ref="G191:J191"/>
    <mergeCell ref="G192:J192"/>
    <mergeCell ref="G193:J193"/>
    <mergeCell ref="G194:J194"/>
    <mergeCell ref="E195:J195"/>
    <mergeCell ref="G214:J214"/>
    <mergeCell ref="G215:J215"/>
    <mergeCell ref="F216:J216"/>
    <mergeCell ref="G217:J217"/>
    <mergeCell ref="G218:J218"/>
    <mergeCell ref="G219:J219"/>
    <mergeCell ref="C208:J208"/>
    <mergeCell ref="M10:O10"/>
    <mergeCell ref="K10:L10"/>
    <mergeCell ref="E13:J13"/>
    <mergeCell ref="C11:J11"/>
    <mergeCell ref="F14:J14"/>
    <mergeCell ref="F19:J19"/>
    <mergeCell ref="G15:J15"/>
    <mergeCell ref="G16:J16"/>
    <mergeCell ref="G18:J18"/>
    <mergeCell ref="G17:J17"/>
    <mergeCell ref="D12:J12"/>
    <mergeCell ref="K25:L25"/>
    <mergeCell ref="C26:J26"/>
    <mergeCell ref="D27:J27"/>
    <mergeCell ref="E28:J28"/>
    <mergeCell ref="F29:J29"/>
    <mergeCell ref="M25:O25"/>
    <mergeCell ref="G20:J20"/>
    <mergeCell ref="G21:J21"/>
    <mergeCell ref="G22:J22"/>
    <mergeCell ref="G23:J23"/>
    <mergeCell ref="G36:J36"/>
    <mergeCell ref="G37:J37"/>
    <mergeCell ref="G38:J38"/>
    <mergeCell ref="E39:J39"/>
    <mergeCell ref="F40:J40"/>
    <mergeCell ref="G41:J41"/>
    <mergeCell ref="G30:J30"/>
    <mergeCell ref="G31:J31"/>
    <mergeCell ref="G32:J32"/>
    <mergeCell ref="G33:J33"/>
    <mergeCell ref="F34:J34"/>
    <mergeCell ref="G35:J35"/>
    <mergeCell ref="E65:J65"/>
    <mergeCell ref="F66:J66"/>
    <mergeCell ref="F60:J60"/>
    <mergeCell ref="G48:J48"/>
    <mergeCell ref="G49:J49"/>
    <mergeCell ref="G42:J42"/>
    <mergeCell ref="G43:J43"/>
    <mergeCell ref="G44:J44"/>
    <mergeCell ref="F45:J45"/>
    <mergeCell ref="G46:J46"/>
    <mergeCell ref="G47:J47"/>
    <mergeCell ref="G73:J73"/>
    <mergeCell ref="G74:J74"/>
    <mergeCell ref="G75:J75"/>
    <mergeCell ref="M77:O77"/>
    <mergeCell ref="K51:L51"/>
    <mergeCell ref="C52:J52"/>
    <mergeCell ref="D53:J53"/>
    <mergeCell ref="E54:J54"/>
    <mergeCell ref="F55:J55"/>
    <mergeCell ref="G68:J68"/>
    <mergeCell ref="G69:J69"/>
    <mergeCell ref="G70:J70"/>
    <mergeCell ref="G67:J67"/>
    <mergeCell ref="G57:J57"/>
    <mergeCell ref="G58:J58"/>
    <mergeCell ref="G59:J59"/>
    <mergeCell ref="G56:J56"/>
    <mergeCell ref="M51:O51"/>
    <mergeCell ref="F71:J71"/>
    <mergeCell ref="G72:J72"/>
    <mergeCell ref="G62:J62"/>
    <mergeCell ref="G63:J63"/>
    <mergeCell ref="G64:J64"/>
    <mergeCell ref="G61:J61"/>
    <mergeCell ref="G82:J82"/>
    <mergeCell ref="G83:J83"/>
    <mergeCell ref="G84:J84"/>
    <mergeCell ref="G85:J85"/>
    <mergeCell ref="F86:J86"/>
    <mergeCell ref="G87:J87"/>
    <mergeCell ref="K77:L77"/>
    <mergeCell ref="C78:J78"/>
    <mergeCell ref="D79:J79"/>
    <mergeCell ref="E80:J80"/>
    <mergeCell ref="F81:J81"/>
    <mergeCell ref="G94:J94"/>
    <mergeCell ref="G95:J95"/>
    <mergeCell ref="G96:J96"/>
    <mergeCell ref="F97:J97"/>
    <mergeCell ref="G98:J98"/>
    <mergeCell ref="G99:J99"/>
    <mergeCell ref="M103:O103"/>
    <mergeCell ref="G88:J88"/>
    <mergeCell ref="G89:J89"/>
    <mergeCell ref="G90:J90"/>
    <mergeCell ref="E91:J91"/>
    <mergeCell ref="F92:J92"/>
    <mergeCell ref="G93:J93"/>
    <mergeCell ref="M129:O129"/>
    <mergeCell ref="E106:J106"/>
    <mergeCell ref="F107:J107"/>
    <mergeCell ref="G108:J108"/>
    <mergeCell ref="G109:J109"/>
    <mergeCell ref="G110:J110"/>
    <mergeCell ref="G111:J111"/>
    <mergeCell ref="G100:J100"/>
    <mergeCell ref="G101:J101"/>
    <mergeCell ref="K103:L103"/>
    <mergeCell ref="C104:J104"/>
    <mergeCell ref="D105:J105"/>
    <mergeCell ref="K129:L129"/>
    <mergeCell ref="F118:J118"/>
    <mergeCell ref="G119:J119"/>
    <mergeCell ref="G120:J120"/>
    <mergeCell ref="G121:J121"/>
    <mergeCell ref="G122:J122"/>
    <mergeCell ref="F123:J123"/>
    <mergeCell ref="F112:J112"/>
    <mergeCell ref="G113:J113"/>
    <mergeCell ref="G114:J114"/>
    <mergeCell ref="G115:J115"/>
    <mergeCell ref="G116:J116"/>
    <mergeCell ref="E117:J117"/>
    <mergeCell ref="C130:J130"/>
    <mergeCell ref="D131:J131"/>
    <mergeCell ref="E132:J132"/>
    <mergeCell ref="F133:J133"/>
    <mergeCell ref="G134:J134"/>
    <mergeCell ref="G135:J135"/>
    <mergeCell ref="G124:J124"/>
    <mergeCell ref="G125:J125"/>
    <mergeCell ref="G126:J126"/>
    <mergeCell ref="G127:J127"/>
    <mergeCell ref="M155:O155"/>
    <mergeCell ref="G142:J142"/>
    <mergeCell ref="E143:J143"/>
    <mergeCell ref="F144:J144"/>
    <mergeCell ref="G145:J145"/>
    <mergeCell ref="G146:J146"/>
    <mergeCell ref="G147:J147"/>
    <mergeCell ref="G136:J136"/>
    <mergeCell ref="G137:J137"/>
    <mergeCell ref="F138:J138"/>
    <mergeCell ref="G139:J139"/>
    <mergeCell ref="G140:J140"/>
    <mergeCell ref="G141:J141"/>
    <mergeCell ref="K155:L155"/>
    <mergeCell ref="C156:J156"/>
    <mergeCell ref="D157:J157"/>
    <mergeCell ref="E158:J158"/>
    <mergeCell ref="F159:J159"/>
    <mergeCell ref="G148:J148"/>
    <mergeCell ref="F149:J149"/>
    <mergeCell ref="G150:J150"/>
    <mergeCell ref="G151:J151"/>
    <mergeCell ref="G152:J152"/>
    <mergeCell ref="G153:J153"/>
    <mergeCell ref="M181:O181"/>
    <mergeCell ref="G166:J166"/>
    <mergeCell ref="G167:J167"/>
    <mergeCell ref="G168:J168"/>
    <mergeCell ref="E169:J169"/>
    <mergeCell ref="F170:J170"/>
    <mergeCell ref="G171:J171"/>
    <mergeCell ref="G160:J160"/>
    <mergeCell ref="G161:J161"/>
    <mergeCell ref="G162:J162"/>
    <mergeCell ref="G163:J163"/>
    <mergeCell ref="F164:J164"/>
    <mergeCell ref="G165:J165"/>
    <mergeCell ref="G178:J178"/>
    <mergeCell ref="K181:L181"/>
    <mergeCell ref="G172:J172"/>
    <mergeCell ref="G173:J173"/>
    <mergeCell ref="G174:J174"/>
    <mergeCell ref="F175:J175"/>
    <mergeCell ref="G176:J176"/>
    <mergeCell ref="G177:J177"/>
    <mergeCell ref="M207:O207"/>
    <mergeCell ref="E184:J184"/>
    <mergeCell ref="F185:J185"/>
    <mergeCell ref="G186:J186"/>
    <mergeCell ref="G187:J187"/>
    <mergeCell ref="G188:J188"/>
    <mergeCell ref="G189:J189"/>
    <mergeCell ref="G202:J202"/>
    <mergeCell ref="G203:J203"/>
    <mergeCell ref="G204:J204"/>
    <mergeCell ref="G205:J205"/>
    <mergeCell ref="K207:L207"/>
    <mergeCell ref="F196:J196"/>
    <mergeCell ref="G197:J197"/>
    <mergeCell ref="G198:J198"/>
    <mergeCell ref="G199:J199"/>
    <mergeCell ref="G200:J200"/>
    <mergeCell ref="F201:J201"/>
    <mergeCell ref="D209:J209"/>
    <mergeCell ref="E210:J210"/>
    <mergeCell ref="F211:J211"/>
    <mergeCell ref="G212:J212"/>
    <mergeCell ref="G213:J213"/>
    <mergeCell ref="G226:J226"/>
    <mergeCell ref="F227:J227"/>
    <mergeCell ref="G228:J228"/>
    <mergeCell ref="G229:J229"/>
    <mergeCell ref="G230:J230"/>
    <mergeCell ref="G231:J231"/>
    <mergeCell ref="M233:O233"/>
    <mergeCell ref="G220:J220"/>
    <mergeCell ref="E221:J221"/>
    <mergeCell ref="F222:J222"/>
    <mergeCell ref="G223:J223"/>
    <mergeCell ref="G224:J224"/>
    <mergeCell ref="G225:J225"/>
    <mergeCell ref="G238:J238"/>
    <mergeCell ref="G239:J239"/>
    <mergeCell ref="G240:J240"/>
    <mergeCell ref="G241:J241"/>
    <mergeCell ref="F242:J242"/>
    <mergeCell ref="G243:J243"/>
    <mergeCell ref="K233:L233"/>
    <mergeCell ref="C234:J234"/>
    <mergeCell ref="D235:J235"/>
    <mergeCell ref="E236:J236"/>
    <mergeCell ref="F237:J237"/>
    <mergeCell ref="G250:J250"/>
    <mergeCell ref="G251:J251"/>
    <mergeCell ref="G252:J252"/>
    <mergeCell ref="F253:J253"/>
    <mergeCell ref="G254:J254"/>
    <mergeCell ref="G255:J255"/>
    <mergeCell ref="M259:O259"/>
    <mergeCell ref="G244:J244"/>
    <mergeCell ref="G245:J245"/>
    <mergeCell ref="G246:J246"/>
    <mergeCell ref="E247:J247"/>
    <mergeCell ref="F248:J248"/>
    <mergeCell ref="G249:J249"/>
    <mergeCell ref="M285:O285"/>
    <mergeCell ref="E262:J262"/>
    <mergeCell ref="F263:J263"/>
    <mergeCell ref="G264:J264"/>
    <mergeCell ref="G265:J265"/>
    <mergeCell ref="G266:J266"/>
    <mergeCell ref="G267:J267"/>
    <mergeCell ref="G256:J256"/>
    <mergeCell ref="G257:J257"/>
    <mergeCell ref="K259:L259"/>
    <mergeCell ref="C260:J260"/>
    <mergeCell ref="D261:J261"/>
    <mergeCell ref="K285:L285"/>
    <mergeCell ref="F274:J274"/>
    <mergeCell ref="G275:J275"/>
    <mergeCell ref="G276:J276"/>
    <mergeCell ref="G277:J277"/>
    <mergeCell ref="G278:J278"/>
    <mergeCell ref="F279:J279"/>
    <mergeCell ref="F268:J268"/>
    <mergeCell ref="G269:J269"/>
    <mergeCell ref="G270:J270"/>
    <mergeCell ref="G271:J271"/>
    <mergeCell ref="G272:J272"/>
    <mergeCell ref="E273:J273"/>
    <mergeCell ref="C286:J286"/>
    <mergeCell ref="D287:J287"/>
    <mergeCell ref="E288:J288"/>
    <mergeCell ref="F289:J289"/>
    <mergeCell ref="G290:J290"/>
    <mergeCell ref="G291:J291"/>
    <mergeCell ref="G280:J280"/>
    <mergeCell ref="G281:J281"/>
    <mergeCell ref="G282:J282"/>
    <mergeCell ref="G283:J283"/>
    <mergeCell ref="G298:J298"/>
    <mergeCell ref="E299:J299"/>
    <mergeCell ref="F300:J300"/>
    <mergeCell ref="G301:J301"/>
    <mergeCell ref="G302:J302"/>
    <mergeCell ref="G303:J303"/>
    <mergeCell ref="G292:J292"/>
    <mergeCell ref="G293:J293"/>
    <mergeCell ref="F294:J294"/>
    <mergeCell ref="G295:J295"/>
    <mergeCell ref="G296:J296"/>
    <mergeCell ref="G297:J297"/>
    <mergeCell ref="G316:J316"/>
    <mergeCell ref="G317:J317"/>
    <mergeCell ref="G318:J318"/>
    <mergeCell ref="G319:J319"/>
    <mergeCell ref="F320:J320"/>
    <mergeCell ref="G321:J321"/>
    <mergeCell ref="G334:J334"/>
    <mergeCell ref="G335:J335"/>
    <mergeCell ref="M311:O311"/>
    <mergeCell ref="K311:L311"/>
    <mergeCell ref="C312:J312"/>
    <mergeCell ref="D313:J313"/>
    <mergeCell ref="E314:J314"/>
    <mergeCell ref="F315:J315"/>
    <mergeCell ref="G304:J304"/>
    <mergeCell ref="F305:J305"/>
    <mergeCell ref="G306:J306"/>
    <mergeCell ref="G307:J307"/>
    <mergeCell ref="G308:J308"/>
    <mergeCell ref="G309:J309"/>
    <mergeCell ref="G382:J382"/>
    <mergeCell ref="G371:J371"/>
    <mergeCell ref="E372:J372"/>
    <mergeCell ref="F373:J373"/>
    <mergeCell ref="G374:J374"/>
    <mergeCell ref="G375:J375"/>
    <mergeCell ref="G376:J376"/>
    <mergeCell ref="G365:J365"/>
    <mergeCell ref="G366:J366"/>
    <mergeCell ref="F367:J367"/>
    <mergeCell ref="G368:J368"/>
    <mergeCell ref="G369:J369"/>
    <mergeCell ref="G370:J370"/>
    <mergeCell ref="G380:J380"/>
    <mergeCell ref="G381:J381"/>
    <mergeCell ref="F378:J378"/>
    <mergeCell ref="G379:J379"/>
    <mergeCell ref="E361:J361"/>
    <mergeCell ref="G350:J350"/>
    <mergeCell ref="E351:J351"/>
    <mergeCell ref="K337:L337"/>
    <mergeCell ref="G328:J328"/>
    <mergeCell ref="G329:J329"/>
    <mergeCell ref="G330:J330"/>
    <mergeCell ref="F331:J331"/>
    <mergeCell ref="G332:J332"/>
    <mergeCell ref="G333:J333"/>
    <mergeCell ref="G343:J343"/>
    <mergeCell ref="G344:J344"/>
    <mergeCell ref="G345:J345"/>
    <mergeCell ref="C338:J338"/>
    <mergeCell ref="D339:J339"/>
    <mergeCell ref="F346:J346"/>
    <mergeCell ref="E340:J340"/>
    <mergeCell ref="F341:J341"/>
    <mergeCell ref="G342:J342"/>
    <mergeCell ref="M358:O358"/>
    <mergeCell ref="A1:X3"/>
    <mergeCell ref="G377:J377"/>
    <mergeCell ref="F352:J352"/>
    <mergeCell ref="G353:J353"/>
    <mergeCell ref="G354:J354"/>
    <mergeCell ref="G355:J355"/>
    <mergeCell ref="G356:J356"/>
    <mergeCell ref="G347:J347"/>
    <mergeCell ref="G348:J348"/>
    <mergeCell ref="G349:J349"/>
    <mergeCell ref="M337:O337"/>
    <mergeCell ref="G322:J322"/>
    <mergeCell ref="G323:J323"/>
    <mergeCell ref="G324:J324"/>
    <mergeCell ref="E325:J325"/>
    <mergeCell ref="F326:J326"/>
    <mergeCell ref="G327:J327"/>
    <mergeCell ref="C359:J359"/>
    <mergeCell ref="D360:J360"/>
    <mergeCell ref="F362:J362"/>
    <mergeCell ref="G363:J363"/>
    <mergeCell ref="G364:J364"/>
    <mergeCell ref="K358:L358"/>
  </mergeCells>
  <conditionalFormatting sqref="K12:O12">
    <cfRule type="containsText" dxfId="315" priority="141" operator="containsText" text="For Completion">
      <formula>NOT(ISERROR(SEARCH("For Completion",K12)))</formula>
    </cfRule>
    <cfRule type="containsText" dxfId="314" priority="142" operator="containsText" text="For review">
      <formula>NOT(ISERROR(SEARCH("For review",K12)))</formula>
    </cfRule>
  </conditionalFormatting>
  <conditionalFormatting sqref="D6">
    <cfRule type="cellIs" dxfId="313" priority="136" operator="lessThan">
      <formula>$D$5</formula>
    </cfRule>
  </conditionalFormatting>
  <conditionalFormatting sqref="G6">
    <cfRule type="cellIs" dxfId="312" priority="135" operator="lessThan">
      <formula>$D$6</formula>
    </cfRule>
  </conditionalFormatting>
  <conditionalFormatting sqref="L12">
    <cfRule type="cellIs" dxfId="311" priority="134" operator="equal">
      <formula>"QA ready"</formula>
    </cfRule>
  </conditionalFormatting>
  <conditionalFormatting sqref="M12">
    <cfRule type="cellIs" dxfId="310" priority="133" operator="equal">
      <formula>"For verification"</formula>
    </cfRule>
  </conditionalFormatting>
  <conditionalFormatting sqref="N12">
    <cfRule type="cellIs" dxfId="309" priority="132" operator="equal">
      <formula>"Demo ready"</formula>
    </cfRule>
  </conditionalFormatting>
  <conditionalFormatting sqref="O12">
    <cfRule type="cellIs" dxfId="308" priority="131" operator="equal">
      <formula>"Production ready"</formula>
    </cfRule>
  </conditionalFormatting>
  <conditionalFormatting sqref="J6">
    <cfRule type="cellIs" dxfId="307" priority="130" operator="lessThan">
      <formula>$G$6</formula>
    </cfRule>
  </conditionalFormatting>
  <conditionalFormatting sqref="M6">
    <cfRule type="cellIs" dxfId="306" priority="129" operator="lessThan">
      <formula>$M$7</formula>
    </cfRule>
  </conditionalFormatting>
  <conditionalFormatting sqref="P6">
    <cfRule type="cellIs" dxfId="305" priority="128" operator="lessThan">
      <formula>$P$7</formula>
    </cfRule>
  </conditionalFormatting>
  <conditionalFormatting sqref="K27:O27">
    <cfRule type="containsText" dxfId="304" priority="126" operator="containsText" text="For Completion">
      <formula>NOT(ISERROR(SEARCH("For Completion",K27)))</formula>
    </cfRule>
    <cfRule type="containsText" dxfId="303" priority="127" operator="containsText" text="For review">
      <formula>NOT(ISERROR(SEARCH("For review",K27)))</formula>
    </cfRule>
  </conditionalFormatting>
  <conditionalFormatting sqref="L27">
    <cfRule type="cellIs" dxfId="302" priority="125" operator="equal">
      <formula>"QA ready"</formula>
    </cfRule>
  </conditionalFormatting>
  <conditionalFormatting sqref="M27">
    <cfRule type="cellIs" dxfId="301" priority="124" operator="equal">
      <formula>"For verification"</formula>
    </cfRule>
  </conditionalFormatting>
  <conditionalFormatting sqref="N27">
    <cfRule type="cellIs" dxfId="300" priority="123" operator="equal">
      <formula>"Demo ready"</formula>
    </cfRule>
  </conditionalFormatting>
  <conditionalFormatting sqref="O27">
    <cfRule type="cellIs" dxfId="299" priority="122" operator="equal">
      <formula>"Production ready"</formula>
    </cfRule>
  </conditionalFormatting>
  <conditionalFormatting sqref="K339:O339">
    <cfRule type="containsText" dxfId="298" priority="42" operator="containsText" text="For Completion">
      <formula>NOT(ISERROR(SEARCH("For Completion",K339)))</formula>
    </cfRule>
    <cfRule type="containsText" dxfId="297" priority="43" operator="containsText" text="For review">
      <formula>NOT(ISERROR(SEARCH("For review",K339)))</formula>
    </cfRule>
  </conditionalFormatting>
  <conditionalFormatting sqref="L339">
    <cfRule type="cellIs" dxfId="296" priority="41" operator="equal">
      <formula>"QA ready"</formula>
    </cfRule>
  </conditionalFormatting>
  <conditionalFormatting sqref="M339">
    <cfRule type="cellIs" dxfId="295" priority="40" operator="equal">
      <formula>"For verification"</formula>
    </cfRule>
  </conditionalFormatting>
  <conditionalFormatting sqref="N339">
    <cfRule type="cellIs" dxfId="294" priority="39" operator="equal">
      <formula>"Demo ready"</formula>
    </cfRule>
  </conditionalFormatting>
  <conditionalFormatting sqref="O339">
    <cfRule type="cellIs" dxfId="293" priority="38" operator="equal">
      <formula>"Production ready"</formula>
    </cfRule>
  </conditionalFormatting>
  <conditionalFormatting sqref="K53:O53">
    <cfRule type="containsText" dxfId="292" priority="108" operator="containsText" text="For Completion">
      <formula>NOT(ISERROR(SEARCH("For Completion",K53)))</formula>
    </cfRule>
    <cfRule type="containsText" dxfId="291" priority="109" operator="containsText" text="For review">
      <formula>NOT(ISERROR(SEARCH("For review",K53)))</formula>
    </cfRule>
  </conditionalFormatting>
  <conditionalFormatting sqref="L53">
    <cfRule type="cellIs" dxfId="290" priority="107" operator="equal">
      <formula>"QA ready"</formula>
    </cfRule>
  </conditionalFormatting>
  <conditionalFormatting sqref="M53">
    <cfRule type="cellIs" dxfId="289" priority="106" operator="equal">
      <formula>"For verification"</formula>
    </cfRule>
  </conditionalFormatting>
  <conditionalFormatting sqref="N53">
    <cfRule type="cellIs" dxfId="288" priority="105" operator="equal">
      <formula>"Demo ready"</formula>
    </cfRule>
  </conditionalFormatting>
  <conditionalFormatting sqref="O53">
    <cfRule type="cellIs" dxfId="287" priority="104" operator="equal">
      <formula>"Production ready"</formula>
    </cfRule>
  </conditionalFormatting>
  <conditionalFormatting sqref="K79:O79">
    <cfRule type="containsText" dxfId="286" priority="102" operator="containsText" text="For Completion">
      <formula>NOT(ISERROR(SEARCH("For Completion",K79)))</formula>
    </cfRule>
    <cfRule type="containsText" dxfId="285" priority="103" operator="containsText" text="For review">
      <formula>NOT(ISERROR(SEARCH("For review",K79)))</formula>
    </cfRule>
  </conditionalFormatting>
  <conditionalFormatting sqref="L79">
    <cfRule type="cellIs" dxfId="284" priority="101" operator="equal">
      <formula>"QA ready"</formula>
    </cfRule>
  </conditionalFormatting>
  <conditionalFormatting sqref="M79">
    <cfRule type="cellIs" dxfId="283" priority="100" operator="equal">
      <formula>"For verification"</formula>
    </cfRule>
  </conditionalFormatting>
  <conditionalFormatting sqref="N79">
    <cfRule type="cellIs" dxfId="282" priority="99" operator="equal">
      <formula>"Demo ready"</formula>
    </cfRule>
  </conditionalFormatting>
  <conditionalFormatting sqref="O79">
    <cfRule type="cellIs" dxfId="281" priority="98" operator="equal">
      <formula>"Production ready"</formula>
    </cfRule>
  </conditionalFormatting>
  <conditionalFormatting sqref="K105:O105">
    <cfRule type="containsText" dxfId="280" priority="96" operator="containsText" text="For Completion">
      <formula>NOT(ISERROR(SEARCH("For Completion",K105)))</formula>
    </cfRule>
    <cfRule type="containsText" dxfId="279" priority="97" operator="containsText" text="For review">
      <formula>NOT(ISERROR(SEARCH("For review",K105)))</formula>
    </cfRule>
  </conditionalFormatting>
  <conditionalFormatting sqref="L105">
    <cfRule type="cellIs" dxfId="278" priority="95" operator="equal">
      <formula>"QA ready"</formula>
    </cfRule>
  </conditionalFormatting>
  <conditionalFormatting sqref="M105">
    <cfRule type="cellIs" dxfId="277" priority="94" operator="equal">
      <formula>"For verification"</formula>
    </cfRule>
  </conditionalFormatting>
  <conditionalFormatting sqref="N105">
    <cfRule type="cellIs" dxfId="276" priority="93" operator="equal">
      <formula>"Demo ready"</formula>
    </cfRule>
  </conditionalFormatting>
  <conditionalFormatting sqref="O105">
    <cfRule type="cellIs" dxfId="275" priority="92" operator="equal">
      <formula>"Production ready"</formula>
    </cfRule>
  </conditionalFormatting>
  <conditionalFormatting sqref="K131:O131">
    <cfRule type="containsText" dxfId="274" priority="90" operator="containsText" text="For Completion">
      <formula>NOT(ISERROR(SEARCH("For Completion",K131)))</formula>
    </cfRule>
    <cfRule type="containsText" dxfId="273" priority="91" operator="containsText" text="For review">
      <formula>NOT(ISERROR(SEARCH("For review",K131)))</formula>
    </cfRule>
  </conditionalFormatting>
  <conditionalFormatting sqref="L131">
    <cfRule type="cellIs" dxfId="272" priority="89" operator="equal">
      <formula>"QA ready"</formula>
    </cfRule>
  </conditionalFormatting>
  <conditionalFormatting sqref="M131">
    <cfRule type="cellIs" dxfId="271" priority="88" operator="equal">
      <formula>"For verification"</formula>
    </cfRule>
  </conditionalFormatting>
  <conditionalFormatting sqref="N131">
    <cfRule type="cellIs" dxfId="270" priority="87" operator="equal">
      <formula>"Demo ready"</formula>
    </cfRule>
  </conditionalFormatting>
  <conditionalFormatting sqref="O131">
    <cfRule type="cellIs" dxfId="269" priority="86" operator="equal">
      <formula>"Production ready"</formula>
    </cfRule>
  </conditionalFormatting>
  <conditionalFormatting sqref="K157:O157">
    <cfRule type="containsText" dxfId="268" priority="84" operator="containsText" text="For Completion">
      <formula>NOT(ISERROR(SEARCH("For Completion",K157)))</formula>
    </cfRule>
    <cfRule type="containsText" dxfId="267" priority="85" operator="containsText" text="For review">
      <formula>NOT(ISERROR(SEARCH("For review",K157)))</formula>
    </cfRule>
  </conditionalFormatting>
  <conditionalFormatting sqref="L157">
    <cfRule type="cellIs" dxfId="266" priority="83" operator="equal">
      <formula>"QA ready"</formula>
    </cfRule>
  </conditionalFormatting>
  <conditionalFormatting sqref="M157">
    <cfRule type="cellIs" dxfId="265" priority="82" operator="equal">
      <formula>"For verification"</formula>
    </cfRule>
  </conditionalFormatting>
  <conditionalFormatting sqref="N157">
    <cfRule type="cellIs" dxfId="264" priority="81" operator="equal">
      <formula>"Demo ready"</formula>
    </cfRule>
  </conditionalFormatting>
  <conditionalFormatting sqref="O157">
    <cfRule type="cellIs" dxfId="263" priority="80" operator="equal">
      <formula>"Production ready"</formula>
    </cfRule>
  </conditionalFormatting>
  <conditionalFormatting sqref="K183:O183">
    <cfRule type="containsText" dxfId="262" priority="78" operator="containsText" text="For Completion">
      <formula>NOT(ISERROR(SEARCH("For Completion",K183)))</formula>
    </cfRule>
    <cfRule type="containsText" dxfId="261" priority="79" operator="containsText" text="For review">
      <formula>NOT(ISERROR(SEARCH("For review",K183)))</formula>
    </cfRule>
  </conditionalFormatting>
  <conditionalFormatting sqref="L183">
    <cfRule type="cellIs" dxfId="260" priority="77" operator="equal">
      <formula>"QA ready"</formula>
    </cfRule>
  </conditionalFormatting>
  <conditionalFormatting sqref="M183">
    <cfRule type="cellIs" dxfId="259" priority="76" operator="equal">
      <formula>"For verification"</formula>
    </cfRule>
  </conditionalFormatting>
  <conditionalFormatting sqref="N183">
    <cfRule type="cellIs" dxfId="258" priority="75" operator="equal">
      <formula>"Demo ready"</formula>
    </cfRule>
  </conditionalFormatting>
  <conditionalFormatting sqref="O183">
    <cfRule type="cellIs" dxfId="257" priority="74" operator="equal">
      <formula>"Production ready"</formula>
    </cfRule>
  </conditionalFormatting>
  <conditionalFormatting sqref="K209:O209">
    <cfRule type="containsText" dxfId="256" priority="72" operator="containsText" text="For Completion">
      <formula>NOT(ISERROR(SEARCH("For Completion",K209)))</formula>
    </cfRule>
    <cfRule type="containsText" dxfId="255" priority="73" operator="containsText" text="For review">
      <formula>NOT(ISERROR(SEARCH("For review",K209)))</formula>
    </cfRule>
  </conditionalFormatting>
  <conditionalFormatting sqref="L209">
    <cfRule type="cellIs" dxfId="254" priority="71" operator="equal">
      <formula>"QA ready"</formula>
    </cfRule>
  </conditionalFormatting>
  <conditionalFormatting sqref="M209">
    <cfRule type="cellIs" dxfId="253" priority="70" operator="equal">
      <formula>"For verification"</formula>
    </cfRule>
  </conditionalFormatting>
  <conditionalFormatting sqref="N209">
    <cfRule type="cellIs" dxfId="252" priority="69" operator="equal">
      <formula>"Demo ready"</formula>
    </cfRule>
  </conditionalFormatting>
  <conditionalFormatting sqref="O209">
    <cfRule type="cellIs" dxfId="251" priority="68" operator="equal">
      <formula>"Production ready"</formula>
    </cfRule>
  </conditionalFormatting>
  <conditionalFormatting sqref="K235:O235">
    <cfRule type="containsText" dxfId="250" priority="66" operator="containsText" text="For Completion">
      <formula>NOT(ISERROR(SEARCH("For Completion",K235)))</formula>
    </cfRule>
    <cfRule type="containsText" dxfId="249" priority="67" operator="containsText" text="For review">
      <formula>NOT(ISERROR(SEARCH("For review",K235)))</formula>
    </cfRule>
  </conditionalFormatting>
  <conditionalFormatting sqref="L235">
    <cfRule type="cellIs" dxfId="248" priority="65" operator="equal">
      <formula>"QA ready"</formula>
    </cfRule>
  </conditionalFormatting>
  <conditionalFormatting sqref="M235">
    <cfRule type="cellIs" dxfId="247" priority="64" operator="equal">
      <formula>"For verification"</formula>
    </cfRule>
  </conditionalFormatting>
  <conditionalFormatting sqref="N235">
    <cfRule type="cellIs" dxfId="246" priority="63" operator="equal">
      <formula>"Demo ready"</formula>
    </cfRule>
  </conditionalFormatting>
  <conditionalFormatting sqref="O235">
    <cfRule type="cellIs" dxfId="245" priority="62" operator="equal">
      <formula>"Production ready"</formula>
    </cfRule>
  </conditionalFormatting>
  <conditionalFormatting sqref="K261:O261">
    <cfRule type="containsText" dxfId="244" priority="60" operator="containsText" text="For Completion">
      <formula>NOT(ISERROR(SEARCH("For Completion",K261)))</formula>
    </cfRule>
    <cfRule type="containsText" dxfId="243" priority="61" operator="containsText" text="For review">
      <formula>NOT(ISERROR(SEARCH("For review",K261)))</formula>
    </cfRule>
  </conditionalFormatting>
  <conditionalFormatting sqref="L261">
    <cfRule type="cellIs" dxfId="242" priority="59" operator="equal">
      <formula>"QA ready"</formula>
    </cfRule>
  </conditionalFormatting>
  <conditionalFormatting sqref="M261">
    <cfRule type="cellIs" dxfId="241" priority="58" operator="equal">
      <formula>"For verification"</formula>
    </cfRule>
  </conditionalFormatting>
  <conditionalFormatting sqref="N261">
    <cfRule type="cellIs" dxfId="240" priority="57" operator="equal">
      <formula>"Demo ready"</formula>
    </cfRule>
  </conditionalFormatting>
  <conditionalFormatting sqref="O261">
    <cfRule type="cellIs" dxfId="239" priority="56" operator="equal">
      <formula>"Production ready"</formula>
    </cfRule>
  </conditionalFormatting>
  <conditionalFormatting sqref="K287:O287">
    <cfRule type="containsText" dxfId="238" priority="54" operator="containsText" text="For Completion">
      <formula>NOT(ISERROR(SEARCH("For Completion",K287)))</formula>
    </cfRule>
    <cfRule type="containsText" dxfId="237" priority="55" operator="containsText" text="For review">
      <formula>NOT(ISERROR(SEARCH("For review",K287)))</formula>
    </cfRule>
  </conditionalFormatting>
  <conditionalFormatting sqref="L287">
    <cfRule type="cellIs" dxfId="236" priority="53" operator="equal">
      <formula>"QA ready"</formula>
    </cfRule>
  </conditionalFormatting>
  <conditionalFormatting sqref="M287">
    <cfRule type="cellIs" dxfId="235" priority="52" operator="equal">
      <formula>"For verification"</formula>
    </cfRule>
  </conditionalFormatting>
  <conditionalFormatting sqref="N287">
    <cfRule type="cellIs" dxfId="234" priority="51" operator="equal">
      <formula>"Demo ready"</formula>
    </cfRule>
  </conditionalFormatting>
  <conditionalFormatting sqref="O287">
    <cfRule type="cellIs" dxfId="233" priority="50" operator="equal">
      <formula>"Production ready"</formula>
    </cfRule>
  </conditionalFormatting>
  <conditionalFormatting sqref="K313:O313">
    <cfRule type="containsText" dxfId="232" priority="48" operator="containsText" text="For Completion">
      <formula>NOT(ISERROR(SEARCH("For Completion",K313)))</formula>
    </cfRule>
    <cfRule type="containsText" dxfId="231" priority="49" operator="containsText" text="For review">
      <formula>NOT(ISERROR(SEARCH("For review",K313)))</formula>
    </cfRule>
  </conditionalFormatting>
  <conditionalFormatting sqref="L313">
    <cfRule type="cellIs" dxfId="230" priority="47" operator="equal">
      <formula>"QA ready"</formula>
    </cfRule>
  </conditionalFormatting>
  <conditionalFormatting sqref="M313">
    <cfRule type="cellIs" dxfId="229" priority="46" operator="equal">
      <formula>"For verification"</formula>
    </cfRule>
  </conditionalFormatting>
  <conditionalFormatting sqref="N313">
    <cfRule type="cellIs" dxfId="228" priority="45" operator="equal">
      <formula>"Demo ready"</formula>
    </cfRule>
  </conditionalFormatting>
  <conditionalFormatting sqref="O313">
    <cfRule type="cellIs" dxfId="227" priority="44" operator="equal">
      <formula>"Production ready"</formula>
    </cfRule>
  </conditionalFormatting>
  <conditionalFormatting sqref="K360:O360">
    <cfRule type="containsText" dxfId="226" priority="36" operator="containsText" text="For Completion">
      <formula>NOT(ISERROR(SEARCH("For Completion",K360)))</formula>
    </cfRule>
    <cfRule type="containsText" dxfId="225" priority="37" operator="containsText" text="For review">
      <formula>NOT(ISERROR(SEARCH("For review",K360)))</formula>
    </cfRule>
  </conditionalFormatting>
  <conditionalFormatting sqref="L360">
    <cfRule type="cellIs" dxfId="224" priority="35" operator="equal">
      <formula>"QA ready"</formula>
    </cfRule>
  </conditionalFormatting>
  <conditionalFormatting sqref="M360">
    <cfRule type="cellIs" dxfId="223" priority="34" operator="equal">
      <formula>"For verification"</formula>
    </cfRule>
  </conditionalFormatting>
  <conditionalFormatting sqref="N360">
    <cfRule type="cellIs" dxfId="222" priority="33" operator="equal">
      <formula>"Demo ready"</formula>
    </cfRule>
  </conditionalFormatting>
  <conditionalFormatting sqref="O360">
    <cfRule type="cellIs" dxfId="221" priority="32" operator="equal">
      <formula>"Production ready"</formula>
    </cfRule>
  </conditionalFormatting>
  <conditionalFormatting sqref="K386:O386">
    <cfRule type="containsText" dxfId="220" priority="30" operator="containsText" text="For Completion">
      <formula>NOT(ISERROR(SEARCH("For Completion",K386)))</formula>
    </cfRule>
    <cfRule type="containsText" dxfId="219" priority="31" operator="containsText" text="For review">
      <formula>NOT(ISERROR(SEARCH("For review",K386)))</formula>
    </cfRule>
  </conditionalFormatting>
  <conditionalFormatting sqref="L386">
    <cfRule type="cellIs" dxfId="218" priority="29" operator="equal">
      <formula>"QA ready"</formula>
    </cfRule>
  </conditionalFormatting>
  <conditionalFormatting sqref="M386">
    <cfRule type="cellIs" dxfId="217" priority="28" operator="equal">
      <formula>"For verification"</formula>
    </cfRule>
  </conditionalFormatting>
  <conditionalFormatting sqref="N386">
    <cfRule type="cellIs" dxfId="216" priority="27" operator="equal">
      <formula>"Demo ready"</formula>
    </cfRule>
  </conditionalFormatting>
  <conditionalFormatting sqref="O386">
    <cfRule type="cellIs" dxfId="215" priority="26" operator="equal">
      <formula>"Production ready"</formula>
    </cfRule>
  </conditionalFormatting>
  <conditionalFormatting sqref="K412:O412">
    <cfRule type="containsText" dxfId="214" priority="24" operator="containsText" text="For Completion">
      <formula>NOT(ISERROR(SEARCH("For Completion",K412)))</formula>
    </cfRule>
    <cfRule type="containsText" dxfId="213" priority="25" operator="containsText" text="For review">
      <formula>NOT(ISERROR(SEARCH("For review",K412)))</formula>
    </cfRule>
  </conditionalFormatting>
  <conditionalFormatting sqref="L412">
    <cfRule type="cellIs" dxfId="212" priority="23" operator="equal">
      <formula>"QA ready"</formula>
    </cfRule>
  </conditionalFormatting>
  <conditionalFormatting sqref="M412">
    <cfRule type="cellIs" dxfId="211" priority="22" operator="equal">
      <formula>"For verification"</formula>
    </cfRule>
  </conditionalFormatting>
  <conditionalFormatting sqref="N412">
    <cfRule type="cellIs" dxfId="210" priority="21" operator="equal">
      <formula>"Demo ready"</formula>
    </cfRule>
  </conditionalFormatting>
  <conditionalFormatting sqref="O412">
    <cfRule type="cellIs" dxfId="209" priority="20" operator="equal">
      <formula>"Production ready"</formula>
    </cfRule>
  </conditionalFormatting>
  <conditionalFormatting sqref="K438:O438">
    <cfRule type="containsText" dxfId="208" priority="18" operator="containsText" text="For Completion">
      <formula>NOT(ISERROR(SEARCH("For Completion",K438)))</formula>
    </cfRule>
    <cfRule type="containsText" dxfId="207" priority="19" operator="containsText" text="For review">
      <formula>NOT(ISERROR(SEARCH("For review",K438)))</formula>
    </cfRule>
  </conditionalFormatting>
  <conditionalFormatting sqref="L438">
    <cfRule type="cellIs" dxfId="206" priority="17" operator="equal">
      <formula>"QA ready"</formula>
    </cfRule>
  </conditionalFormatting>
  <conditionalFormatting sqref="M438">
    <cfRule type="cellIs" dxfId="205" priority="16" operator="equal">
      <formula>"For verification"</formula>
    </cfRule>
  </conditionalFormatting>
  <conditionalFormatting sqref="N438">
    <cfRule type="cellIs" dxfId="204" priority="15" operator="equal">
      <formula>"Demo ready"</formula>
    </cfRule>
  </conditionalFormatting>
  <conditionalFormatting sqref="O438">
    <cfRule type="cellIs" dxfId="203" priority="14" operator="equal">
      <formula>"Production ready"</formula>
    </cfRule>
  </conditionalFormatting>
  <conditionalFormatting sqref="K464:O464">
    <cfRule type="containsText" dxfId="202" priority="12" operator="containsText" text="For Completion">
      <formula>NOT(ISERROR(SEARCH("For Completion",K464)))</formula>
    </cfRule>
    <cfRule type="containsText" dxfId="201" priority="13" operator="containsText" text="For review">
      <formula>NOT(ISERROR(SEARCH("For review",K464)))</formula>
    </cfRule>
  </conditionalFormatting>
  <conditionalFormatting sqref="L464">
    <cfRule type="cellIs" dxfId="200" priority="11" operator="equal">
      <formula>"QA ready"</formula>
    </cfRule>
  </conditionalFormatting>
  <conditionalFormatting sqref="M464">
    <cfRule type="cellIs" dxfId="199" priority="10" operator="equal">
      <formula>"For verification"</formula>
    </cfRule>
  </conditionalFormatting>
  <conditionalFormatting sqref="N464">
    <cfRule type="cellIs" dxfId="198" priority="9" operator="equal">
      <formula>"Demo ready"</formula>
    </cfRule>
  </conditionalFormatting>
  <conditionalFormatting sqref="O464">
    <cfRule type="cellIs" dxfId="197" priority="8" operator="equal">
      <formula>"Production ready"</formula>
    </cfRule>
  </conditionalFormatting>
  <conditionalFormatting sqref="K491:O491">
    <cfRule type="containsText" dxfId="196" priority="6" operator="containsText" text="For Completion">
      <formula>NOT(ISERROR(SEARCH("For Completion",K491)))</formula>
    </cfRule>
    <cfRule type="containsText" dxfId="195" priority="7" operator="containsText" text="For review">
      <formula>NOT(ISERROR(SEARCH("For review",K491)))</formula>
    </cfRule>
  </conditionalFormatting>
  <conditionalFormatting sqref="L491">
    <cfRule type="cellIs" dxfId="194" priority="5" operator="equal">
      <formula>"QA ready"</formula>
    </cfRule>
  </conditionalFormatting>
  <conditionalFormatting sqref="M491">
    <cfRule type="cellIs" dxfId="193" priority="4" operator="equal">
      <formula>"For verification"</formula>
    </cfRule>
  </conditionalFormatting>
  <conditionalFormatting sqref="N491">
    <cfRule type="cellIs" dxfId="192" priority="3" operator="equal">
      <formula>"Demo ready"</formula>
    </cfRule>
  </conditionalFormatting>
  <conditionalFormatting sqref="O491">
    <cfRule type="cellIs" dxfId="191" priority="2" operator="equal">
      <formula>"Production ready"</formula>
    </cfRule>
  </conditionalFormatting>
  <conditionalFormatting sqref="K12">
    <cfRule type="cellIs" dxfId="190" priority="1" operator="equal">
      <formula>"QA ready"</formula>
    </cfRule>
  </conditionalFormatting>
  <hyperlinks>
    <hyperlink ref="D12"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BC23"/>
  <sheetViews>
    <sheetView workbookViewId="0">
      <selection activeCell="BG10" sqref="BG10"/>
    </sheetView>
  </sheetViews>
  <sheetFormatPr defaultRowHeight="15" outlineLevelCol="1"/>
  <cols>
    <col min="1" max="1" width="12" customWidth="1"/>
    <col min="2" max="2" width="13.125" customWidth="1"/>
    <col min="3" max="5" width="30.625" customWidth="1"/>
    <col min="6" max="6" width="12.375" hidden="1" customWidth="1" outlineLevel="1"/>
    <col min="7" max="7" width="10.625" hidden="1" customWidth="1" outlineLevel="1"/>
    <col min="8" max="8" width="11.25" hidden="1" customWidth="1" outlineLevel="1"/>
    <col min="9" max="9" width="15.375" hidden="1" customWidth="1" outlineLevel="1"/>
    <col min="10" max="10" width="3.125" style="67" customWidth="1" collapsed="1"/>
    <col min="11" max="11" width="11.25" hidden="1" customWidth="1" outlineLevel="1"/>
    <col min="12" max="13" width="10.625" hidden="1" customWidth="1" outlineLevel="1"/>
    <col min="14" max="14" width="16.25" hidden="1" customWidth="1" outlineLevel="1"/>
    <col min="15" max="15" width="0.375" style="67" hidden="1" customWidth="1" outlineLevel="1"/>
    <col min="16" max="16" width="10.875" hidden="1" customWidth="1" outlineLevel="1"/>
    <col min="17" max="17" width="10.375" hidden="1" customWidth="1" outlineLevel="1"/>
    <col min="18" max="18" width="9" hidden="1" customWidth="1" outlineLevel="1"/>
    <col min="19" max="19" width="15.375" hidden="1" customWidth="1" outlineLevel="1"/>
    <col min="20" max="20" width="0.375" style="67" hidden="1" customWidth="1" outlineLevel="1"/>
    <col min="21" max="21" width="9" hidden="1" customWidth="1" outlineLevel="1"/>
    <col min="22" max="22" width="10.125" hidden="1" customWidth="1" outlineLevel="1"/>
    <col min="23" max="23" width="9" hidden="1" customWidth="1" outlineLevel="1"/>
    <col min="24" max="24" width="15.375" hidden="1" customWidth="1" outlineLevel="1"/>
    <col min="25" max="25" width="2.625" style="3" customWidth="1" collapsed="1"/>
    <col min="26" max="26" width="11.25" hidden="1" customWidth="1" outlineLevel="1"/>
    <col min="27" max="28" width="10.625" hidden="1" customWidth="1" outlineLevel="1"/>
    <col min="29" max="29" width="15.375" hidden="1" customWidth="1" outlineLevel="1"/>
    <col min="30" max="30" width="0.625" style="67" hidden="1" customWidth="1" outlineLevel="1"/>
    <col min="31" max="31" width="10.875" hidden="1" customWidth="1" outlineLevel="1"/>
    <col min="32" max="32" width="10.375" hidden="1" customWidth="1" outlineLevel="1"/>
    <col min="33" max="33" width="9" hidden="1" customWidth="1" outlineLevel="1"/>
    <col min="34" max="34" width="15.375" hidden="1" customWidth="1" outlineLevel="1"/>
    <col min="35" max="35" width="0.375" style="67" hidden="1" customWidth="1" outlineLevel="1"/>
    <col min="36" max="36" width="9" hidden="1" customWidth="1" outlineLevel="1"/>
    <col min="37" max="37" width="10.125" hidden="1" customWidth="1" outlineLevel="1"/>
    <col min="38" max="38" width="9" hidden="1" customWidth="1" outlineLevel="1"/>
    <col min="39" max="39" width="15.375" hidden="1" customWidth="1" outlineLevel="1"/>
    <col min="40" max="40" width="3.125" style="3" customWidth="1" collapsed="1"/>
    <col min="41" max="41" width="11.25" hidden="1" customWidth="1" outlineLevel="1"/>
    <col min="42" max="43" width="10.625" hidden="1" customWidth="1" outlineLevel="1"/>
    <col min="44" max="44" width="15.375" hidden="1" customWidth="1" outlineLevel="1"/>
    <col min="45" max="45" width="0.625" style="67" hidden="1" customWidth="1" outlineLevel="1"/>
    <col min="46" max="46" width="10.875" hidden="1" customWidth="1" outlineLevel="1"/>
    <col min="47" max="47" width="10.375" hidden="1" customWidth="1" outlineLevel="1"/>
    <col min="48" max="48" width="9" hidden="1" customWidth="1" outlineLevel="1"/>
    <col min="49" max="49" width="15.375" hidden="1" customWidth="1" outlineLevel="1"/>
    <col min="50" max="50" width="0.375" style="67" hidden="1" customWidth="1" outlineLevel="1"/>
    <col min="51" max="51" width="9" hidden="1" customWidth="1" outlineLevel="1"/>
    <col min="52" max="52" width="10.125" hidden="1" customWidth="1" outlineLevel="1"/>
    <col min="53" max="53" width="9" hidden="1" customWidth="1" outlineLevel="1"/>
    <col min="54" max="54" width="15.375" hidden="1" customWidth="1" outlineLevel="1"/>
    <col min="55" max="55" width="3.125" style="3" customWidth="1" collapsed="1"/>
  </cols>
  <sheetData>
    <row r="1" spans="1:55" ht="19.5" customHeight="1">
      <c r="A1" s="479" t="s">
        <v>222</v>
      </c>
      <c r="B1" s="479"/>
      <c r="C1" s="479"/>
      <c r="D1" s="479"/>
      <c r="E1" s="479"/>
      <c r="F1" s="275"/>
      <c r="G1" s="274"/>
      <c r="H1" s="274"/>
      <c r="I1" s="274"/>
      <c r="J1" s="274"/>
      <c r="K1" s="274"/>
      <c r="L1" s="274"/>
      <c r="M1" s="274"/>
      <c r="N1" s="274"/>
      <c r="O1" s="274"/>
      <c r="P1" s="274"/>
      <c r="Q1" s="274"/>
      <c r="R1" s="274"/>
      <c r="S1" s="274"/>
      <c r="T1" s="274"/>
      <c r="U1" s="274"/>
      <c r="V1" s="274"/>
      <c r="W1" s="274"/>
      <c r="X1" s="274"/>
      <c r="Y1" s="274"/>
      <c r="Z1" s="274"/>
      <c r="AA1" s="274"/>
      <c r="AB1" s="274"/>
      <c r="AC1" s="274"/>
      <c r="AD1" s="274"/>
      <c r="AE1" s="274"/>
      <c r="AF1" s="274"/>
      <c r="AG1" s="274"/>
      <c r="AH1" s="274"/>
      <c r="AI1" s="274"/>
      <c r="AJ1" s="274"/>
      <c r="AK1" s="274"/>
      <c r="AL1" s="274"/>
      <c r="AM1" s="274"/>
      <c r="AN1" s="274"/>
      <c r="AO1" s="274"/>
      <c r="AP1" s="274"/>
      <c r="AQ1" s="274"/>
      <c r="AR1" s="274"/>
      <c r="AS1" s="274"/>
      <c r="AT1" s="274"/>
      <c r="AU1" s="274"/>
      <c r="AV1" s="274"/>
      <c r="AW1" s="274"/>
      <c r="AX1" s="274"/>
      <c r="AY1" s="274"/>
      <c r="AZ1" s="274"/>
      <c r="BA1" s="274"/>
      <c r="BB1" s="274"/>
      <c r="BC1" s="274"/>
    </row>
    <row r="2" spans="1:55" ht="15.75" customHeight="1">
      <c r="A2" s="479"/>
      <c r="B2" s="479"/>
      <c r="C2" s="479"/>
      <c r="D2" s="479"/>
      <c r="E2" s="479"/>
      <c r="F2" s="274"/>
      <c r="G2" s="274"/>
      <c r="H2" s="276"/>
      <c r="I2" s="276"/>
      <c r="J2" s="274"/>
      <c r="K2" s="274"/>
      <c r="L2" s="274"/>
      <c r="M2" s="274"/>
      <c r="N2" s="274"/>
      <c r="O2" s="274"/>
      <c r="P2" s="274"/>
      <c r="Q2" s="274"/>
      <c r="R2" s="274"/>
      <c r="S2" s="274"/>
      <c r="T2" s="274"/>
      <c r="U2" s="274"/>
      <c r="V2" s="274"/>
      <c r="W2" s="274"/>
      <c r="X2" s="274"/>
      <c r="Y2" s="274"/>
      <c r="Z2" s="274"/>
      <c r="AA2" s="274"/>
      <c r="AB2" s="274"/>
      <c r="AC2" s="274"/>
      <c r="AD2" s="274"/>
      <c r="AE2" s="274"/>
      <c r="AF2" s="274"/>
      <c r="AG2" s="274"/>
      <c r="AH2" s="274"/>
      <c r="AI2" s="274"/>
      <c r="AJ2" s="274"/>
      <c r="AK2" s="274"/>
      <c r="AL2" s="274"/>
      <c r="AM2" s="274"/>
      <c r="AN2" s="274"/>
      <c r="AO2" s="274"/>
      <c r="AP2" s="274"/>
      <c r="AQ2" s="274"/>
      <c r="AR2" s="274"/>
      <c r="AS2" s="274"/>
      <c r="AT2" s="274"/>
      <c r="AU2" s="274"/>
      <c r="AV2" s="274"/>
      <c r="AW2" s="274"/>
      <c r="AX2" s="274"/>
      <c r="AY2" s="274"/>
      <c r="AZ2" s="274"/>
      <c r="BA2" s="274"/>
      <c r="BB2" s="274"/>
      <c r="BC2" s="274"/>
    </row>
    <row r="3" spans="1:55" ht="15" customHeight="1">
      <c r="A3" s="479"/>
      <c r="B3" s="479"/>
      <c r="C3" s="479"/>
      <c r="D3" s="479"/>
      <c r="E3" s="479"/>
      <c r="F3" s="274"/>
      <c r="G3" s="274"/>
      <c r="H3" s="274"/>
      <c r="I3" s="274"/>
      <c r="J3" s="274"/>
      <c r="K3" s="274"/>
      <c r="L3" s="274"/>
      <c r="M3" s="274"/>
      <c r="N3" s="274"/>
      <c r="O3" s="274"/>
      <c r="P3" s="274"/>
      <c r="Q3" s="274"/>
      <c r="R3" s="274"/>
      <c r="S3" s="274"/>
      <c r="T3" s="274"/>
      <c r="U3" s="274"/>
      <c r="V3" s="274"/>
      <c r="W3" s="274"/>
      <c r="X3" s="274"/>
      <c r="Y3" s="274"/>
      <c r="Z3" s="274"/>
      <c r="AA3" s="274"/>
      <c r="AB3" s="274"/>
      <c r="AC3" s="274"/>
      <c r="AD3" s="274"/>
      <c r="AE3" s="274"/>
      <c r="AF3" s="274"/>
      <c r="AG3" s="274"/>
      <c r="AH3" s="274"/>
      <c r="AI3" s="274"/>
      <c r="AJ3" s="274"/>
      <c r="AK3" s="274"/>
      <c r="AL3" s="274"/>
      <c r="AM3" s="274"/>
      <c r="AN3" s="274"/>
      <c r="AO3" s="274"/>
      <c r="AP3" s="274"/>
      <c r="AQ3" s="274"/>
      <c r="AR3" s="274"/>
      <c r="AS3" s="274"/>
      <c r="AT3" s="274"/>
      <c r="AU3" s="274"/>
      <c r="AV3" s="274"/>
      <c r="AW3" s="274"/>
      <c r="AX3" s="274"/>
      <c r="AY3" s="274"/>
      <c r="AZ3" s="274"/>
      <c r="BA3" s="274"/>
      <c r="BB3" s="274"/>
      <c r="BC3" s="274"/>
    </row>
    <row r="4" spans="1:55" ht="15" customHeight="1">
      <c r="A4" s="71"/>
      <c r="B4" s="167"/>
      <c r="C4" s="168"/>
      <c r="D4" s="71"/>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row>
    <row r="5" spans="1:5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row>
    <row r="6" spans="1:55" ht="26.25">
      <c r="A6" s="25"/>
      <c r="B6" s="25"/>
      <c r="C6" s="25"/>
      <c r="D6" s="25"/>
      <c r="E6" s="25"/>
      <c r="F6" s="25"/>
      <c r="G6" s="25"/>
      <c r="H6" s="25"/>
      <c r="I6" s="25"/>
      <c r="J6" s="25"/>
      <c r="K6" s="83" t="s">
        <v>114</v>
      </c>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row>
    <row r="7" spans="1:55" ht="31.5" customHeight="1">
      <c r="A7" s="25"/>
      <c r="B7" s="25"/>
      <c r="C7" s="25"/>
      <c r="D7" s="25"/>
      <c r="E7" s="25"/>
      <c r="F7" s="25"/>
      <c r="G7" s="25"/>
      <c r="H7" s="25"/>
      <c r="I7" s="25"/>
      <c r="J7" s="25"/>
      <c r="K7" s="82" t="s">
        <v>111</v>
      </c>
      <c r="L7" s="82"/>
      <c r="M7" s="82"/>
      <c r="N7" s="82"/>
      <c r="O7" s="82"/>
      <c r="P7" s="82"/>
      <c r="Q7" s="82"/>
      <c r="R7" s="82"/>
      <c r="S7" s="82"/>
      <c r="T7" s="82"/>
      <c r="U7" s="82"/>
      <c r="V7" s="82"/>
      <c r="W7" s="82"/>
      <c r="X7" s="82"/>
      <c r="Y7" s="82"/>
      <c r="Z7" s="82" t="s">
        <v>112</v>
      </c>
      <c r="AA7" s="82"/>
      <c r="AB7" s="82"/>
      <c r="AC7" s="82"/>
      <c r="AD7" s="82"/>
      <c r="AE7" s="82"/>
      <c r="AF7" s="82"/>
      <c r="AG7" s="82"/>
      <c r="AH7" s="82"/>
      <c r="AI7" s="82"/>
      <c r="AJ7" s="82"/>
      <c r="AK7" s="82"/>
      <c r="AL7" s="82"/>
      <c r="AM7" s="82"/>
      <c r="AN7" s="82"/>
      <c r="AO7" s="82" t="s">
        <v>113</v>
      </c>
      <c r="AP7" s="82"/>
      <c r="AQ7" s="82"/>
      <c r="AR7" s="82"/>
      <c r="AS7" s="82"/>
      <c r="AT7" s="82"/>
      <c r="AU7" s="82"/>
      <c r="AV7" s="82"/>
      <c r="AW7" s="82"/>
      <c r="AX7" s="82"/>
      <c r="AY7" s="82"/>
      <c r="AZ7" s="82"/>
      <c r="BA7" s="82"/>
      <c r="BB7" s="82"/>
      <c r="BC7" s="82"/>
    </row>
    <row r="8" spans="1:55" ht="38.25" customHeight="1">
      <c r="A8" s="476" t="s">
        <v>89</v>
      </c>
      <c r="B8" s="476"/>
      <c r="C8" s="476"/>
      <c r="D8" s="476"/>
      <c r="E8" s="476"/>
      <c r="F8" s="476"/>
      <c r="G8" s="476"/>
      <c r="H8" s="477" t="s">
        <v>120</v>
      </c>
      <c r="I8" s="478"/>
      <c r="J8" s="68"/>
      <c r="K8" s="110" t="s">
        <v>59</v>
      </c>
      <c r="L8" s="110"/>
      <c r="M8" s="110"/>
      <c r="N8" s="110"/>
      <c r="O8" s="413"/>
      <c r="P8" s="414" t="s">
        <v>60</v>
      </c>
      <c r="Q8" s="115"/>
      <c r="R8" s="115"/>
      <c r="S8" s="115"/>
      <c r="T8" s="415"/>
      <c r="U8" s="114" t="s">
        <v>92</v>
      </c>
      <c r="V8" s="114"/>
      <c r="W8" s="114"/>
      <c r="X8" s="114"/>
      <c r="Z8" s="78" t="s">
        <v>59</v>
      </c>
      <c r="AA8" s="78"/>
      <c r="AB8" s="78"/>
      <c r="AC8" s="110"/>
      <c r="AD8" s="69"/>
      <c r="AE8" s="75" t="s">
        <v>60</v>
      </c>
      <c r="AF8" s="76"/>
      <c r="AG8" s="76"/>
      <c r="AH8" s="115"/>
      <c r="AI8" s="70"/>
      <c r="AJ8" s="77" t="s">
        <v>92</v>
      </c>
      <c r="AK8" s="77"/>
      <c r="AL8" s="77"/>
      <c r="AM8" s="114"/>
      <c r="AO8" s="78" t="s">
        <v>59</v>
      </c>
      <c r="AP8" s="78"/>
      <c r="AQ8" s="78"/>
      <c r="AR8" s="110"/>
      <c r="AS8" s="69"/>
      <c r="AT8" s="75" t="s">
        <v>60</v>
      </c>
      <c r="AU8" s="76"/>
      <c r="AV8" s="76"/>
      <c r="AW8" s="115"/>
      <c r="AX8" s="70"/>
      <c r="AY8" s="77" t="s">
        <v>92</v>
      </c>
      <c r="AZ8" s="77"/>
      <c r="BA8" s="77"/>
      <c r="BB8" s="114"/>
    </row>
    <row r="9" spans="1:55" ht="51.75" customHeight="1">
      <c r="A9" s="64" t="s">
        <v>164</v>
      </c>
      <c r="B9" s="64" t="s">
        <v>40</v>
      </c>
      <c r="C9" s="65" t="s">
        <v>41</v>
      </c>
      <c r="D9" s="66" t="s">
        <v>42</v>
      </c>
      <c r="E9" s="66" t="s">
        <v>0</v>
      </c>
      <c r="F9" s="72" t="s">
        <v>90</v>
      </c>
      <c r="G9" s="73" t="s">
        <v>292</v>
      </c>
      <c r="H9" s="74" t="s">
        <v>175</v>
      </c>
      <c r="I9" s="112" t="s">
        <v>2</v>
      </c>
      <c r="J9" s="408" t="s">
        <v>91</v>
      </c>
      <c r="K9" s="421" t="s">
        <v>95</v>
      </c>
      <c r="L9" s="421" t="s">
        <v>96</v>
      </c>
      <c r="M9" s="421" t="s">
        <v>1</v>
      </c>
      <c r="N9" s="421" t="s">
        <v>162</v>
      </c>
      <c r="O9" s="422" t="s">
        <v>3</v>
      </c>
      <c r="P9" s="421" t="s">
        <v>108</v>
      </c>
      <c r="Q9" s="421" t="s">
        <v>109</v>
      </c>
      <c r="R9" s="421" t="s">
        <v>110</v>
      </c>
      <c r="S9" s="421" t="s">
        <v>163</v>
      </c>
      <c r="T9" s="422"/>
      <c r="U9" s="423" t="s">
        <v>108</v>
      </c>
      <c r="V9" s="423" t="s">
        <v>109</v>
      </c>
      <c r="W9" s="423" t="s">
        <v>110</v>
      </c>
      <c r="X9" s="423" t="s">
        <v>2</v>
      </c>
      <c r="Z9" s="119" t="s">
        <v>95</v>
      </c>
      <c r="AA9" s="120" t="s">
        <v>96</v>
      </c>
      <c r="AB9" s="121" t="s">
        <v>110</v>
      </c>
      <c r="AC9" s="122" t="s">
        <v>2</v>
      </c>
      <c r="AD9" s="432" t="s">
        <v>3</v>
      </c>
      <c r="AE9" s="119" t="s">
        <v>108</v>
      </c>
      <c r="AF9" s="120" t="s">
        <v>109</v>
      </c>
      <c r="AG9" s="121" t="s">
        <v>110</v>
      </c>
      <c r="AH9" s="122" t="s">
        <v>2</v>
      </c>
      <c r="AI9" s="432"/>
      <c r="AJ9" s="433" t="s">
        <v>108</v>
      </c>
      <c r="AK9" s="122" t="s">
        <v>109</v>
      </c>
      <c r="AL9" s="121" t="s">
        <v>110</v>
      </c>
      <c r="AM9" s="122" t="s">
        <v>2</v>
      </c>
      <c r="AO9" s="119" t="s">
        <v>95</v>
      </c>
      <c r="AP9" s="120" t="s">
        <v>96</v>
      </c>
      <c r="AQ9" s="434" t="s">
        <v>1</v>
      </c>
      <c r="AR9" s="122" t="s">
        <v>2</v>
      </c>
      <c r="AS9" s="432" t="s">
        <v>3</v>
      </c>
      <c r="AT9" s="119" t="s">
        <v>108</v>
      </c>
      <c r="AU9" s="120" t="s">
        <v>109</v>
      </c>
      <c r="AV9" s="121" t="s">
        <v>110</v>
      </c>
      <c r="AW9" s="122" t="s">
        <v>2</v>
      </c>
      <c r="AX9" s="432"/>
      <c r="AY9" s="433" t="s">
        <v>108</v>
      </c>
      <c r="AZ9" s="122" t="s">
        <v>109</v>
      </c>
      <c r="BA9" s="121" t="s">
        <v>110</v>
      </c>
      <c r="BB9" s="122" t="s">
        <v>2</v>
      </c>
    </row>
    <row r="10" spans="1:55" ht="107.25" customHeight="1">
      <c r="A10" s="472" t="str">
        <f>HYPERLINK("#'Traceability  Matrix'!E14",'Traceability  Matrix'!E14)</f>
        <v>1.1.1</v>
      </c>
      <c r="B10" s="39" t="str">
        <f>HYPERLINK("#'Traceability  Matrix'!F15",'Traceability  Matrix'!F15)</f>
        <v>1.1.1.1</v>
      </c>
      <c r="C10" s="40" t="str">
        <f>"Validate that "&amp;LOWER('Traceability  Matrix'!G15)</f>
        <v>Validate that  a copy of the invoice is sent to zdhc gateway – added to the order log in both account admin view and bureau view.</v>
      </c>
      <c r="D10" s="41" t="s">
        <v>43</v>
      </c>
      <c r="E10" s="42" t="str">
        <f>'Traceability  Matrix'!G15</f>
        <v xml:space="preserve"> A copy of the Invoice is sent to ZDHC Gateway – Added to the order log in both Account Admin view and Bureau view.</v>
      </c>
      <c r="F10" s="84" t="s">
        <v>150</v>
      </c>
      <c r="G10" s="85" t="s">
        <v>150</v>
      </c>
      <c r="H10" s="86" t="s">
        <v>121</v>
      </c>
      <c r="I10" s="116">
        <v>42719.66196759259</v>
      </c>
      <c r="J10" s="409"/>
      <c r="K10" s="84"/>
      <c r="L10" s="424"/>
      <c r="M10" s="146" t="s">
        <v>87</v>
      </c>
      <c r="N10" s="147">
        <v>42719.666250000002</v>
      </c>
      <c r="O10" s="425"/>
      <c r="P10" s="424"/>
      <c r="Q10" s="424"/>
      <c r="R10" s="426"/>
      <c r="S10" s="147"/>
      <c r="T10" s="150"/>
      <c r="U10" s="146"/>
      <c r="V10" s="146"/>
      <c r="W10" s="426"/>
      <c r="X10" s="147"/>
      <c r="Z10" s="146"/>
      <c r="AA10" s="146"/>
      <c r="AB10" s="146"/>
      <c r="AC10" s="147"/>
      <c r="AD10" s="150"/>
      <c r="AE10" s="146"/>
      <c r="AF10" s="146"/>
      <c r="AG10" s="146"/>
      <c r="AH10" s="147"/>
      <c r="AI10" s="150"/>
      <c r="AJ10" s="146"/>
      <c r="AK10" s="146"/>
      <c r="AL10" s="146"/>
      <c r="AM10" s="147"/>
      <c r="AO10" s="146"/>
      <c r="AP10" s="146"/>
      <c r="AQ10" s="146"/>
      <c r="AR10" s="147"/>
      <c r="AS10" s="150"/>
      <c r="AT10" s="146"/>
      <c r="AU10" s="146"/>
      <c r="AV10" s="146"/>
      <c r="AW10" s="147"/>
      <c r="AX10" s="150"/>
      <c r="AY10" s="146"/>
      <c r="AZ10" s="146"/>
      <c r="BA10" s="146"/>
      <c r="BB10" s="147"/>
    </row>
    <row r="11" spans="1:55" ht="104.25" customHeight="1">
      <c r="A11" s="473"/>
      <c r="B11" s="43" t="str">
        <f>HYPERLINK("#'Traceability  Matrix'!F15",'Traceability  Matrix'!F16)</f>
        <v>1.1.1.2</v>
      </c>
      <c r="C11" s="400" t="str">
        <f>"Validate that "&amp;LOWER('Traceability  Matrix'!G16)</f>
        <v>Validate that upon receipt of the check, adec finance will approve the payment.
- additional detail
- additional detail</v>
      </c>
      <c r="D11" s="401" t="s">
        <v>43</v>
      </c>
      <c r="E11" s="402" t="str">
        <f>'Traceability  Matrix'!G16</f>
        <v>Upon receipt of the Check, ADEC finance will approve the payment.
- Additional detail
- Additional detail</v>
      </c>
      <c r="F11" s="403" t="s">
        <v>150</v>
      </c>
      <c r="G11" s="404" t="s">
        <v>150</v>
      </c>
      <c r="H11" s="405" t="s">
        <v>121</v>
      </c>
      <c r="I11" s="406">
        <v>42719.661990740744</v>
      </c>
      <c r="J11" s="410"/>
      <c r="K11" s="403"/>
      <c r="L11" s="403"/>
      <c r="M11" s="148" t="s">
        <v>87</v>
      </c>
      <c r="N11" s="149">
        <v>42719.666296296295</v>
      </c>
      <c r="O11" s="425"/>
      <c r="P11" s="403"/>
      <c r="Q11" s="403"/>
      <c r="R11" s="148"/>
      <c r="S11" s="149"/>
      <c r="T11" s="150"/>
      <c r="U11" s="148"/>
      <c r="V11" s="148"/>
      <c r="W11" s="148"/>
      <c r="X11" s="149"/>
      <c r="Z11" s="148"/>
      <c r="AA11" s="148"/>
      <c r="AB11" s="148"/>
      <c r="AC11" s="149"/>
      <c r="AD11" s="150"/>
      <c r="AE11" s="148"/>
      <c r="AF11" s="148"/>
      <c r="AG11" s="148"/>
      <c r="AH11" s="149"/>
      <c r="AI11" s="150"/>
      <c r="AJ11" s="148"/>
      <c r="AK11" s="148"/>
      <c r="AL11" s="148"/>
      <c r="AM11" s="149"/>
      <c r="AO11" s="148"/>
      <c r="AP11" s="148"/>
      <c r="AQ11" s="148"/>
      <c r="AR11" s="148"/>
      <c r="AS11" s="150"/>
      <c r="AT11" s="148"/>
      <c r="AU11" s="148"/>
      <c r="AV11" s="148"/>
      <c r="AW11" s="149"/>
      <c r="AX11" s="150"/>
      <c r="AY11" s="148"/>
      <c r="AZ11" s="148"/>
      <c r="BA11" s="148"/>
      <c r="BB11" s="149"/>
    </row>
    <row r="12" spans="1:55" ht="141" customHeight="1">
      <c r="A12" s="473"/>
      <c r="B12" s="39" t="str">
        <f>HYPERLINK("#'Traceability  Matrix'!F15",'Traceability  Matrix'!F17)</f>
        <v>1.1.1.3</v>
      </c>
      <c r="C12" s="40" t="str">
        <f>"Validate that "&amp;LOWER('Traceability  Matrix'!G17)</f>
        <v>Validate that an email and in-app notification will be sent to the account admin(s).</v>
      </c>
      <c r="D12" s="41" t="s">
        <v>43</v>
      </c>
      <c r="E12" s="42" t="str">
        <f>'Traceability  Matrix'!G17</f>
        <v>An email and in-app notification will be sent to the Account Admin(s).</v>
      </c>
      <c r="F12" s="84" t="s">
        <v>149</v>
      </c>
      <c r="G12" s="85" t="s">
        <v>149</v>
      </c>
      <c r="H12" s="86" t="s">
        <v>151</v>
      </c>
      <c r="I12" s="116"/>
      <c r="J12" s="409"/>
      <c r="K12" s="424"/>
      <c r="L12" s="424"/>
      <c r="M12" s="146" t="s">
        <v>149</v>
      </c>
      <c r="N12" s="147">
        <v>42719.666342592594</v>
      </c>
      <c r="O12" s="150"/>
      <c r="P12" s="424"/>
      <c r="Q12" s="424"/>
      <c r="R12" s="146"/>
      <c r="S12" s="147"/>
      <c r="T12" s="150"/>
      <c r="U12" s="146"/>
      <c r="V12" s="146"/>
      <c r="W12" s="146"/>
      <c r="X12" s="147"/>
      <c r="Z12" s="146"/>
      <c r="AA12" s="146"/>
      <c r="AB12" s="146"/>
      <c r="AC12" s="146"/>
      <c r="AD12" s="150"/>
      <c r="AE12" s="146"/>
      <c r="AF12" s="146"/>
      <c r="AG12" s="146"/>
      <c r="AH12" s="146"/>
      <c r="AI12" s="150"/>
      <c r="AJ12" s="146"/>
      <c r="AK12" s="146"/>
      <c r="AL12" s="146"/>
      <c r="AM12" s="147"/>
      <c r="AO12" s="146"/>
      <c r="AP12" s="146"/>
      <c r="AQ12" s="146"/>
      <c r="AR12" s="146"/>
      <c r="AS12" s="150"/>
      <c r="AT12" s="146"/>
      <c r="AU12" s="146"/>
      <c r="AV12" s="146"/>
      <c r="AW12" s="147"/>
      <c r="AX12" s="150"/>
      <c r="AY12" s="146"/>
      <c r="AZ12" s="146"/>
      <c r="BA12" s="146"/>
      <c r="BB12" s="147"/>
    </row>
    <row r="13" spans="1:55" ht="114" customHeight="1">
      <c r="A13" s="474"/>
      <c r="B13" s="43" t="str">
        <f>HYPERLINK("#'Traceability  Matrix'!F15",'Traceability  Matrix'!F18)</f>
        <v>1.1.1.4</v>
      </c>
      <c r="C13" s="400" t="str">
        <f>"Validate that "&amp;LOWER('Traceability  Matrix'!G18)</f>
        <v>Validate that a copy of the receipt should be added to the order log in both account admin view and bureau view, replacing the original invoice.</v>
      </c>
      <c r="D13" s="401" t="s">
        <v>43</v>
      </c>
      <c r="E13" s="402" t="str">
        <f>'Traceability  Matrix'!G18</f>
        <v>A copy of the receipt should be added to the order log in both Account Admin view and Bureau view, replacing the original Invoice.</v>
      </c>
      <c r="F13" s="403" t="s">
        <v>123</v>
      </c>
      <c r="G13" s="404" t="s">
        <v>123</v>
      </c>
      <c r="H13" s="405" t="s">
        <v>151</v>
      </c>
      <c r="I13" s="407"/>
      <c r="J13" s="409"/>
      <c r="K13" s="403"/>
      <c r="L13" s="403"/>
      <c r="M13" s="148" t="s">
        <v>123</v>
      </c>
      <c r="N13" s="149"/>
      <c r="O13" s="150"/>
      <c r="P13" s="403"/>
      <c r="Q13" s="403"/>
      <c r="R13" s="148"/>
      <c r="S13" s="149"/>
      <c r="T13" s="150"/>
      <c r="U13" s="148"/>
      <c r="V13" s="148"/>
      <c r="W13" s="148"/>
      <c r="X13" s="149"/>
      <c r="Z13" s="148"/>
      <c r="AA13" s="148"/>
      <c r="AB13" s="146"/>
      <c r="AC13" s="149"/>
      <c r="AD13" s="150"/>
      <c r="AE13" s="148"/>
      <c r="AF13" s="148"/>
      <c r="AG13" s="148"/>
      <c r="AH13" s="149"/>
      <c r="AI13" s="150"/>
      <c r="AJ13" s="148"/>
      <c r="AK13" s="148"/>
      <c r="AL13" s="148"/>
      <c r="AM13" s="149"/>
      <c r="AO13" s="148"/>
      <c r="AP13" s="148"/>
      <c r="AQ13" s="148"/>
      <c r="AR13" s="148"/>
      <c r="AS13" s="150"/>
      <c r="AT13" s="148"/>
      <c r="AU13" s="148"/>
      <c r="AV13" s="148"/>
      <c r="AW13" s="149"/>
      <c r="AX13" s="150"/>
      <c r="AY13" s="148"/>
      <c r="AZ13" s="148"/>
      <c r="BA13" s="148"/>
      <c r="BB13" s="149"/>
    </row>
    <row r="14" spans="1:55">
      <c r="A14" s="125"/>
      <c r="B14" s="125"/>
      <c r="C14" s="126"/>
      <c r="D14" s="127"/>
      <c r="E14" s="127"/>
      <c r="F14" s="128"/>
      <c r="G14" s="129"/>
      <c r="H14" s="130"/>
      <c r="I14" s="123"/>
      <c r="J14" s="411"/>
      <c r="K14" s="145"/>
      <c r="L14" s="145"/>
      <c r="M14" s="145"/>
      <c r="N14" s="147"/>
      <c r="O14" s="150"/>
      <c r="P14" s="145"/>
      <c r="Q14" s="145"/>
      <c r="R14" s="145"/>
      <c r="S14" s="427"/>
      <c r="T14" s="150"/>
      <c r="U14" s="146"/>
      <c r="V14" s="146"/>
      <c r="W14" s="146"/>
      <c r="X14" s="146"/>
      <c r="Z14" s="430"/>
      <c r="AA14" s="430"/>
      <c r="AB14" s="430"/>
      <c r="AC14" s="431"/>
      <c r="AD14" s="150"/>
      <c r="AE14" s="430"/>
      <c r="AF14" s="430"/>
      <c r="AG14" s="430"/>
      <c r="AH14" s="430"/>
      <c r="AI14" s="150"/>
      <c r="AJ14" s="430"/>
      <c r="AK14" s="430"/>
      <c r="AL14" s="430"/>
      <c r="AM14" s="430"/>
      <c r="AO14" s="435"/>
      <c r="AP14" s="435"/>
      <c r="AQ14" s="435"/>
      <c r="AR14" s="435"/>
      <c r="AS14" s="435"/>
      <c r="AT14" s="435"/>
      <c r="AU14" s="435"/>
      <c r="AV14" s="435"/>
      <c r="AW14" s="435"/>
      <c r="AX14" s="435"/>
      <c r="AY14" s="435"/>
      <c r="AZ14" s="435"/>
      <c r="BA14" s="435"/>
      <c r="BB14" s="435"/>
    </row>
    <row r="15" spans="1:55" ht="60">
      <c r="A15" s="475" t="str">
        <f>HYPERLINK("#'Traceability  Matrix'!E9",'Traceability  Matrix'!E19)</f>
        <v>1.2.1</v>
      </c>
      <c r="B15" s="131" t="str">
        <f>HYPERLINK("#'Traceability  Matrix'!F49",'Traceability  Matrix'!F20)</f>
        <v>1.2.1.1</v>
      </c>
      <c r="C15" s="140" t="str">
        <f>"Validate that "&amp;LOWER('Traceability  Matrix'!G20)</f>
        <v>Validate that  a copy of the invoice is sent to zdhc gateway – added to the order log in both account admin view and bureau view.</v>
      </c>
      <c r="D15" s="142"/>
      <c r="E15" s="132" t="str">
        <f>'Traceability  Matrix'!G20</f>
        <v xml:space="preserve"> A copy of the Invoice is sent to ZDHC Gateway – Added to the order log in both Account Admin view and Bureau view.</v>
      </c>
      <c r="F15" s="133" t="s">
        <v>150</v>
      </c>
      <c r="G15" s="134" t="s">
        <v>150</v>
      </c>
      <c r="H15" s="133" t="s">
        <v>121</v>
      </c>
      <c r="I15" s="436">
        <v>42719.662106481483</v>
      </c>
      <c r="J15" s="412"/>
      <c r="K15" s="84"/>
      <c r="L15" s="84"/>
      <c r="M15" s="146" t="s">
        <v>87</v>
      </c>
      <c r="N15" s="147">
        <v>42719.666516203702</v>
      </c>
      <c r="O15" s="425"/>
      <c r="P15" s="84"/>
      <c r="Q15" s="84"/>
      <c r="R15" s="426"/>
      <c r="S15" s="147"/>
      <c r="T15" s="150"/>
      <c r="U15" s="146"/>
      <c r="V15" s="146"/>
      <c r="W15" s="426"/>
      <c r="X15" s="147"/>
      <c r="Z15" s="146"/>
      <c r="AA15" s="146"/>
      <c r="AB15" s="146"/>
      <c r="AC15" s="147"/>
      <c r="AD15" s="150"/>
      <c r="AE15" s="146"/>
      <c r="AF15" s="146"/>
      <c r="AG15" s="146"/>
      <c r="AH15" s="147"/>
      <c r="AI15" s="150"/>
      <c r="AJ15" s="146"/>
      <c r="AK15" s="146"/>
      <c r="AL15" s="146"/>
      <c r="AM15" s="147"/>
      <c r="AO15" s="146"/>
      <c r="AP15" s="146"/>
      <c r="AQ15" s="146"/>
      <c r="AR15" s="147"/>
      <c r="AS15" s="150"/>
      <c r="AT15" s="146"/>
      <c r="AU15" s="146"/>
      <c r="AV15" s="146"/>
      <c r="AW15" s="147"/>
      <c r="AX15" s="150"/>
      <c r="AY15" s="146"/>
      <c r="AZ15" s="146"/>
      <c r="BA15" s="146"/>
      <c r="BB15" s="147"/>
    </row>
    <row r="16" spans="1:55" ht="104.25" customHeight="1">
      <c r="A16" s="475"/>
      <c r="B16" s="397" t="str">
        <f>HYPERLINK("#'Traceability  Matrix'!F49",'Traceability  Matrix'!F21)</f>
        <v>1.2.1.2</v>
      </c>
      <c r="C16" s="398" t="str">
        <f>"Validate that "&amp;LOWER('Traceability  Matrix'!G21)</f>
        <v>Validate that upon receipt of the check, adec finance will approve the payment.
- additional detail
- additional detail</v>
      </c>
      <c r="D16" s="144"/>
      <c r="E16" s="399" t="str">
        <f>'Traceability  Matrix'!G21</f>
        <v>Upon receipt of the Check, ADEC finance will approve the payment.
- Additional detail
- Additional detail</v>
      </c>
      <c r="F16" s="138" t="s">
        <v>150</v>
      </c>
      <c r="G16" s="139" t="s">
        <v>150</v>
      </c>
      <c r="H16" s="138" t="s">
        <v>121</v>
      </c>
      <c r="I16" s="437">
        <v>42719.662129629629</v>
      </c>
      <c r="J16" s="412"/>
      <c r="K16" s="403"/>
      <c r="L16" s="403"/>
      <c r="M16" s="148" t="s">
        <v>87</v>
      </c>
      <c r="N16" s="149">
        <v>42719.666539351849</v>
      </c>
      <c r="O16" s="425"/>
      <c r="P16" s="424"/>
      <c r="Q16" s="424"/>
      <c r="R16" s="426"/>
      <c r="S16" s="149"/>
      <c r="T16" s="150"/>
      <c r="U16" s="148"/>
      <c r="V16" s="148"/>
      <c r="W16" s="151"/>
      <c r="X16" s="149"/>
      <c r="Z16" s="148"/>
      <c r="AA16" s="148"/>
      <c r="AB16" s="148"/>
      <c r="AC16" s="149"/>
      <c r="AD16" s="150"/>
      <c r="AE16" s="148"/>
      <c r="AF16" s="148"/>
      <c r="AG16" s="148"/>
      <c r="AH16" s="149"/>
      <c r="AI16" s="150"/>
      <c r="AJ16" s="148"/>
      <c r="AK16" s="148"/>
      <c r="AL16" s="148"/>
      <c r="AM16" s="149"/>
      <c r="AO16" s="148"/>
      <c r="AP16" s="148"/>
      <c r="AQ16" s="148"/>
      <c r="AR16" s="148"/>
      <c r="AS16" s="150"/>
      <c r="AT16" s="148"/>
      <c r="AU16" s="148"/>
      <c r="AV16" s="148"/>
      <c r="AW16" s="149"/>
      <c r="AX16" s="150"/>
      <c r="AY16" s="148"/>
      <c r="AZ16" s="148"/>
      <c r="BA16" s="148"/>
      <c r="BB16" s="149"/>
    </row>
    <row r="17" spans="1:54" ht="45">
      <c r="A17" s="475"/>
      <c r="B17" s="304" t="str">
        <f>HYPERLINK("#'Traceability  Matrix'!F49",'Traceability  Matrix'!F22)</f>
        <v>1.2.1.3</v>
      </c>
      <c r="C17" s="140" t="str">
        <f>"Validate that "&amp;LOWER('Traceability  Matrix'!G22)</f>
        <v>Validate that an email and in-app notification will be sent to the account admin(s).</v>
      </c>
      <c r="D17" s="143"/>
      <c r="E17" s="132" t="str">
        <f>'Traceability  Matrix'!G22</f>
        <v>An email and in-app notification will be sent to the Account Admin(s).</v>
      </c>
      <c r="F17" s="133" t="s">
        <v>150</v>
      </c>
      <c r="G17" s="134" t="s">
        <v>150</v>
      </c>
      <c r="H17" s="133" t="s">
        <v>121</v>
      </c>
      <c r="I17" s="436">
        <v>42719.662141203706</v>
      </c>
      <c r="J17" s="412"/>
      <c r="K17" s="84"/>
      <c r="L17" s="84"/>
      <c r="M17" s="146" t="s">
        <v>87</v>
      </c>
      <c r="N17" s="147">
        <v>42719.666562500002</v>
      </c>
      <c r="O17" s="425"/>
      <c r="P17" s="84"/>
      <c r="Q17" s="84"/>
      <c r="R17" s="426"/>
      <c r="S17" s="147"/>
      <c r="T17" s="150"/>
      <c r="U17" s="146"/>
      <c r="V17" s="146"/>
      <c r="W17" s="426"/>
      <c r="X17" s="147"/>
      <c r="Z17" s="146"/>
      <c r="AA17" s="146"/>
      <c r="AB17" s="146"/>
      <c r="AC17" s="147"/>
      <c r="AD17" s="150"/>
      <c r="AE17" s="146"/>
      <c r="AF17" s="146"/>
      <c r="AG17" s="146"/>
      <c r="AH17" s="147"/>
      <c r="AI17" s="150"/>
      <c r="AJ17" s="146"/>
      <c r="AK17" s="146"/>
      <c r="AL17" s="146"/>
      <c r="AM17" s="147"/>
      <c r="AO17" s="146"/>
      <c r="AP17" s="146"/>
      <c r="AQ17" s="146"/>
      <c r="AR17" s="146"/>
      <c r="AS17" s="150"/>
      <c r="AT17" s="146"/>
      <c r="AU17" s="146"/>
      <c r="AV17" s="146"/>
      <c r="AW17" s="147"/>
      <c r="AX17" s="150"/>
      <c r="AY17" s="146"/>
      <c r="AZ17" s="146"/>
      <c r="BA17" s="146"/>
      <c r="BB17" s="147"/>
    </row>
    <row r="18" spans="1:54" ht="60">
      <c r="A18" s="475"/>
      <c r="B18" s="304" t="str">
        <f>HYPERLINK("#'Traceability  Matrix'!F49",'Traceability  Matrix'!F23)</f>
        <v>1.2.1.4</v>
      </c>
      <c r="C18" s="398" t="str">
        <f>"Validate that "&amp;LOWER('Traceability  Matrix'!G23)</f>
        <v>Validate that a copy of the receipt should be added to the order log in both account admin view and bureau view, replacing the original invoice.</v>
      </c>
      <c r="D18" s="144"/>
      <c r="E18" s="399" t="str">
        <f>'Traceability  Matrix'!G23</f>
        <v>A copy of the receipt should be added to the order log in both Account Admin view and Bureau view, replacing the original Invoice.</v>
      </c>
      <c r="F18" s="138" t="s">
        <v>150</v>
      </c>
      <c r="G18" s="139" t="s">
        <v>150</v>
      </c>
      <c r="H18" s="138" t="s">
        <v>121</v>
      </c>
      <c r="I18" s="437">
        <v>42719.662164351852</v>
      </c>
      <c r="J18" s="412"/>
      <c r="K18" s="403"/>
      <c r="L18" s="403"/>
      <c r="M18" s="148" t="s">
        <v>87</v>
      </c>
      <c r="N18" s="149">
        <v>42719.666585648149</v>
      </c>
      <c r="O18" s="425"/>
      <c r="P18" s="424"/>
      <c r="Q18" s="424"/>
      <c r="R18" s="426"/>
      <c r="S18" s="149"/>
      <c r="T18" s="150"/>
      <c r="U18" s="148"/>
      <c r="V18" s="148"/>
      <c r="W18" s="151"/>
      <c r="X18" s="149"/>
      <c r="Z18" s="148"/>
      <c r="AA18" s="148"/>
      <c r="AB18" s="148"/>
      <c r="AC18" s="149"/>
      <c r="AD18" s="150"/>
      <c r="AE18" s="148"/>
      <c r="AF18" s="148"/>
      <c r="AG18" s="148"/>
      <c r="AH18" s="149"/>
      <c r="AI18" s="150"/>
      <c r="AJ18" s="148"/>
      <c r="AK18" s="148"/>
      <c r="AL18" s="148"/>
      <c r="AM18" s="149"/>
      <c r="AO18" s="148"/>
      <c r="AP18" s="148"/>
      <c r="AQ18" s="148"/>
      <c r="AR18" s="148"/>
      <c r="AS18" s="150"/>
      <c r="AT18" s="148"/>
      <c r="AU18" s="148"/>
      <c r="AV18" s="148"/>
      <c r="AW18" s="149"/>
      <c r="AX18" s="150"/>
      <c r="AY18" s="148"/>
      <c r="AZ18" s="148"/>
      <c r="BA18" s="148"/>
      <c r="BB18" s="149"/>
    </row>
    <row r="19" spans="1:54">
      <c r="A19" s="136"/>
      <c r="B19" s="136"/>
      <c r="C19" s="141"/>
      <c r="D19" s="144"/>
      <c r="E19" s="144"/>
      <c r="F19" s="138"/>
      <c r="G19" s="139"/>
      <c r="H19" s="138"/>
      <c r="I19" s="144"/>
      <c r="J19" s="124"/>
      <c r="K19" s="428"/>
      <c r="L19" s="429"/>
      <c r="M19" s="113"/>
      <c r="N19" s="111"/>
      <c r="O19" s="416"/>
      <c r="P19" s="428"/>
      <c r="Q19" s="429"/>
      <c r="R19" s="417"/>
      <c r="S19" s="111"/>
      <c r="T19" s="418"/>
      <c r="U19" s="419"/>
      <c r="V19" s="420"/>
      <c r="W19" s="417"/>
      <c r="X19" s="111"/>
      <c r="Z19" s="148"/>
      <c r="AA19" s="148"/>
      <c r="AB19" s="151"/>
      <c r="AC19" s="149"/>
      <c r="AD19" s="150"/>
      <c r="AE19" s="148"/>
      <c r="AF19" s="148"/>
      <c r="AG19" s="148"/>
      <c r="AH19" s="149"/>
      <c r="AI19" s="150"/>
      <c r="AJ19" s="148"/>
      <c r="AK19" s="148"/>
      <c r="AL19" s="148"/>
      <c r="AM19" s="149"/>
      <c r="AS19" s="137"/>
      <c r="AX19" s="137"/>
    </row>
    <row r="20" spans="1:54">
      <c r="D20" s="144"/>
      <c r="E20" s="144"/>
      <c r="F20" s="144"/>
      <c r="G20" s="144"/>
      <c r="H20" s="144"/>
      <c r="I20" s="144"/>
      <c r="J20" s="124"/>
      <c r="Z20" s="144"/>
      <c r="AA20" s="144"/>
      <c r="AB20" s="144"/>
      <c r="AC20" s="144"/>
      <c r="AD20" s="152"/>
      <c r="AE20" s="144"/>
      <c r="AF20" s="144"/>
      <c r="AG20" s="144"/>
      <c r="AH20" s="144"/>
      <c r="AI20" s="152"/>
      <c r="AJ20" s="144"/>
      <c r="AK20" s="144"/>
      <c r="AL20" s="144"/>
      <c r="AM20" s="144"/>
    </row>
    <row r="21" spans="1:54">
      <c r="D21" s="145"/>
      <c r="E21" s="145"/>
      <c r="F21" s="145"/>
      <c r="G21" s="145"/>
      <c r="H21" s="145"/>
      <c r="I21" s="145"/>
      <c r="J21" s="124"/>
      <c r="Z21" s="145"/>
      <c r="AA21" s="145"/>
      <c r="AB21" s="145"/>
      <c r="AC21" s="145"/>
      <c r="AD21" s="152"/>
      <c r="AE21" s="145"/>
      <c r="AF21" s="145"/>
      <c r="AG21" s="145"/>
      <c r="AH21" s="145"/>
      <c r="AI21" s="152"/>
      <c r="AJ21" s="145"/>
      <c r="AK21" s="145"/>
      <c r="AL21" s="145"/>
      <c r="AM21" s="145"/>
    </row>
    <row r="22" spans="1:54">
      <c r="D22" s="145"/>
      <c r="E22" s="145"/>
      <c r="F22" s="145"/>
      <c r="G22" s="145"/>
      <c r="H22" s="145"/>
      <c r="I22" s="145"/>
      <c r="J22" s="124"/>
      <c r="AD22" s="137"/>
      <c r="AI22" s="137"/>
    </row>
    <row r="23" spans="1:54">
      <c r="D23" s="145"/>
      <c r="E23" s="145"/>
      <c r="F23" s="145"/>
      <c r="G23" s="145"/>
      <c r="H23" s="145"/>
      <c r="I23" s="145"/>
      <c r="J23" s="124"/>
    </row>
  </sheetData>
  <autoFilter ref="A9:B9"/>
  <dataConsolidate/>
  <mergeCells count="5">
    <mergeCell ref="A10:A13"/>
    <mergeCell ref="A15:A18"/>
    <mergeCell ref="A8:G8"/>
    <mergeCell ref="H8:I8"/>
    <mergeCell ref="A1:E3"/>
  </mergeCells>
  <conditionalFormatting sqref="F10:F14">
    <cfRule type="containsText" dxfId="189" priority="482" operator="containsText" text="Out-of-scope">
      <formula>NOT(ISERROR(SEARCH("Out-of-scope",F10)))</formula>
    </cfRule>
    <cfRule type="containsText" dxfId="188" priority="483" operator="containsText" text="Deferred">
      <formula>NOT(ISERROR(SEARCH("Deferred",F10)))</formula>
    </cfRule>
    <cfRule type="containsText" dxfId="187" priority="484" operator="containsText" text="Completed">
      <formula>NOT(ISERROR(SEARCH("Completed",F10)))</formula>
    </cfRule>
    <cfRule type="containsText" dxfId="186" priority="485" operator="containsText" text="Ongoing">
      <formula>NOT(ISERROR(SEARCH("Ongoing",F10)))</formula>
    </cfRule>
  </conditionalFormatting>
  <conditionalFormatting sqref="G10:G14">
    <cfRule type="containsText" dxfId="185" priority="477" operator="containsText" text="Out-of-scope">
      <formula>NOT(ISERROR(SEARCH("Out-of-scope",G10)))</formula>
    </cfRule>
    <cfRule type="containsText" dxfId="184" priority="478" operator="containsText" text="Completed">
      <formula>NOT(ISERROR(SEARCH("Completed",G10)))</formula>
    </cfRule>
    <cfRule type="containsText" dxfId="183" priority="479" operator="containsText" text="For Update">
      <formula>NOT(ISERROR(SEARCH("For Update",G10)))</formula>
    </cfRule>
    <cfRule type="containsText" dxfId="182" priority="480" operator="containsText" text="Ongoing">
      <formula>NOT(ISERROR(SEARCH("Ongoing",G10)))</formula>
    </cfRule>
    <cfRule type="containsText" dxfId="181" priority="481" operator="containsText" text="Review Pending">
      <formula>NOT(ISERROR(SEARCH("Review Pending",G10)))</formula>
    </cfRule>
  </conditionalFormatting>
  <conditionalFormatting sqref="H10:I14">
    <cfRule type="containsText" dxfId="180" priority="474" operator="containsText" text="Out-of-scope">
      <formula>NOT(ISERROR(SEARCH("Out-of-scope",H10)))</formula>
    </cfRule>
    <cfRule type="containsText" dxfId="179" priority="475" operator="containsText" text="No">
      <formula>NOT(ISERROR(SEARCH("No",H10)))</formula>
    </cfRule>
    <cfRule type="containsText" dxfId="178" priority="476" operator="containsText" text="Yes">
      <formula>NOT(ISERROR(SEARCH("Yes",H10)))</formula>
    </cfRule>
  </conditionalFormatting>
  <conditionalFormatting sqref="H10:I10 I11:I14 H11:H13">
    <cfRule type="containsText" dxfId="177" priority="279" operator="containsText" text="N/A">
      <formula>NOT(ISERROR(SEARCH("N/A",H10)))</formula>
    </cfRule>
  </conditionalFormatting>
  <conditionalFormatting sqref="BA10:BB13">
    <cfRule type="containsText" dxfId="176" priority="211" operator="containsText" text="Deferred">
      <formula>NOT(ISERROR(SEARCH("Deferred",BA10)))</formula>
    </cfRule>
    <cfRule type="containsText" dxfId="175" priority="212" operator="containsText" text="Blocked">
      <formula>NOT(ISERROR(SEARCH("Blocked",BA10)))</formula>
    </cfRule>
    <cfRule type="containsText" dxfId="174" priority="213" operator="containsText" text="Failed">
      <formula>NOT(ISERROR(SEARCH("Failed",BA10)))</formula>
    </cfRule>
    <cfRule type="containsText" dxfId="173" priority="214" operator="containsText" text="Ongoing">
      <formula>NOT(ISERROR(SEARCH("Ongoing",BA10)))</formula>
    </cfRule>
    <cfRule type="containsText" dxfId="172" priority="215" operator="containsText" text="Passed">
      <formula>NOT(ISERROR(SEARCH("Passed",BA10)))</formula>
    </cfRule>
  </conditionalFormatting>
  <conditionalFormatting sqref="BA10:BB13">
    <cfRule type="containsText" dxfId="171" priority="209" operator="containsText" text="N/A">
      <formula>NOT(ISERROR(SEARCH("N/A",BA10)))</formula>
    </cfRule>
    <cfRule type="containsText" dxfId="170" priority="210" operator="containsText" text="Out-of-scope">
      <formula>NOT(ISERROR(SEARCH("Out-of-scope",BA10)))</formula>
    </cfRule>
  </conditionalFormatting>
  <conditionalFormatting sqref="AV10:AW13">
    <cfRule type="containsText" dxfId="169" priority="204" operator="containsText" text="Deferred">
      <formula>NOT(ISERROR(SEARCH("Deferred",AV10)))</formula>
    </cfRule>
    <cfRule type="containsText" dxfId="168" priority="205" operator="containsText" text="Blocked">
      <formula>NOT(ISERROR(SEARCH("Blocked",AV10)))</formula>
    </cfRule>
    <cfRule type="containsText" dxfId="167" priority="206" operator="containsText" text="Failed">
      <formula>NOT(ISERROR(SEARCH("Failed",AV10)))</formula>
    </cfRule>
    <cfRule type="containsText" dxfId="166" priority="207" operator="containsText" text="Ongoing">
      <formula>NOT(ISERROR(SEARCH("Ongoing",AV10)))</formula>
    </cfRule>
    <cfRule type="containsText" dxfId="165" priority="208" operator="containsText" text="Passed">
      <formula>NOT(ISERROR(SEARCH("Passed",AV10)))</formula>
    </cfRule>
  </conditionalFormatting>
  <conditionalFormatting sqref="AV10:AW13">
    <cfRule type="containsText" dxfId="164" priority="202" operator="containsText" text="N/A">
      <formula>NOT(ISERROR(SEARCH("N/A",AV10)))</formula>
    </cfRule>
    <cfRule type="containsText" dxfId="163" priority="203" operator="containsText" text="Out-of-scope">
      <formula>NOT(ISERROR(SEARCH("Out-of-scope",AV10)))</formula>
    </cfRule>
  </conditionalFormatting>
  <conditionalFormatting sqref="AQ10:AR13">
    <cfRule type="containsText" dxfId="162" priority="197" operator="containsText" text="Deferred">
      <formula>NOT(ISERROR(SEARCH("Deferred",AQ10)))</formula>
    </cfRule>
    <cfRule type="containsText" dxfId="161" priority="198" operator="containsText" text="Blocked">
      <formula>NOT(ISERROR(SEARCH("Blocked",AQ10)))</formula>
    </cfRule>
    <cfRule type="containsText" dxfId="160" priority="199" operator="containsText" text="Failed">
      <formula>NOT(ISERROR(SEARCH("Failed",AQ10)))</formula>
    </cfRule>
    <cfRule type="containsText" dxfId="159" priority="200" operator="containsText" text="Ongoing">
      <formula>NOT(ISERROR(SEARCH("Ongoing",AQ10)))</formula>
    </cfRule>
    <cfRule type="containsText" dxfId="158" priority="201" operator="containsText" text="Passed">
      <formula>NOT(ISERROR(SEARCH("Passed",AQ10)))</formula>
    </cfRule>
  </conditionalFormatting>
  <conditionalFormatting sqref="AQ10:AR13">
    <cfRule type="containsText" dxfId="157" priority="195" operator="containsText" text="N/A">
      <formula>NOT(ISERROR(SEARCH("N/A",AQ10)))</formula>
    </cfRule>
    <cfRule type="containsText" dxfId="156" priority="196" operator="containsText" text="Out-of-scope">
      <formula>NOT(ISERROR(SEARCH("Out-of-scope",AQ10)))</formula>
    </cfRule>
  </conditionalFormatting>
  <conditionalFormatting sqref="AL10:AM14">
    <cfRule type="containsText" dxfId="155" priority="190" operator="containsText" text="Deferred">
      <formula>NOT(ISERROR(SEARCH("Deferred",AL10)))</formula>
    </cfRule>
    <cfRule type="containsText" dxfId="154" priority="191" operator="containsText" text="Blocked">
      <formula>NOT(ISERROR(SEARCH("Blocked",AL10)))</formula>
    </cfRule>
    <cfRule type="containsText" dxfId="153" priority="192" operator="containsText" text="Failed">
      <formula>NOT(ISERROR(SEARCH("Failed",AL10)))</formula>
    </cfRule>
    <cfRule type="containsText" dxfId="152" priority="193" operator="containsText" text="Ongoing">
      <formula>NOT(ISERROR(SEARCH("Ongoing",AL10)))</formula>
    </cfRule>
    <cfRule type="containsText" dxfId="151" priority="194" operator="containsText" text="Passed">
      <formula>NOT(ISERROR(SEARCH("Passed",AL10)))</formula>
    </cfRule>
  </conditionalFormatting>
  <conditionalFormatting sqref="AL10:AM14">
    <cfRule type="containsText" dxfId="150" priority="188" operator="containsText" text="N/A">
      <formula>NOT(ISERROR(SEARCH("N/A",AL10)))</formula>
    </cfRule>
    <cfRule type="containsText" dxfId="149" priority="189" operator="containsText" text="Out-of-scope">
      <formula>NOT(ISERROR(SEARCH("Out-of-scope",AL10)))</formula>
    </cfRule>
  </conditionalFormatting>
  <conditionalFormatting sqref="AG10:AH14">
    <cfRule type="containsText" dxfId="148" priority="183" operator="containsText" text="Deferred">
      <formula>NOT(ISERROR(SEARCH("Deferred",AG10)))</formula>
    </cfRule>
    <cfRule type="containsText" dxfId="147" priority="184" operator="containsText" text="Blocked">
      <formula>NOT(ISERROR(SEARCH("Blocked",AG10)))</formula>
    </cfRule>
    <cfRule type="containsText" dxfId="146" priority="185" operator="containsText" text="Failed">
      <formula>NOT(ISERROR(SEARCH("Failed",AG10)))</formula>
    </cfRule>
    <cfRule type="containsText" dxfId="145" priority="186" operator="containsText" text="Ongoing">
      <formula>NOT(ISERROR(SEARCH("Ongoing",AG10)))</formula>
    </cfRule>
    <cfRule type="containsText" dxfId="144" priority="187" operator="containsText" text="Passed">
      <formula>NOT(ISERROR(SEARCH("Passed",AG10)))</formula>
    </cfRule>
  </conditionalFormatting>
  <conditionalFormatting sqref="AG10:AH14">
    <cfRule type="containsText" dxfId="143" priority="181" operator="containsText" text="N/A">
      <formula>NOT(ISERROR(SEARCH("N/A",AG10)))</formula>
    </cfRule>
    <cfRule type="containsText" dxfId="142" priority="182" operator="containsText" text="Out-of-scope">
      <formula>NOT(ISERROR(SEARCH("Out-of-scope",AG10)))</formula>
    </cfRule>
  </conditionalFormatting>
  <conditionalFormatting sqref="AC10:AC14">
    <cfRule type="containsText" dxfId="141" priority="176" operator="containsText" text="Deferred">
      <formula>NOT(ISERROR(SEARCH("Deferred",AC10)))</formula>
    </cfRule>
    <cfRule type="containsText" dxfId="140" priority="177" operator="containsText" text="Blocked">
      <formula>NOT(ISERROR(SEARCH("Blocked",AC10)))</formula>
    </cfRule>
    <cfRule type="containsText" dxfId="139" priority="178" operator="containsText" text="Failed">
      <formula>NOT(ISERROR(SEARCH("Failed",AC10)))</formula>
    </cfRule>
    <cfRule type="containsText" dxfId="138" priority="179" operator="containsText" text="Ongoing">
      <formula>NOT(ISERROR(SEARCH("Ongoing",AC10)))</formula>
    </cfRule>
    <cfRule type="containsText" dxfId="137" priority="180" operator="containsText" text="Passed">
      <formula>NOT(ISERROR(SEARCH("Passed",AC10)))</formula>
    </cfRule>
  </conditionalFormatting>
  <conditionalFormatting sqref="AC10:AC14">
    <cfRule type="containsText" dxfId="136" priority="174" operator="containsText" text="N/A">
      <formula>NOT(ISERROR(SEARCH("N/A",AC10)))</formula>
    </cfRule>
    <cfRule type="containsText" dxfId="135" priority="175" operator="containsText" text="Out-of-scope">
      <formula>NOT(ISERROR(SEARCH("Out-of-scope",AC10)))</formula>
    </cfRule>
  </conditionalFormatting>
  <conditionalFormatting sqref="W10:X14">
    <cfRule type="containsText" dxfId="134" priority="169" operator="containsText" text="Deferred">
      <formula>NOT(ISERROR(SEARCH("Deferred",W10)))</formula>
    </cfRule>
    <cfRule type="containsText" dxfId="133" priority="170" operator="containsText" text="Blocked">
      <formula>NOT(ISERROR(SEARCH("Blocked",W10)))</formula>
    </cfRule>
    <cfRule type="containsText" dxfId="132" priority="171" operator="containsText" text="Failed">
      <formula>NOT(ISERROR(SEARCH("Failed",W10)))</formula>
    </cfRule>
    <cfRule type="containsText" dxfId="131" priority="172" operator="containsText" text="Ongoing">
      <formula>NOT(ISERROR(SEARCH("Ongoing",W10)))</formula>
    </cfRule>
    <cfRule type="containsText" dxfId="130" priority="173" operator="containsText" text="Passed">
      <formula>NOT(ISERROR(SEARCH("Passed",W10)))</formula>
    </cfRule>
  </conditionalFormatting>
  <conditionalFormatting sqref="W10:X14">
    <cfRule type="containsText" dxfId="129" priority="167" operator="containsText" text="N/A">
      <formula>NOT(ISERROR(SEARCH("N/A",W10)))</formula>
    </cfRule>
    <cfRule type="containsText" dxfId="128" priority="168" operator="containsText" text="Out-of-scope">
      <formula>NOT(ISERROR(SEARCH("Out-of-scope",W10)))</formula>
    </cfRule>
  </conditionalFormatting>
  <conditionalFormatting sqref="R14:S14 R10:R13">
    <cfRule type="containsText" dxfId="127" priority="162" operator="containsText" text="Deferred">
      <formula>NOT(ISERROR(SEARCH("Deferred",R10)))</formula>
    </cfRule>
    <cfRule type="containsText" dxfId="126" priority="163" operator="containsText" text="Blocked">
      <formula>NOT(ISERROR(SEARCH("Blocked",R10)))</formula>
    </cfRule>
    <cfRule type="containsText" dxfId="125" priority="164" operator="containsText" text="Failed">
      <formula>NOT(ISERROR(SEARCH("Failed",R10)))</formula>
    </cfRule>
    <cfRule type="containsText" dxfId="124" priority="165" operator="containsText" text="Ongoing">
      <formula>NOT(ISERROR(SEARCH("Ongoing",R10)))</formula>
    </cfRule>
    <cfRule type="containsText" dxfId="123" priority="166" operator="containsText" text="Passed">
      <formula>NOT(ISERROR(SEARCH("Passed",R10)))</formula>
    </cfRule>
  </conditionalFormatting>
  <conditionalFormatting sqref="R14:S14 R10:R13">
    <cfRule type="containsText" dxfId="122" priority="160" operator="containsText" text="N/A">
      <formula>NOT(ISERROR(SEARCH("N/A",R10)))</formula>
    </cfRule>
    <cfRule type="containsText" dxfId="121" priority="161" operator="containsText" text="Out-of-scope">
      <formula>NOT(ISERROR(SEARCH("Out-of-scope",R10)))</formula>
    </cfRule>
  </conditionalFormatting>
  <conditionalFormatting sqref="M10:M14">
    <cfRule type="containsText" dxfId="120" priority="155" operator="containsText" text="Deferred">
      <formula>NOT(ISERROR(SEARCH("Deferred",M10)))</formula>
    </cfRule>
    <cfRule type="containsText" dxfId="119" priority="156" operator="containsText" text="Blocked">
      <formula>NOT(ISERROR(SEARCH("Blocked",M10)))</formula>
    </cfRule>
    <cfRule type="containsText" dxfId="118" priority="157" operator="containsText" text="Failed">
      <formula>NOT(ISERROR(SEARCH("Failed",M10)))</formula>
    </cfRule>
    <cfRule type="containsText" dxfId="117" priority="158" operator="containsText" text="Ongoing">
      <formula>NOT(ISERROR(SEARCH("Ongoing",M10)))</formula>
    </cfRule>
    <cfRule type="containsText" dxfId="116" priority="159" operator="containsText" text="Passed">
      <formula>NOT(ISERROR(SEARCH("Passed",M10)))</formula>
    </cfRule>
  </conditionalFormatting>
  <conditionalFormatting sqref="M10:M14">
    <cfRule type="containsText" dxfId="115" priority="153" operator="containsText" text="N/A">
      <formula>NOT(ISERROR(SEARCH("N/A",M10)))</formula>
    </cfRule>
    <cfRule type="containsText" dxfId="114" priority="154" operator="containsText" text="Out-of-scope">
      <formula>NOT(ISERROR(SEARCH("Out-of-scope",M10)))</formula>
    </cfRule>
  </conditionalFormatting>
  <conditionalFormatting sqref="G10:G14">
    <cfRule type="containsText" dxfId="113" priority="152" operator="containsText" text="Deferred">
      <formula>NOT(ISERROR(SEARCH("Deferred",G10)))</formula>
    </cfRule>
  </conditionalFormatting>
  <conditionalFormatting sqref="AL15:AM19">
    <cfRule type="containsText" dxfId="112" priority="147" operator="containsText" text="Deferred">
      <formula>NOT(ISERROR(SEARCH("Deferred",AL15)))</formula>
    </cfRule>
    <cfRule type="containsText" dxfId="111" priority="148" operator="containsText" text="Blocked">
      <formula>NOT(ISERROR(SEARCH("Blocked",AL15)))</formula>
    </cfRule>
    <cfRule type="containsText" dxfId="110" priority="149" operator="containsText" text="Failed">
      <formula>NOT(ISERROR(SEARCH("Failed",AL15)))</formula>
    </cfRule>
    <cfRule type="containsText" dxfId="109" priority="150" operator="containsText" text="Ongoing">
      <formula>NOT(ISERROR(SEARCH("Ongoing",AL15)))</formula>
    </cfRule>
    <cfRule type="containsText" dxfId="108" priority="151" operator="containsText" text="Passed">
      <formula>NOT(ISERROR(SEARCH("Passed",AL15)))</formula>
    </cfRule>
  </conditionalFormatting>
  <conditionalFormatting sqref="AL15:AM19">
    <cfRule type="containsText" dxfId="107" priority="145" operator="containsText" text="N/A">
      <formula>NOT(ISERROR(SEARCH("N/A",AL15)))</formula>
    </cfRule>
    <cfRule type="containsText" dxfId="106" priority="146" operator="containsText" text="Out-of-scope">
      <formula>NOT(ISERROR(SEARCH("Out-of-scope",AL15)))</formula>
    </cfRule>
  </conditionalFormatting>
  <conditionalFormatting sqref="AG15:AH19">
    <cfRule type="containsText" dxfId="105" priority="140" operator="containsText" text="Deferred">
      <formula>NOT(ISERROR(SEARCH("Deferred",AG15)))</formula>
    </cfRule>
    <cfRule type="containsText" dxfId="104" priority="141" operator="containsText" text="Blocked">
      <formula>NOT(ISERROR(SEARCH("Blocked",AG15)))</formula>
    </cfRule>
    <cfRule type="containsText" dxfId="103" priority="142" operator="containsText" text="Failed">
      <formula>NOT(ISERROR(SEARCH("Failed",AG15)))</formula>
    </cfRule>
    <cfRule type="containsText" dxfId="102" priority="143" operator="containsText" text="Ongoing">
      <formula>NOT(ISERROR(SEARCH("Ongoing",AG15)))</formula>
    </cfRule>
    <cfRule type="containsText" dxfId="101" priority="144" operator="containsText" text="Passed">
      <formula>NOT(ISERROR(SEARCH("Passed",AG15)))</formula>
    </cfRule>
  </conditionalFormatting>
  <conditionalFormatting sqref="AG15:AH19">
    <cfRule type="containsText" dxfId="100" priority="138" operator="containsText" text="N/A">
      <formula>NOT(ISERROR(SEARCH("N/A",AG15)))</formula>
    </cfRule>
    <cfRule type="containsText" dxfId="99" priority="139" operator="containsText" text="Out-of-scope">
      <formula>NOT(ISERROR(SEARCH("Out-of-scope",AG15)))</formula>
    </cfRule>
  </conditionalFormatting>
  <conditionalFormatting sqref="AB19:AC19 AC15:AC18">
    <cfRule type="containsText" dxfId="98" priority="133" operator="containsText" text="Deferred">
      <formula>NOT(ISERROR(SEARCH("Deferred",AB15)))</formula>
    </cfRule>
    <cfRule type="containsText" dxfId="97" priority="134" operator="containsText" text="Blocked">
      <formula>NOT(ISERROR(SEARCH("Blocked",AB15)))</formula>
    </cfRule>
    <cfRule type="containsText" dxfId="96" priority="135" operator="containsText" text="Failed">
      <formula>NOT(ISERROR(SEARCH("Failed",AB15)))</formula>
    </cfRule>
    <cfRule type="containsText" dxfId="95" priority="136" operator="containsText" text="Ongoing">
      <formula>NOT(ISERROR(SEARCH("Ongoing",AB15)))</formula>
    </cfRule>
    <cfRule type="containsText" dxfId="94" priority="137" operator="containsText" text="Passed">
      <formula>NOT(ISERROR(SEARCH("Passed",AB15)))</formula>
    </cfRule>
  </conditionalFormatting>
  <conditionalFormatting sqref="AB19:AC19 AC15:AC18">
    <cfRule type="containsText" dxfId="93" priority="131" operator="containsText" text="N/A">
      <formula>NOT(ISERROR(SEARCH("N/A",AB15)))</formula>
    </cfRule>
    <cfRule type="containsText" dxfId="92" priority="132" operator="containsText" text="Out-of-scope">
      <formula>NOT(ISERROR(SEARCH("Out-of-scope",AB15)))</formula>
    </cfRule>
  </conditionalFormatting>
  <conditionalFormatting sqref="W15:X19">
    <cfRule type="containsText" dxfId="91" priority="126" operator="containsText" text="Deferred">
      <formula>NOT(ISERROR(SEARCH("Deferred",W15)))</formula>
    </cfRule>
    <cfRule type="containsText" dxfId="90" priority="127" operator="containsText" text="Blocked">
      <formula>NOT(ISERROR(SEARCH("Blocked",W15)))</formula>
    </cfRule>
    <cfRule type="containsText" dxfId="89" priority="128" operator="containsText" text="Failed">
      <formula>NOT(ISERROR(SEARCH("Failed",W15)))</formula>
    </cfRule>
    <cfRule type="containsText" dxfId="88" priority="129" operator="containsText" text="Ongoing">
      <formula>NOT(ISERROR(SEARCH("Ongoing",W15)))</formula>
    </cfRule>
    <cfRule type="containsText" dxfId="87" priority="130" operator="containsText" text="Passed">
      <formula>NOT(ISERROR(SEARCH("Passed",W15)))</formula>
    </cfRule>
  </conditionalFormatting>
  <conditionalFormatting sqref="W15:X19">
    <cfRule type="containsText" dxfId="86" priority="124" operator="containsText" text="N/A">
      <formula>NOT(ISERROR(SEARCH("N/A",W15)))</formula>
    </cfRule>
    <cfRule type="containsText" dxfId="85" priority="125" operator="containsText" text="Out-of-scope">
      <formula>NOT(ISERROR(SEARCH("Out-of-scope",W15)))</formula>
    </cfRule>
  </conditionalFormatting>
  <conditionalFormatting sqref="R15:R19">
    <cfRule type="containsText" dxfId="84" priority="119" operator="containsText" text="Deferred">
      <formula>NOT(ISERROR(SEARCH("Deferred",R15)))</formula>
    </cfRule>
    <cfRule type="containsText" dxfId="83" priority="120" operator="containsText" text="Blocked">
      <formula>NOT(ISERROR(SEARCH("Blocked",R15)))</formula>
    </cfRule>
    <cfRule type="containsText" dxfId="82" priority="121" operator="containsText" text="Failed">
      <formula>NOT(ISERROR(SEARCH("Failed",R15)))</formula>
    </cfRule>
    <cfRule type="containsText" dxfId="81" priority="122" operator="containsText" text="Ongoing">
      <formula>NOT(ISERROR(SEARCH("Ongoing",R15)))</formula>
    </cfRule>
    <cfRule type="containsText" dxfId="80" priority="123" operator="containsText" text="Passed">
      <formula>NOT(ISERROR(SEARCH("Passed",R15)))</formula>
    </cfRule>
  </conditionalFormatting>
  <conditionalFormatting sqref="R15:R19">
    <cfRule type="containsText" dxfId="79" priority="117" operator="containsText" text="N/A">
      <formula>NOT(ISERROR(SEARCH("N/A",R15)))</formula>
    </cfRule>
    <cfRule type="containsText" dxfId="78" priority="118" operator="containsText" text="Out-of-scope">
      <formula>NOT(ISERROR(SEARCH("Out-of-scope",R15)))</formula>
    </cfRule>
  </conditionalFormatting>
  <conditionalFormatting sqref="M15:M19">
    <cfRule type="containsText" dxfId="77" priority="112" operator="containsText" text="Deferred">
      <formula>NOT(ISERROR(SEARCH("Deferred",M15)))</formula>
    </cfRule>
    <cfRule type="containsText" dxfId="76" priority="113" operator="containsText" text="Blocked">
      <formula>NOT(ISERROR(SEARCH("Blocked",M15)))</formula>
    </cfRule>
    <cfRule type="containsText" dxfId="75" priority="114" operator="containsText" text="Failed">
      <formula>NOT(ISERROR(SEARCH("Failed",M15)))</formula>
    </cfRule>
    <cfRule type="containsText" dxfId="74" priority="115" operator="containsText" text="Ongoing">
      <formula>NOT(ISERROR(SEARCH("Ongoing",M15)))</formula>
    </cfRule>
    <cfRule type="containsText" dxfId="73" priority="116" operator="containsText" text="Passed">
      <formula>NOT(ISERROR(SEARCH("Passed",M15)))</formula>
    </cfRule>
  </conditionalFormatting>
  <conditionalFormatting sqref="M15:M19">
    <cfRule type="containsText" dxfId="72" priority="110" operator="containsText" text="N/A">
      <formula>NOT(ISERROR(SEARCH("N/A",M15)))</formula>
    </cfRule>
    <cfRule type="containsText" dxfId="71" priority="111" operator="containsText" text="Out-of-scope">
      <formula>NOT(ISERROR(SEARCH("Out-of-scope",M15)))</formula>
    </cfRule>
  </conditionalFormatting>
  <conditionalFormatting sqref="AO14:BB14">
    <cfRule type="containsText" dxfId="70" priority="107" operator="containsText" text="Out-of-scope">
      <formula>NOT(ISERROR(SEARCH("Out-of-scope",AO14)))</formula>
    </cfRule>
    <cfRule type="containsText" dxfId="69" priority="108" operator="containsText" text="No">
      <formula>NOT(ISERROR(SEARCH("No",AO14)))</formula>
    </cfRule>
    <cfRule type="containsText" dxfId="68" priority="109" operator="containsText" text="Yes">
      <formula>NOT(ISERROR(SEARCH("Yes",AO14)))</formula>
    </cfRule>
  </conditionalFormatting>
  <conditionalFormatting sqref="AO14:BB14">
    <cfRule type="containsText" dxfId="67" priority="106" operator="containsText" text="N/A">
      <formula>NOT(ISERROR(SEARCH("N/A",AO14)))</formula>
    </cfRule>
  </conditionalFormatting>
  <conditionalFormatting sqref="F15:F19">
    <cfRule type="containsText" dxfId="66" priority="46" operator="containsText" text="Out-of-scope">
      <formula>NOT(ISERROR(SEARCH("Out-of-scope",F15)))</formula>
    </cfRule>
    <cfRule type="containsText" dxfId="65" priority="47" operator="containsText" text="Deferred">
      <formula>NOT(ISERROR(SEARCH("Deferred",F15)))</formula>
    </cfRule>
    <cfRule type="containsText" dxfId="64" priority="48" operator="containsText" text="Completed">
      <formula>NOT(ISERROR(SEARCH("Completed",F15)))</formula>
    </cfRule>
    <cfRule type="containsText" dxfId="63" priority="49" operator="containsText" text="Ongoing">
      <formula>NOT(ISERROR(SEARCH("Ongoing",F15)))</formula>
    </cfRule>
  </conditionalFormatting>
  <conditionalFormatting sqref="G15:G19">
    <cfRule type="containsText" dxfId="62" priority="41" operator="containsText" text="Out-of-scope">
      <formula>NOT(ISERROR(SEARCH("Out-of-scope",G15)))</formula>
    </cfRule>
    <cfRule type="containsText" dxfId="61" priority="42" operator="containsText" text="Completed">
      <formula>NOT(ISERROR(SEARCH("Completed",G15)))</formula>
    </cfRule>
    <cfRule type="containsText" dxfId="60" priority="43" operator="containsText" text="For Update">
      <formula>NOT(ISERROR(SEARCH("For Update",G15)))</formula>
    </cfRule>
    <cfRule type="containsText" dxfId="59" priority="44" operator="containsText" text="Ongoing">
      <formula>NOT(ISERROR(SEARCH("Ongoing",G15)))</formula>
    </cfRule>
    <cfRule type="containsText" dxfId="58" priority="45" operator="containsText" text="Review Pending">
      <formula>NOT(ISERROR(SEARCH("Review Pending",G15)))</formula>
    </cfRule>
  </conditionalFormatting>
  <conditionalFormatting sqref="H15:H19">
    <cfRule type="containsText" dxfId="57" priority="38" operator="containsText" text="Out-of-scope">
      <formula>NOT(ISERROR(SEARCH("Out-of-scope",H15)))</formula>
    </cfRule>
    <cfRule type="containsText" dxfId="56" priority="39" operator="containsText" text="No">
      <formula>NOT(ISERROR(SEARCH("No",H15)))</formula>
    </cfRule>
    <cfRule type="containsText" dxfId="55" priority="40" operator="containsText" text="Yes">
      <formula>NOT(ISERROR(SEARCH("Yes",H15)))</formula>
    </cfRule>
  </conditionalFormatting>
  <conditionalFormatting sqref="H15:H19">
    <cfRule type="containsText" dxfId="54" priority="37" operator="containsText" text="N/A">
      <formula>NOT(ISERROR(SEARCH("N/A",H15)))</formula>
    </cfRule>
  </conditionalFormatting>
  <conditionalFormatting sqref="G15:G19">
    <cfRule type="containsText" dxfId="53" priority="36" operator="containsText" text="Deferred">
      <formula>NOT(ISERROR(SEARCH("Deferred",G15)))</formula>
    </cfRule>
  </conditionalFormatting>
  <conditionalFormatting sqref="AB10:AB13">
    <cfRule type="containsText" dxfId="52" priority="31" operator="containsText" text="Deferred">
      <formula>NOT(ISERROR(SEARCH("Deferred",AB10)))</formula>
    </cfRule>
    <cfRule type="containsText" dxfId="51" priority="32" operator="containsText" text="Blocked">
      <formula>NOT(ISERROR(SEARCH("Blocked",AB10)))</formula>
    </cfRule>
    <cfRule type="containsText" dxfId="50" priority="33" operator="containsText" text="Failed">
      <formula>NOT(ISERROR(SEARCH("Failed",AB10)))</formula>
    </cfRule>
    <cfRule type="containsText" dxfId="49" priority="34" operator="containsText" text="Ongoing">
      <formula>NOT(ISERROR(SEARCH("Ongoing",AB10)))</formula>
    </cfRule>
    <cfRule type="containsText" dxfId="48" priority="35" operator="containsText" text="Passed">
      <formula>NOT(ISERROR(SEARCH("Passed",AB10)))</formula>
    </cfRule>
  </conditionalFormatting>
  <conditionalFormatting sqref="AB10:AB13">
    <cfRule type="containsText" dxfId="47" priority="29" operator="containsText" text="N/A">
      <formula>NOT(ISERROR(SEARCH("N/A",AB10)))</formula>
    </cfRule>
    <cfRule type="containsText" dxfId="46" priority="30" operator="containsText" text="Out-of-scope">
      <formula>NOT(ISERROR(SEARCH("Out-of-scope",AB10)))</formula>
    </cfRule>
  </conditionalFormatting>
  <conditionalFormatting sqref="AB15:AB18">
    <cfRule type="containsText" dxfId="45" priority="24" operator="containsText" text="Deferred">
      <formula>NOT(ISERROR(SEARCH("Deferred",AB15)))</formula>
    </cfRule>
    <cfRule type="containsText" dxfId="44" priority="25" operator="containsText" text="Blocked">
      <formula>NOT(ISERROR(SEARCH("Blocked",AB15)))</formula>
    </cfRule>
    <cfRule type="containsText" dxfId="43" priority="26" operator="containsText" text="Failed">
      <formula>NOT(ISERROR(SEARCH("Failed",AB15)))</formula>
    </cfRule>
    <cfRule type="containsText" dxfId="42" priority="27" operator="containsText" text="Ongoing">
      <formula>NOT(ISERROR(SEARCH("Ongoing",AB15)))</formula>
    </cfRule>
    <cfRule type="containsText" dxfId="41" priority="28" operator="containsText" text="Passed">
      <formula>NOT(ISERROR(SEARCH("Passed",AB15)))</formula>
    </cfRule>
  </conditionalFormatting>
  <conditionalFormatting sqref="AB15:AB18">
    <cfRule type="containsText" dxfId="40" priority="22" operator="containsText" text="N/A">
      <formula>NOT(ISERROR(SEARCH("N/A",AB15)))</formula>
    </cfRule>
    <cfRule type="containsText" dxfId="39" priority="23" operator="containsText" text="Out-of-scope">
      <formula>NOT(ISERROR(SEARCH("Out-of-scope",AB15)))</formula>
    </cfRule>
  </conditionalFormatting>
  <conditionalFormatting sqref="BA15:BB18">
    <cfRule type="containsText" dxfId="38" priority="17" operator="containsText" text="Deferred">
      <formula>NOT(ISERROR(SEARCH("Deferred",BA15)))</formula>
    </cfRule>
    <cfRule type="containsText" dxfId="37" priority="18" operator="containsText" text="Blocked">
      <formula>NOT(ISERROR(SEARCH("Blocked",BA15)))</formula>
    </cfRule>
    <cfRule type="containsText" dxfId="36" priority="19" operator="containsText" text="Failed">
      <formula>NOT(ISERROR(SEARCH("Failed",BA15)))</formula>
    </cfRule>
    <cfRule type="containsText" dxfId="35" priority="20" operator="containsText" text="Ongoing">
      <formula>NOT(ISERROR(SEARCH("Ongoing",BA15)))</formula>
    </cfRule>
    <cfRule type="containsText" dxfId="34" priority="21" operator="containsText" text="Passed">
      <formula>NOT(ISERROR(SEARCH("Passed",BA15)))</formula>
    </cfRule>
  </conditionalFormatting>
  <conditionalFormatting sqref="BA15:BB18">
    <cfRule type="containsText" dxfId="33" priority="15" operator="containsText" text="N/A">
      <formula>NOT(ISERROR(SEARCH("N/A",BA15)))</formula>
    </cfRule>
    <cfRule type="containsText" dxfId="32" priority="16" operator="containsText" text="Out-of-scope">
      <formula>NOT(ISERROR(SEARCH("Out-of-scope",BA15)))</formula>
    </cfRule>
  </conditionalFormatting>
  <conditionalFormatting sqref="AV15:AW18">
    <cfRule type="containsText" dxfId="31" priority="10" operator="containsText" text="Deferred">
      <formula>NOT(ISERROR(SEARCH("Deferred",AV15)))</formula>
    </cfRule>
    <cfRule type="containsText" dxfId="30" priority="11" operator="containsText" text="Blocked">
      <formula>NOT(ISERROR(SEARCH("Blocked",AV15)))</formula>
    </cfRule>
    <cfRule type="containsText" dxfId="29" priority="12" operator="containsText" text="Failed">
      <formula>NOT(ISERROR(SEARCH("Failed",AV15)))</formula>
    </cfRule>
    <cfRule type="containsText" dxfId="28" priority="13" operator="containsText" text="Ongoing">
      <formula>NOT(ISERROR(SEARCH("Ongoing",AV15)))</formula>
    </cfRule>
    <cfRule type="containsText" dxfId="27" priority="14" operator="containsText" text="Passed">
      <formula>NOT(ISERROR(SEARCH("Passed",AV15)))</formula>
    </cfRule>
  </conditionalFormatting>
  <conditionalFormatting sqref="AV15:AW18">
    <cfRule type="containsText" dxfId="26" priority="8" operator="containsText" text="N/A">
      <formula>NOT(ISERROR(SEARCH("N/A",AV15)))</formula>
    </cfRule>
    <cfRule type="containsText" dxfId="25" priority="9" operator="containsText" text="Out-of-scope">
      <formula>NOT(ISERROR(SEARCH("Out-of-scope",AV15)))</formula>
    </cfRule>
  </conditionalFormatting>
  <conditionalFormatting sqref="AQ15:AR18">
    <cfRule type="containsText" dxfId="24" priority="3" operator="containsText" text="Deferred">
      <formula>NOT(ISERROR(SEARCH("Deferred",AQ15)))</formula>
    </cfRule>
    <cfRule type="containsText" dxfId="23" priority="4" operator="containsText" text="Blocked">
      <formula>NOT(ISERROR(SEARCH("Blocked",AQ15)))</formula>
    </cfRule>
    <cfRule type="containsText" dxfId="22" priority="5" operator="containsText" text="Failed">
      <formula>NOT(ISERROR(SEARCH("Failed",AQ15)))</formula>
    </cfRule>
    <cfRule type="containsText" dxfId="21" priority="6" operator="containsText" text="Ongoing">
      <formula>NOT(ISERROR(SEARCH("Ongoing",AQ15)))</formula>
    </cfRule>
    <cfRule type="containsText" dxfId="20" priority="7" operator="containsText" text="Passed">
      <formula>NOT(ISERROR(SEARCH("Passed",AQ15)))</formula>
    </cfRule>
  </conditionalFormatting>
  <conditionalFormatting sqref="AQ15:AR18">
    <cfRule type="containsText" dxfId="19" priority="1" operator="containsText" text="N/A">
      <formula>NOT(ISERROR(SEARCH("N/A",AQ15)))</formula>
    </cfRule>
    <cfRule type="containsText" dxfId="18" priority="2" operator="containsText" text="Out-of-scope">
      <formula>NOT(ISERROR(SEARCH("Out-of-scope",AQ15)))</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7">
        <x14:dataValidation type="list" allowBlank="1" showInputMessage="1" showErrorMessage="1">
          <x14:formula1>
            <xm:f>'QA References'!$F$111:$F$114</xm:f>
          </x14:formula1>
          <xm:sqref>H14</xm:sqref>
        </x14:dataValidation>
        <x14:dataValidation type="list" allowBlank="1" showInputMessage="1" showErrorMessage="1">
          <x14:formula1>
            <xm:f>'QA References'!$B$122:$B$145</xm:f>
          </x14:formula1>
          <xm:sqref>P10:P19 U10:U19 Z10:Z19 AE10:AE19 AJ10:AJ19 AT10:AT13 AY10:AY13 K10:K19 AO10:AO13 AT15:AT18 AY15:AY18 AO15:AO18</xm:sqref>
        </x14:dataValidation>
        <x14:dataValidation type="list" allowBlank="1" showInputMessage="1" showErrorMessage="1">
          <x14:formula1>
            <xm:f>'QA References'!$E$122:$E$125</xm:f>
          </x14:formula1>
          <xm:sqref>Q10:Q19 V10:V19 AA10:AA19 AF10:AF19 AK10:AK19 AU10:AU13 AZ10:AZ13 L10:L19 AP10:AP13 AB14 AU15:AU18 AZ15:AZ18 AP15:AP18</xm:sqref>
        </x14:dataValidation>
        <x14:dataValidation type="list" allowBlank="1" showInputMessage="1" showErrorMessage="1">
          <x14:formula1>
            <xm:f>'QA References'!$B$111:$B$116</xm:f>
          </x14:formula1>
          <xm:sqref>F10:F19</xm:sqref>
        </x14:dataValidation>
        <x14:dataValidation type="list" allowBlank="1" showInputMessage="1" showErrorMessage="1">
          <x14:formula1>
            <xm:f>'QA References'!$E$129:$E$137</xm:f>
          </x14:formula1>
          <xm:sqref>AQ10:AR13 R10:R19 W10:X19 AC10:AC19 AG10:AH19 AL10:AM19 AV10:AW13 M10:M19 BA10:BB13 AB10:AB13 AB15:AB19 AQ15:AR18 AV15:AW18 BA15:BB18</xm:sqref>
        </x14:dataValidation>
        <x14:dataValidation type="list" allowBlank="1" showInputMessage="1" showErrorMessage="1">
          <x14:formula1>
            <xm:f>'QA References'!$F$111:$F$115</xm:f>
          </x14:formula1>
          <xm:sqref>H10:H13 H15:H19</xm:sqref>
        </x14:dataValidation>
        <x14:dataValidation type="list" allowBlank="1" showInputMessage="1" showErrorMessage="1">
          <x14:formula1>
            <xm:f>'QA References'!$D$111:$D$117</xm:f>
          </x14:formula1>
          <xm:sqref>G10:G19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1208"/>
  <sheetViews>
    <sheetView topLeftCell="B7" workbookViewId="0">
      <selection activeCell="H15" sqref="H15"/>
    </sheetView>
  </sheetViews>
  <sheetFormatPr defaultRowHeight="11.25"/>
  <cols>
    <col min="1" max="1" width="15.625" style="281" customWidth="1"/>
    <col min="2" max="5" width="30.625" style="282" customWidth="1"/>
    <col min="6" max="6" width="11" style="277" customWidth="1"/>
    <col min="7" max="7" width="9.5" style="277" customWidth="1"/>
    <col min="8" max="9" width="11.375" style="277" customWidth="1"/>
    <col min="10" max="10" width="13.875" style="277" customWidth="1"/>
    <col min="11" max="11" width="10.5" style="277" customWidth="1"/>
    <col min="12" max="12" width="11.375" style="277" customWidth="1"/>
    <col min="13" max="13" width="13.875" style="277" customWidth="1"/>
    <col min="14" max="15" width="11.375" style="277" bestFit="1" customWidth="1"/>
    <col min="16" max="16" width="9" style="277"/>
    <col min="17" max="17" width="31.125" style="277" customWidth="1"/>
    <col min="18" max="18" width="37.125" style="282" customWidth="1"/>
    <col min="19" max="19" width="6" style="277" customWidth="1"/>
    <col min="20" max="20" width="8.5" style="277" customWidth="1"/>
    <col min="21" max="21" width="9.5" style="277" customWidth="1"/>
    <col min="22" max="259" width="9" style="277"/>
    <col min="260" max="260" width="5.25" style="277" customWidth="1"/>
    <col min="261" max="261" width="7.125" style="277" customWidth="1"/>
    <col min="262" max="262" width="5.75" style="277" customWidth="1"/>
    <col min="263" max="263" width="7.125" style="277" customWidth="1"/>
    <col min="264" max="264" width="6.5" style="277" customWidth="1"/>
    <col min="265" max="265" width="5.875" style="277" customWidth="1"/>
    <col min="266" max="266" width="7.5" style="277" customWidth="1"/>
    <col min="267" max="267" width="8.25" style="277" customWidth="1"/>
    <col min="268" max="268" width="27.5" style="277" customWidth="1"/>
    <col min="269" max="269" width="7" style="277" customWidth="1"/>
    <col min="270" max="270" width="8.125" style="277" customWidth="1"/>
    <col min="271" max="271" width="8.25" style="277" customWidth="1"/>
    <col min="272" max="272" width="9" style="277"/>
    <col min="273" max="273" width="31.125" style="277" customWidth="1"/>
    <col min="274" max="274" width="37.125" style="277" customWidth="1"/>
    <col min="275" max="275" width="6" style="277" customWidth="1"/>
    <col min="276" max="276" width="8.5" style="277" customWidth="1"/>
    <col min="277" max="277" width="9.5" style="277" customWidth="1"/>
    <col min="278" max="515" width="9" style="277"/>
    <col min="516" max="516" width="5.25" style="277" customWidth="1"/>
    <col min="517" max="517" width="7.125" style="277" customWidth="1"/>
    <col min="518" max="518" width="5.75" style="277" customWidth="1"/>
    <col min="519" max="519" width="7.125" style="277" customWidth="1"/>
    <col min="520" max="520" width="6.5" style="277" customWidth="1"/>
    <col min="521" max="521" width="5.875" style="277" customWidth="1"/>
    <col min="522" max="522" width="7.5" style="277" customWidth="1"/>
    <col min="523" max="523" width="8.25" style="277" customWidth="1"/>
    <col min="524" max="524" width="27.5" style="277" customWidth="1"/>
    <col min="525" max="525" width="7" style="277" customWidth="1"/>
    <col min="526" max="526" width="8.125" style="277" customWidth="1"/>
    <col min="527" max="527" width="8.25" style="277" customWidth="1"/>
    <col min="528" max="528" width="9" style="277"/>
    <col min="529" max="529" width="31.125" style="277" customWidth="1"/>
    <col min="530" max="530" width="37.125" style="277" customWidth="1"/>
    <col min="531" max="531" width="6" style="277" customWidth="1"/>
    <col min="532" max="532" width="8.5" style="277" customWidth="1"/>
    <col min="533" max="533" width="9.5" style="277" customWidth="1"/>
    <col min="534" max="771" width="9" style="277"/>
    <col min="772" max="772" width="5.25" style="277" customWidth="1"/>
    <col min="773" max="773" width="7.125" style="277" customWidth="1"/>
    <col min="774" max="774" width="5.75" style="277" customWidth="1"/>
    <col min="775" max="775" width="7.125" style="277" customWidth="1"/>
    <col min="776" max="776" width="6.5" style="277" customWidth="1"/>
    <col min="777" max="777" width="5.875" style="277" customWidth="1"/>
    <col min="778" max="778" width="7.5" style="277" customWidth="1"/>
    <col min="779" max="779" width="8.25" style="277" customWidth="1"/>
    <col min="780" max="780" width="27.5" style="277" customWidth="1"/>
    <col min="781" max="781" width="7" style="277" customWidth="1"/>
    <col min="782" max="782" width="8.125" style="277" customWidth="1"/>
    <col min="783" max="783" width="8.25" style="277" customWidth="1"/>
    <col min="784" max="784" width="9" style="277"/>
    <col min="785" max="785" width="31.125" style="277" customWidth="1"/>
    <col min="786" max="786" width="37.125" style="277" customWidth="1"/>
    <col min="787" max="787" width="6" style="277" customWidth="1"/>
    <col min="788" max="788" width="8.5" style="277" customWidth="1"/>
    <col min="789" max="789" width="9.5" style="277" customWidth="1"/>
    <col min="790" max="1027" width="9" style="277"/>
    <col min="1028" max="1028" width="5.25" style="277" customWidth="1"/>
    <col min="1029" max="1029" width="7.125" style="277" customWidth="1"/>
    <col min="1030" max="1030" width="5.75" style="277" customWidth="1"/>
    <col min="1031" max="1031" width="7.125" style="277" customWidth="1"/>
    <col min="1032" max="1032" width="6.5" style="277" customWidth="1"/>
    <col min="1033" max="1033" width="5.875" style="277" customWidth="1"/>
    <col min="1034" max="1034" width="7.5" style="277" customWidth="1"/>
    <col min="1035" max="1035" width="8.25" style="277" customWidth="1"/>
    <col min="1036" max="1036" width="27.5" style="277" customWidth="1"/>
    <col min="1037" max="1037" width="7" style="277" customWidth="1"/>
    <col min="1038" max="1038" width="8.125" style="277" customWidth="1"/>
    <col min="1039" max="1039" width="8.25" style="277" customWidth="1"/>
    <col min="1040" max="1040" width="9" style="277"/>
    <col min="1041" max="1041" width="31.125" style="277" customWidth="1"/>
    <col min="1042" max="1042" width="37.125" style="277" customWidth="1"/>
    <col min="1043" max="1043" width="6" style="277" customWidth="1"/>
    <col min="1044" max="1044" width="8.5" style="277" customWidth="1"/>
    <col min="1045" max="1045" width="9.5" style="277" customWidth="1"/>
    <col min="1046" max="1283" width="9" style="277"/>
    <col min="1284" max="1284" width="5.25" style="277" customWidth="1"/>
    <col min="1285" max="1285" width="7.125" style="277" customWidth="1"/>
    <col min="1286" max="1286" width="5.75" style="277" customWidth="1"/>
    <col min="1287" max="1287" width="7.125" style="277" customWidth="1"/>
    <col min="1288" max="1288" width="6.5" style="277" customWidth="1"/>
    <col min="1289" max="1289" width="5.875" style="277" customWidth="1"/>
    <col min="1290" max="1290" width="7.5" style="277" customWidth="1"/>
    <col min="1291" max="1291" width="8.25" style="277" customWidth="1"/>
    <col min="1292" max="1292" width="27.5" style="277" customWidth="1"/>
    <col min="1293" max="1293" width="7" style="277" customWidth="1"/>
    <col min="1294" max="1294" width="8.125" style="277" customWidth="1"/>
    <col min="1295" max="1295" width="8.25" style="277" customWidth="1"/>
    <col min="1296" max="1296" width="9" style="277"/>
    <col min="1297" max="1297" width="31.125" style="277" customWidth="1"/>
    <col min="1298" max="1298" width="37.125" style="277" customWidth="1"/>
    <col min="1299" max="1299" width="6" style="277" customWidth="1"/>
    <col min="1300" max="1300" width="8.5" style="277" customWidth="1"/>
    <col min="1301" max="1301" width="9.5" style="277" customWidth="1"/>
    <col min="1302" max="1539" width="9" style="277"/>
    <col min="1540" max="1540" width="5.25" style="277" customWidth="1"/>
    <col min="1541" max="1541" width="7.125" style="277" customWidth="1"/>
    <col min="1542" max="1542" width="5.75" style="277" customWidth="1"/>
    <col min="1543" max="1543" width="7.125" style="277" customWidth="1"/>
    <col min="1544" max="1544" width="6.5" style="277" customWidth="1"/>
    <col min="1545" max="1545" width="5.875" style="277" customWidth="1"/>
    <col min="1546" max="1546" width="7.5" style="277" customWidth="1"/>
    <col min="1547" max="1547" width="8.25" style="277" customWidth="1"/>
    <col min="1548" max="1548" width="27.5" style="277" customWidth="1"/>
    <col min="1549" max="1549" width="7" style="277" customWidth="1"/>
    <col min="1550" max="1550" width="8.125" style="277" customWidth="1"/>
    <col min="1551" max="1551" width="8.25" style="277" customWidth="1"/>
    <col min="1552" max="1552" width="9" style="277"/>
    <col min="1553" max="1553" width="31.125" style="277" customWidth="1"/>
    <col min="1554" max="1554" width="37.125" style="277" customWidth="1"/>
    <col min="1555" max="1555" width="6" style="277" customWidth="1"/>
    <col min="1556" max="1556" width="8.5" style="277" customWidth="1"/>
    <col min="1557" max="1557" width="9.5" style="277" customWidth="1"/>
    <col min="1558" max="1795" width="9" style="277"/>
    <col min="1796" max="1796" width="5.25" style="277" customWidth="1"/>
    <col min="1797" max="1797" width="7.125" style="277" customWidth="1"/>
    <col min="1798" max="1798" width="5.75" style="277" customWidth="1"/>
    <col min="1799" max="1799" width="7.125" style="277" customWidth="1"/>
    <col min="1800" max="1800" width="6.5" style="277" customWidth="1"/>
    <col min="1801" max="1801" width="5.875" style="277" customWidth="1"/>
    <col min="1802" max="1802" width="7.5" style="277" customWidth="1"/>
    <col min="1803" max="1803" width="8.25" style="277" customWidth="1"/>
    <col min="1804" max="1804" width="27.5" style="277" customWidth="1"/>
    <col min="1805" max="1805" width="7" style="277" customWidth="1"/>
    <col min="1806" max="1806" width="8.125" style="277" customWidth="1"/>
    <col min="1807" max="1807" width="8.25" style="277" customWidth="1"/>
    <col min="1808" max="1808" width="9" style="277"/>
    <col min="1809" max="1809" width="31.125" style="277" customWidth="1"/>
    <col min="1810" max="1810" width="37.125" style="277" customWidth="1"/>
    <col min="1811" max="1811" width="6" style="277" customWidth="1"/>
    <col min="1812" max="1812" width="8.5" style="277" customWidth="1"/>
    <col min="1813" max="1813" width="9.5" style="277" customWidth="1"/>
    <col min="1814" max="2051" width="9" style="277"/>
    <col min="2052" max="2052" width="5.25" style="277" customWidth="1"/>
    <col min="2053" max="2053" width="7.125" style="277" customWidth="1"/>
    <col min="2054" max="2054" width="5.75" style="277" customWidth="1"/>
    <col min="2055" max="2055" width="7.125" style="277" customWidth="1"/>
    <col min="2056" max="2056" width="6.5" style="277" customWidth="1"/>
    <col min="2057" max="2057" width="5.875" style="277" customWidth="1"/>
    <col min="2058" max="2058" width="7.5" style="277" customWidth="1"/>
    <col min="2059" max="2059" width="8.25" style="277" customWidth="1"/>
    <col min="2060" max="2060" width="27.5" style="277" customWidth="1"/>
    <col min="2061" max="2061" width="7" style="277" customWidth="1"/>
    <col min="2062" max="2062" width="8.125" style="277" customWidth="1"/>
    <col min="2063" max="2063" width="8.25" style="277" customWidth="1"/>
    <col min="2064" max="2064" width="9" style="277"/>
    <col min="2065" max="2065" width="31.125" style="277" customWidth="1"/>
    <col min="2066" max="2066" width="37.125" style="277" customWidth="1"/>
    <col min="2067" max="2067" width="6" style="277" customWidth="1"/>
    <col min="2068" max="2068" width="8.5" style="277" customWidth="1"/>
    <col min="2069" max="2069" width="9.5" style="277" customWidth="1"/>
    <col min="2070" max="2307" width="9" style="277"/>
    <col min="2308" max="2308" width="5.25" style="277" customWidth="1"/>
    <col min="2309" max="2309" width="7.125" style="277" customWidth="1"/>
    <col min="2310" max="2310" width="5.75" style="277" customWidth="1"/>
    <col min="2311" max="2311" width="7.125" style="277" customWidth="1"/>
    <col min="2312" max="2312" width="6.5" style="277" customWidth="1"/>
    <col min="2313" max="2313" width="5.875" style="277" customWidth="1"/>
    <col min="2314" max="2314" width="7.5" style="277" customWidth="1"/>
    <col min="2315" max="2315" width="8.25" style="277" customWidth="1"/>
    <col min="2316" max="2316" width="27.5" style="277" customWidth="1"/>
    <col min="2317" max="2317" width="7" style="277" customWidth="1"/>
    <col min="2318" max="2318" width="8.125" style="277" customWidth="1"/>
    <col min="2319" max="2319" width="8.25" style="277" customWidth="1"/>
    <col min="2320" max="2320" width="9" style="277"/>
    <col min="2321" max="2321" width="31.125" style="277" customWidth="1"/>
    <col min="2322" max="2322" width="37.125" style="277" customWidth="1"/>
    <col min="2323" max="2323" width="6" style="277" customWidth="1"/>
    <col min="2324" max="2324" width="8.5" style="277" customWidth="1"/>
    <col min="2325" max="2325" width="9.5" style="277" customWidth="1"/>
    <col min="2326" max="2563" width="9" style="277"/>
    <col min="2564" max="2564" width="5.25" style="277" customWidth="1"/>
    <col min="2565" max="2565" width="7.125" style="277" customWidth="1"/>
    <col min="2566" max="2566" width="5.75" style="277" customWidth="1"/>
    <col min="2567" max="2567" width="7.125" style="277" customWidth="1"/>
    <col min="2568" max="2568" width="6.5" style="277" customWidth="1"/>
    <col min="2569" max="2569" width="5.875" style="277" customWidth="1"/>
    <col min="2570" max="2570" width="7.5" style="277" customWidth="1"/>
    <col min="2571" max="2571" width="8.25" style="277" customWidth="1"/>
    <col min="2572" max="2572" width="27.5" style="277" customWidth="1"/>
    <col min="2573" max="2573" width="7" style="277" customWidth="1"/>
    <col min="2574" max="2574" width="8.125" style="277" customWidth="1"/>
    <col min="2575" max="2575" width="8.25" style="277" customWidth="1"/>
    <col min="2576" max="2576" width="9" style="277"/>
    <col min="2577" max="2577" width="31.125" style="277" customWidth="1"/>
    <col min="2578" max="2578" width="37.125" style="277" customWidth="1"/>
    <col min="2579" max="2579" width="6" style="277" customWidth="1"/>
    <col min="2580" max="2580" width="8.5" style="277" customWidth="1"/>
    <col min="2581" max="2581" width="9.5" style="277" customWidth="1"/>
    <col min="2582" max="2819" width="9" style="277"/>
    <col min="2820" max="2820" width="5.25" style="277" customWidth="1"/>
    <col min="2821" max="2821" width="7.125" style="277" customWidth="1"/>
    <col min="2822" max="2822" width="5.75" style="277" customWidth="1"/>
    <col min="2823" max="2823" width="7.125" style="277" customWidth="1"/>
    <col min="2824" max="2824" width="6.5" style="277" customWidth="1"/>
    <col min="2825" max="2825" width="5.875" style="277" customWidth="1"/>
    <col min="2826" max="2826" width="7.5" style="277" customWidth="1"/>
    <col min="2827" max="2827" width="8.25" style="277" customWidth="1"/>
    <col min="2828" max="2828" width="27.5" style="277" customWidth="1"/>
    <col min="2829" max="2829" width="7" style="277" customWidth="1"/>
    <col min="2830" max="2830" width="8.125" style="277" customWidth="1"/>
    <col min="2831" max="2831" width="8.25" style="277" customWidth="1"/>
    <col min="2832" max="2832" width="9" style="277"/>
    <col min="2833" max="2833" width="31.125" style="277" customWidth="1"/>
    <col min="2834" max="2834" width="37.125" style="277" customWidth="1"/>
    <col min="2835" max="2835" width="6" style="277" customWidth="1"/>
    <col min="2836" max="2836" width="8.5" style="277" customWidth="1"/>
    <col min="2837" max="2837" width="9.5" style="277" customWidth="1"/>
    <col min="2838" max="3075" width="9" style="277"/>
    <col min="3076" max="3076" width="5.25" style="277" customWidth="1"/>
    <col min="3077" max="3077" width="7.125" style="277" customWidth="1"/>
    <col min="3078" max="3078" width="5.75" style="277" customWidth="1"/>
    <col min="3079" max="3079" width="7.125" style="277" customWidth="1"/>
    <col min="3080" max="3080" width="6.5" style="277" customWidth="1"/>
    <col min="3081" max="3081" width="5.875" style="277" customWidth="1"/>
    <col min="3082" max="3082" width="7.5" style="277" customWidth="1"/>
    <col min="3083" max="3083" width="8.25" style="277" customWidth="1"/>
    <col min="3084" max="3084" width="27.5" style="277" customWidth="1"/>
    <col min="3085" max="3085" width="7" style="277" customWidth="1"/>
    <col min="3086" max="3086" width="8.125" style="277" customWidth="1"/>
    <col min="3087" max="3087" width="8.25" style="277" customWidth="1"/>
    <col min="3088" max="3088" width="9" style="277"/>
    <col min="3089" max="3089" width="31.125" style="277" customWidth="1"/>
    <col min="3090" max="3090" width="37.125" style="277" customWidth="1"/>
    <col min="3091" max="3091" width="6" style="277" customWidth="1"/>
    <col min="3092" max="3092" width="8.5" style="277" customWidth="1"/>
    <col min="3093" max="3093" width="9.5" style="277" customWidth="1"/>
    <col min="3094" max="3331" width="9" style="277"/>
    <col min="3332" max="3332" width="5.25" style="277" customWidth="1"/>
    <col min="3333" max="3333" width="7.125" style="277" customWidth="1"/>
    <col min="3334" max="3334" width="5.75" style="277" customWidth="1"/>
    <col min="3335" max="3335" width="7.125" style="277" customWidth="1"/>
    <col min="3336" max="3336" width="6.5" style="277" customWidth="1"/>
    <col min="3337" max="3337" width="5.875" style="277" customWidth="1"/>
    <col min="3338" max="3338" width="7.5" style="277" customWidth="1"/>
    <col min="3339" max="3339" width="8.25" style="277" customWidth="1"/>
    <col min="3340" max="3340" width="27.5" style="277" customWidth="1"/>
    <col min="3341" max="3341" width="7" style="277" customWidth="1"/>
    <col min="3342" max="3342" width="8.125" style="277" customWidth="1"/>
    <col min="3343" max="3343" width="8.25" style="277" customWidth="1"/>
    <col min="3344" max="3344" width="9" style="277"/>
    <col min="3345" max="3345" width="31.125" style="277" customWidth="1"/>
    <col min="3346" max="3346" width="37.125" style="277" customWidth="1"/>
    <col min="3347" max="3347" width="6" style="277" customWidth="1"/>
    <col min="3348" max="3348" width="8.5" style="277" customWidth="1"/>
    <col min="3349" max="3349" width="9.5" style="277" customWidth="1"/>
    <col min="3350" max="3587" width="9" style="277"/>
    <col min="3588" max="3588" width="5.25" style="277" customWidth="1"/>
    <col min="3589" max="3589" width="7.125" style="277" customWidth="1"/>
    <col min="3590" max="3590" width="5.75" style="277" customWidth="1"/>
    <col min="3591" max="3591" width="7.125" style="277" customWidth="1"/>
    <col min="3592" max="3592" width="6.5" style="277" customWidth="1"/>
    <col min="3593" max="3593" width="5.875" style="277" customWidth="1"/>
    <col min="3594" max="3594" width="7.5" style="277" customWidth="1"/>
    <col min="3595" max="3595" width="8.25" style="277" customWidth="1"/>
    <col min="3596" max="3596" width="27.5" style="277" customWidth="1"/>
    <col min="3597" max="3597" width="7" style="277" customWidth="1"/>
    <col min="3598" max="3598" width="8.125" style="277" customWidth="1"/>
    <col min="3599" max="3599" width="8.25" style="277" customWidth="1"/>
    <col min="3600" max="3600" width="9" style="277"/>
    <col min="3601" max="3601" width="31.125" style="277" customWidth="1"/>
    <col min="3602" max="3602" width="37.125" style="277" customWidth="1"/>
    <col min="3603" max="3603" width="6" style="277" customWidth="1"/>
    <col min="3604" max="3604" width="8.5" style="277" customWidth="1"/>
    <col min="3605" max="3605" width="9.5" style="277" customWidth="1"/>
    <col min="3606" max="3843" width="9" style="277"/>
    <col min="3844" max="3844" width="5.25" style="277" customWidth="1"/>
    <col min="3845" max="3845" width="7.125" style="277" customWidth="1"/>
    <col min="3846" max="3846" width="5.75" style="277" customWidth="1"/>
    <col min="3847" max="3847" width="7.125" style="277" customWidth="1"/>
    <col min="3848" max="3848" width="6.5" style="277" customWidth="1"/>
    <col min="3849" max="3849" width="5.875" style="277" customWidth="1"/>
    <col min="3850" max="3850" width="7.5" style="277" customWidth="1"/>
    <col min="3851" max="3851" width="8.25" style="277" customWidth="1"/>
    <col min="3852" max="3852" width="27.5" style="277" customWidth="1"/>
    <col min="3853" max="3853" width="7" style="277" customWidth="1"/>
    <col min="3854" max="3854" width="8.125" style="277" customWidth="1"/>
    <col min="3855" max="3855" width="8.25" style="277" customWidth="1"/>
    <col min="3856" max="3856" width="9" style="277"/>
    <col min="3857" max="3857" width="31.125" style="277" customWidth="1"/>
    <col min="3858" max="3858" width="37.125" style="277" customWidth="1"/>
    <col min="3859" max="3859" width="6" style="277" customWidth="1"/>
    <col min="3860" max="3860" width="8.5" style="277" customWidth="1"/>
    <col min="3861" max="3861" width="9.5" style="277" customWidth="1"/>
    <col min="3862" max="4099" width="9" style="277"/>
    <col min="4100" max="4100" width="5.25" style="277" customWidth="1"/>
    <col min="4101" max="4101" width="7.125" style="277" customWidth="1"/>
    <col min="4102" max="4102" width="5.75" style="277" customWidth="1"/>
    <col min="4103" max="4103" width="7.125" style="277" customWidth="1"/>
    <col min="4104" max="4104" width="6.5" style="277" customWidth="1"/>
    <col min="4105" max="4105" width="5.875" style="277" customWidth="1"/>
    <col min="4106" max="4106" width="7.5" style="277" customWidth="1"/>
    <col min="4107" max="4107" width="8.25" style="277" customWidth="1"/>
    <col min="4108" max="4108" width="27.5" style="277" customWidth="1"/>
    <col min="4109" max="4109" width="7" style="277" customWidth="1"/>
    <col min="4110" max="4110" width="8.125" style="277" customWidth="1"/>
    <col min="4111" max="4111" width="8.25" style="277" customWidth="1"/>
    <col min="4112" max="4112" width="9" style="277"/>
    <col min="4113" max="4113" width="31.125" style="277" customWidth="1"/>
    <col min="4114" max="4114" width="37.125" style="277" customWidth="1"/>
    <col min="4115" max="4115" width="6" style="277" customWidth="1"/>
    <col min="4116" max="4116" width="8.5" style="277" customWidth="1"/>
    <col min="4117" max="4117" width="9.5" style="277" customWidth="1"/>
    <col min="4118" max="4355" width="9" style="277"/>
    <col min="4356" max="4356" width="5.25" style="277" customWidth="1"/>
    <col min="4357" max="4357" width="7.125" style="277" customWidth="1"/>
    <col min="4358" max="4358" width="5.75" style="277" customWidth="1"/>
    <col min="4359" max="4359" width="7.125" style="277" customWidth="1"/>
    <col min="4360" max="4360" width="6.5" style="277" customWidth="1"/>
    <col min="4361" max="4361" width="5.875" style="277" customWidth="1"/>
    <col min="4362" max="4362" width="7.5" style="277" customWidth="1"/>
    <col min="4363" max="4363" width="8.25" style="277" customWidth="1"/>
    <col min="4364" max="4364" width="27.5" style="277" customWidth="1"/>
    <col min="4365" max="4365" width="7" style="277" customWidth="1"/>
    <col min="4366" max="4366" width="8.125" style="277" customWidth="1"/>
    <col min="4367" max="4367" width="8.25" style="277" customWidth="1"/>
    <col min="4368" max="4368" width="9" style="277"/>
    <col min="4369" max="4369" width="31.125" style="277" customWidth="1"/>
    <col min="4370" max="4370" width="37.125" style="277" customWidth="1"/>
    <col min="4371" max="4371" width="6" style="277" customWidth="1"/>
    <col min="4372" max="4372" width="8.5" style="277" customWidth="1"/>
    <col min="4373" max="4373" width="9.5" style="277" customWidth="1"/>
    <col min="4374" max="4611" width="9" style="277"/>
    <col min="4612" max="4612" width="5.25" style="277" customWidth="1"/>
    <col min="4613" max="4613" width="7.125" style="277" customWidth="1"/>
    <col min="4614" max="4614" width="5.75" style="277" customWidth="1"/>
    <col min="4615" max="4615" width="7.125" style="277" customWidth="1"/>
    <col min="4616" max="4616" width="6.5" style="277" customWidth="1"/>
    <col min="4617" max="4617" width="5.875" style="277" customWidth="1"/>
    <col min="4618" max="4618" width="7.5" style="277" customWidth="1"/>
    <col min="4619" max="4619" width="8.25" style="277" customWidth="1"/>
    <col min="4620" max="4620" width="27.5" style="277" customWidth="1"/>
    <col min="4621" max="4621" width="7" style="277" customWidth="1"/>
    <col min="4622" max="4622" width="8.125" style="277" customWidth="1"/>
    <col min="4623" max="4623" width="8.25" style="277" customWidth="1"/>
    <col min="4624" max="4624" width="9" style="277"/>
    <col min="4625" max="4625" width="31.125" style="277" customWidth="1"/>
    <col min="4626" max="4626" width="37.125" style="277" customWidth="1"/>
    <col min="4627" max="4627" width="6" style="277" customWidth="1"/>
    <col min="4628" max="4628" width="8.5" style="277" customWidth="1"/>
    <col min="4629" max="4629" width="9.5" style="277" customWidth="1"/>
    <col min="4630" max="4867" width="9" style="277"/>
    <col min="4868" max="4868" width="5.25" style="277" customWidth="1"/>
    <col min="4869" max="4869" width="7.125" style="277" customWidth="1"/>
    <col min="4870" max="4870" width="5.75" style="277" customWidth="1"/>
    <col min="4871" max="4871" width="7.125" style="277" customWidth="1"/>
    <col min="4872" max="4872" width="6.5" style="277" customWidth="1"/>
    <col min="4873" max="4873" width="5.875" style="277" customWidth="1"/>
    <col min="4874" max="4874" width="7.5" style="277" customWidth="1"/>
    <col min="4875" max="4875" width="8.25" style="277" customWidth="1"/>
    <col min="4876" max="4876" width="27.5" style="277" customWidth="1"/>
    <col min="4877" max="4877" width="7" style="277" customWidth="1"/>
    <col min="4878" max="4878" width="8.125" style="277" customWidth="1"/>
    <col min="4879" max="4879" width="8.25" style="277" customWidth="1"/>
    <col min="4880" max="4880" width="9" style="277"/>
    <col min="4881" max="4881" width="31.125" style="277" customWidth="1"/>
    <col min="4882" max="4882" width="37.125" style="277" customWidth="1"/>
    <col min="4883" max="4883" width="6" style="277" customWidth="1"/>
    <col min="4884" max="4884" width="8.5" style="277" customWidth="1"/>
    <col min="4885" max="4885" width="9.5" style="277" customWidth="1"/>
    <col min="4886" max="5123" width="9" style="277"/>
    <col min="5124" max="5124" width="5.25" style="277" customWidth="1"/>
    <col min="5125" max="5125" width="7.125" style="277" customWidth="1"/>
    <col min="5126" max="5126" width="5.75" style="277" customWidth="1"/>
    <col min="5127" max="5127" width="7.125" style="277" customWidth="1"/>
    <col min="5128" max="5128" width="6.5" style="277" customWidth="1"/>
    <col min="5129" max="5129" width="5.875" style="277" customWidth="1"/>
    <col min="5130" max="5130" width="7.5" style="277" customWidth="1"/>
    <col min="5131" max="5131" width="8.25" style="277" customWidth="1"/>
    <col min="5132" max="5132" width="27.5" style="277" customWidth="1"/>
    <col min="5133" max="5133" width="7" style="277" customWidth="1"/>
    <col min="5134" max="5134" width="8.125" style="277" customWidth="1"/>
    <col min="5135" max="5135" width="8.25" style="277" customWidth="1"/>
    <col min="5136" max="5136" width="9" style="277"/>
    <col min="5137" max="5137" width="31.125" style="277" customWidth="1"/>
    <col min="5138" max="5138" width="37.125" style="277" customWidth="1"/>
    <col min="5139" max="5139" width="6" style="277" customWidth="1"/>
    <col min="5140" max="5140" width="8.5" style="277" customWidth="1"/>
    <col min="5141" max="5141" width="9.5" style="277" customWidth="1"/>
    <col min="5142" max="5379" width="9" style="277"/>
    <col min="5380" max="5380" width="5.25" style="277" customWidth="1"/>
    <col min="5381" max="5381" width="7.125" style="277" customWidth="1"/>
    <col min="5382" max="5382" width="5.75" style="277" customWidth="1"/>
    <col min="5383" max="5383" width="7.125" style="277" customWidth="1"/>
    <col min="5384" max="5384" width="6.5" style="277" customWidth="1"/>
    <col min="5385" max="5385" width="5.875" style="277" customWidth="1"/>
    <col min="5386" max="5386" width="7.5" style="277" customWidth="1"/>
    <col min="5387" max="5387" width="8.25" style="277" customWidth="1"/>
    <col min="5388" max="5388" width="27.5" style="277" customWidth="1"/>
    <col min="5389" max="5389" width="7" style="277" customWidth="1"/>
    <col min="5390" max="5390" width="8.125" style="277" customWidth="1"/>
    <col min="5391" max="5391" width="8.25" style="277" customWidth="1"/>
    <col min="5392" max="5392" width="9" style="277"/>
    <col min="5393" max="5393" width="31.125" style="277" customWidth="1"/>
    <col min="5394" max="5394" width="37.125" style="277" customWidth="1"/>
    <col min="5395" max="5395" width="6" style="277" customWidth="1"/>
    <col min="5396" max="5396" width="8.5" style="277" customWidth="1"/>
    <col min="5397" max="5397" width="9.5" style="277" customWidth="1"/>
    <col min="5398" max="5635" width="9" style="277"/>
    <col min="5636" max="5636" width="5.25" style="277" customWidth="1"/>
    <col min="5637" max="5637" width="7.125" style="277" customWidth="1"/>
    <col min="5638" max="5638" width="5.75" style="277" customWidth="1"/>
    <col min="5639" max="5639" width="7.125" style="277" customWidth="1"/>
    <col min="5640" max="5640" width="6.5" style="277" customWidth="1"/>
    <col min="5641" max="5641" width="5.875" style="277" customWidth="1"/>
    <col min="5642" max="5642" width="7.5" style="277" customWidth="1"/>
    <col min="5643" max="5643" width="8.25" style="277" customWidth="1"/>
    <col min="5644" max="5644" width="27.5" style="277" customWidth="1"/>
    <col min="5645" max="5645" width="7" style="277" customWidth="1"/>
    <col min="5646" max="5646" width="8.125" style="277" customWidth="1"/>
    <col min="5647" max="5647" width="8.25" style="277" customWidth="1"/>
    <col min="5648" max="5648" width="9" style="277"/>
    <col min="5649" max="5649" width="31.125" style="277" customWidth="1"/>
    <col min="5650" max="5650" width="37.125" style="277" customWidth="1"/>
    <col min="5651" max="5651" width="6" style="277" customWidth="1"/>
    <col min="5652" max="5652" width="8.5" style="277" customWidth="1"/>
    <col min="5653" max="5653" width="9.5" style="277" customWidth="1"/>
    <col min="5654" max="5891" width="9" style="277"/>
    <col min="5892" max="5892" width="5.25" style="277" customWidth="1"/>
    <col min="5893" max="5893" width="7.125" style="277" customWidth="1"/>
    <col min="5894" max="5894" width="5.75" style="277" customWidth="1"/>
    <col min="5895" max="5895" width="7.125" style="277" customWidth="1"/>
    <col min="5896" max="5896" width="6.5" style="277" customWidth="1"/>
    <col min="5897" max="5897" width="5.875" style="277" customWidth="1"/>
    <col min="5898" max="5898" width="7.5" style="277" customWidth="1"/>
    <col min="5899" max="5899" width="8.25" style="277" customWidth="1"/>
    <col min="5900" max="5900" width="27.5" style="277" customWidth="1"/>
    <col min="5901" max="5901" width="7" style="277" customWidth="1"/>
    <col min="5902" max="5902" width="8.125" style="277" customWidth="1"/>
    <col min="5903" max="5903" width="8.25" style="277" customWidth="1"/>
    <col min="5904" max="5904" width="9" style="277"/>
    <col min="5905" max="5905" width="31.125" style="277" customWidth="1"/>
    <col min="5906" max="5906" width="37.125" style="277" customWidth="1"/>
    <col min="5907" max="5907" width="6" style="277" customWidth="1"/>
    <col min="5908" max="5908" width="8.5" style="277" customWidth="1"/>
    <col min="5909" max="5909" width="9.5" style="277" customWidth="1"/>
    <col min="5910" max="6147" width="9" style="277"/>
    <col min="6148" max="6148" width="5.25" style="277" customWidth="1"/>
    <col min="6149" max="6149" width="7.125" style="277" customWidth="1"/>
    <col min="6150" max="6150" width="5.75" style="277" customWidth="1"/>
    <col min="6151" max="6151" width="7.125" style="277" customWidth="1"/>
    <col min="6152" max="6152" width="6.5" style="277" customWidth="1"/>
    <col min="6153" max="6153" width="5.875" style="277" customWidth="1"/>
    <col min="6154" max="6154" width="7.5" style="277" customWidth="1"/>
    <col min="6155" max="6155" width="8.25" style="277" customWidth="1"/>
    <col min="6156" max="6156" width="27.5" style="277" customWidth="1"/>
    <col min="6157" max="6157" width="7" style="277" customWidth="1"/>
    <col min="6158" max="6158" width="8.125" style="277" customWidth="1"/>
    <col min="6159" max="6159" width="8.25" style="277" customWidth="1"/>
    <col min="6160" max="6160" width="9" style="277"/>
    <col min="6161" max="6161" width="31.125" style="277" customWidth="1"/>
    <col min="6162" max="6162" width="37.125" style="277" customWidth="1"/>
    <col min="6163" max="6163" width="6" style="277" customWidth="1"/>
    <col min="6164" max="6164" width="8.5" style="277" customWidth="1"/>
    <col min="6165" max="6165" width="9.5" style="277" customWidth="1"/>
    <col min="6166" max="6403" width="9" style="277"/>
    <col min="6404" max="6404" width="5.25" style="277" customWidth="1"/>
    <col min="6405" max="6405" width="7.125" style="277" customWidth="1"/>
    <col min="6406" max="6406" width="5.75" style="277" customWidth="1"/>
    <col min="6407" max="6407" width="7.125" style="277" customWidth="1"/>
    <col min="6408" max="6408" width="6.5" style="277" customWidth="1"/>
    <col min="6409" max="6409" width="5.875" style="277" customWidth="1"/>
    <col min="6410" max="6410" width="7.5" style="277" customWidth="1"/>
    <col min="6411" max="6411" width="8.25" style="277" customWidth="1"/>
    <col min="6412" max="6412" width="27.5" style="277" customWidth="1"/>
    <col min="6413" max="6413" width="7" style="277" customWidth="1"/>
    <col min="6414" max="6414" width="8.125" style="277" customWidth="1"/>
    <col min="6415" max="6415" width="8.25" style="277" customWidth="1"/>
    <col min="6416" max="6416" width="9" style="277"/>
    <col min="6417" max="6417" width="31.125" style="277" customWidth="1"/>
    <col min="6418" max="6418" width="37.125" style="277" customWidth="1"/>
    <col min="6419" max="6419" width="6" style="277" customWidth="1"/>
    <col min="6420" max="6420" width="8.5" style="277" customWidth="1"/>
    <col min="6421" max="6421" width="9.5" style="277" customWidth="1"/>
    <col min="6422" max="6659" width="9" style="277"/>
    <col min="6660" max="6660" width="5.25" style="277" customWidth="1"/>
    <col min="6661" max="6661" width="7.125" style="277" customWidth="1"/>
    <col min="6662" max="6662" width="5.75" style="277" customWidth="1"/>
    <col min="6663" max="6663" width="7.125" style="277" customWidth="1"/>
    <col min="6664" max="6664" width="6.5" style="277" customWidth="1"/>
    <col min="6665" max="6665" width="5.875" style="277" customWidth="1"/>
    <col min="6666" max="6666" width="7.5" style="277" customWidth="1"/>
    <col min="6667" max="6667" width="8.25" style="277" customWidth="1"/>
    <col min="6668" max="6668" width="27.5" style="277" customWidth="1"/>
    <col min="6669" max="6669" width="7" style="277" customWidth="1"/>
    <col min="6670" max="6670" width="8.125" style="277" customWidth="1"/>
    <col min="6671" max="6671" width="8.25" style="277" customWidth="1"/>
    <col min="6672" max="6672" width="9" style="277"/>
    <col min="6673" max="6673" width="31.125" style="277" customWidth="1"/>
    <col min="6674" max="6674" width="37.125" style="277" customWidth="1"/>
    <col min="6675" max="6675" width="6" style="277" customWidth="1"/>
    <col min="6676" max="6676" width="8.5" style="277" customWidth="1"/>
    <col min="6677" max="6677" width="9.5" style="277" customWidth="1"/>
    <col min="6678" max="6915" width="9" style="277"/>
    <col min="6916" max="6916" width="5.25" style="277" customWidth="1"/>
    <col min="6917" max="6917" width="7.125" style="277" customWidth="1"/>
    <col min="6918" max="6918" width="5.75" style="277" customWidth="1"/>
    <col min="6919" max="6919" width="7.125" style="277" customWidth="1"/>
    <col min="6920" max="6920" width="6.5" style="277" customWidth="1"/>
    <col min="6921" max="6921" width="5.875" style="277" customWidth="1"/>
    <col min="6922" max="6922" width="7.5" style="277" customWidth="1"/>
    <col min="6923" max="6923" width="8.25" style="277" customWidth="1"/>
    <col min="6924" max="6924" width="27.5" style="277" customWidth="1"/>
    <col min="6925" max="6925" width="7" style="277" customWidth="1"/>
    <col min="6926" max="6926" width="8.125" style="277" customWidth="1"/>
    <col min="6927" max="6927" width="8.25" style="277" customWidth="1"/>
    <col min="6928" max="6928" width="9" style="277"/>
    <col min="6929" max="6929" width="31.125" style="277" customWidth="1"/>
    <col min="6930" max="6930" width="37.125" style="277" customWidth="1"/>
    <col min="6931" max="6931" width="6" style="277" customWidth="1"/>
    <col min="6932" max="6932" width="8.5" style="277" customWidth="1"/>
    <col min="6933" max="6933" width="9.5" style="277" customWidth="1"/>
    <col min="6934" max="7171" width="9" style="277"/>
    <col min="7172" max="7172" width="5.25" style="277" customWidth="1"/>
    <col min="7173" max="7173" width="7.125" style="277" customWidth="1"/>
    <col min="7174" max="7174" width="5.75" style="277" customWidth="1"/>
    <col min="7175" max="7175" width="7.125" style="277" customWidth="1"/>
    <col min="7176" max="7176" width="6.5" style="277" customWidth="1"/>
    <col min="7177" max="7177" width="5.875" style="277" customWidth="1"/>
    <col min="7178" max="7178" width="7.5" style="277" customWidth="1"/>
    <col min="7179" max="7179" width="8.25" style="277" customWidth="1"/>
    <col min="7180" max="7180" width="27.5" style="277" customWidth="1"/>
    <col min="7181" max="7181" width="7" style="277" customWidth="1"/>
    <col min="7182" max="7182" width="8.125" style="277" customWidth="1"/>
    <col min="7183" max="7183" width="8.25" style="277" customWidth="1"/>
    <col min="7184" max="7184" width="9" style="277"/>
    <col min="7185" max="7185" width="31.125" style="277" customWidth="1"/>
    <col min="7186" max="7186" width="37.125" style="277" customWidth="1"/>
    <col min="7187" max="7187" width="6" style="277" customWidth="1"/>
    <col min="7188" max="7188" width="8.5" style="277" customWidth="1"/>
    <col min="7189" max="7189" width="9.5" style="277" customWidth="1"/>
    <col min="7190" max="7427" width="9" style="277"/>
    <col min="7428" max="7428" width="5.25" style="277" customWidth="1"/>
    <col min="7429" max="7429" width="7.125" style="277" customWidth="1"/>
    <col min="7430" max="7430" width="5.75" style="277" customWidth="1"/>
    <col min="7431" max="7431" width="7.125" style="277" customWidth="1"/>
    <col min="7432" max="7432" width="6.5" style="277" customWidth="1"/>
    <col min="7433" max="7433" width="5.875" style="277" customWidth="1"/>
    <col min="7434" max="7434" width="7.5" style="277" customWidth="1"/>
    <col min="7435" max="7435" width="8.25" style="277" customWidth="1"/>
    <col min="7436" max="7436" width="27.5" style="277" customWidth="1"/>
    <col min="7437" max="7437" width="7" style="277" customWidth="1"/>
    <col min="7438" max="7438" width="8.125" style="277" customWidth="1"/>
    <col min="7439" max="7439" width="8.25" style="277" customWidth="1"/>
    <col min="7440" max="7440" width="9" style="277"/>
    <col min="7441" max="7441" width="31.125" style="277" customWidth="1"/>
    <col min="7442" max="7442" width="37.125" style="277" customWidth="1"/>
    <col min="7443" max="7443" width="6" style="277" customWidth="1"/>
    <col min="7444" max="7444" width="8.5" style="277" customWidth="1"/>
    <col min="7445" max="7445" width="9.5" style="277" customWidth="1"/>
    <col min="7446" max="7683" width="9" style="277"/>
    <col min="7684" max="7684" width="5.25" style="277" customWidth="1"/>
    <col min="7685" max="7685" width="7.125" style="277" customWidth="1"/>
    <col min="7686" max="7686" width="5.75" style="277" customWidth="1"/>
    <col min="7687" max="7687" width="7.125" style="277" customWidth="1"/>
    <col min="7688" max="7688" width="6.5" style="277" customWidth="1"/>
    <col min="7689" max="7689" width="5.875" style="277" customWidth="1"/>
    <col min="7690" max="7690" width="7.5" style="277" customWidth="1"/>
    <col min="7691" max="7691" width="8.25" style="277" customWidth="1"/>
    <col min="7692" max="7692" width="27.5" style="277" customWidth="1"/>
    <col min="7693" max="7693" width="7" style="277" customWidth="1"/>
    <col min="7694" max="7694" width="8.125" style="277" customWidth="1"/>
    <col min="7695" max="7695" width="8.25" style="277" customWidth="1"/>
    <col min="7696" max="7696" width="9" style="277"/>
    <col min="7697" max="7697" width="31.125" style="277" customWidth="1"/>
    <col min="7698" max="7698" width="37.125" style="277" customWidth="1"/>
    <col min="7699" max="7699" width="6" style="277" customWidth="1"/>
    <col min="7700" max="7700" width="8.5" style="277" customWidth="1"/>
    <col min="7701" max="7701" width="9.5" style="277" customWidth="1"/>
    <col min="7702" max="7939" width="9" style="277"/>
    <col min="7940" max="7940" width="5.25" style="277" customWidth="1"/>
    <col min="7941" max="7941" width="7.125" style="277" customWidth="1"/>
    <col min="7942" max="7942" width="5.75" style="277" customWidth="1"/>
    <col min="7943" max="7943" width="7.125" style="277" customWidth="1"/>
    <col min="7944" max="7944" width="6.5" style="277" customWidth="1"/>
    <col min="7945" max="7945" width="5.875" style="277" customWidth="1"/>
    <col min="7946" max="7946" width="7.5" style="277" customWidth="1"/>
    <col min="7947" max="7947" width="8.25" style="277" customWidth="1"/>
    <col min="7948" max="7948" width="27.5" style="277" customWidth="1"/>
    <col min="7949" max="7949" width="7" style="277" customWidth="1"/>
    <col min="7950" max="7950" width="8.125" style="277" customWidth="1"/>
    <col min="7951" max="7951" width="8.25" style="277" customWidth="1"/>
    <col min="7952" max="7952" width="9" style="277"/>
    <col min="7953" max="7953" width="31.125" style="277" customWidth="1"/>
    <col min="7954" max="7954" width="37.125" style="277" customWidth="1"/>
    <col min="7955" max="7955" width="6" style="277" customWidth="1"/>
    <col min="7956" max="7956" width="8.5" style="277" customWidth="1"/>
    <col min="7957" max="7957" width="9.5" style="277" customWidth="1"/>
    <col min="7958" max="8195" width="9" style="277"/>
    <col min="8196" max="8196" width="5.25" style="277" customWidth="1"/>
    <col min="8197" max="8197" width="7.125" style="277" customWidth="1"/>
    <col min="8198" max="8198" width="5.75" style="277" customWidth="1"/>
    <col min="8199" max="8199" width="7.125" style="277" customWidth="1"/>
    <col min="8200" max="8200" width="6.5" style="277" customWidth="1"/>
    <col min="8201" max="8201" width="5.875" style="277" customWidth="1"/>
    <col min="8202" max="8202" width="7.5" style="277" customWidth="1"/>
    <col min="8203" max="8203" width="8.25" style="277" customWidth="1"/>
    <col min="8204" max="8204" width="27.5" style="277" customWidth="1"/>
    <col min="8205" max="8205" width="7" style="277" customWidth="1"/>
    <col min="8206" max="8206" width="8.125" style="277" customWidth="1"/>
    <col min="8207" max="8207" width="8.25" style="277" customWidth="1"/>
    <col min="8208" max="8208" width="9" style="277"/>
    <col min="8209" max="8209" width="31.125" style="277" customWidth="1"/>
    <col min="8210" max="8210" width="37.125" style="277" customWidth="1"/>
    <col min="8211" max="8211" width="6" style="277" customWidth="1"/>
    <col min="8212" max="8212" width="8.5" style="277" customWidth="1"/>
    <col min="8213" max="8213" width="9.5" style="277" customWidth="1"/>
    <col min="8214" max="8451" width="9" style="277"/>
    <col min="8452" max="8452" width="5.25" style="277" customWidth="1"/>
    <col min="8453" max="8453" width="7.125" style="277" customWidth="1"/>
    <col min="8454" max="8454" width="5.75" style="277" customWidth="1"/>
    <col min="8455" max="8455" width="7.125" style="277" customWidth="1"/>
    <col min="8456" max="8456" width="6.5" style="277" customWidth="1"/>
    <col min="8457" max="8457" width="5.875" style="277" customWidth="1"/>
    <col min="8458" max="8458" width="7.5" style="277" customWidth="1"/>
    <col min="8459" max="8459" width="8.25" style="277" customWidth="1"/>
    <col min="8460" max="8460" width="27.5" style="277" customWidth="1"/>
    <col min="8461" max="8461" width="7" style="277" customWidth="1"/>
    <col min="8462" max="8462" width="8.125" style="277" customWidth="1"/>
    <col min="8463" max="8463" width="8.25" style="277" customWidth="1"/>
    <col min="8464" max="8464" width="9" style="277"/>
    <col min="8465" max="8465" width="31.125" style="277" customWidth="1"/>
    <col min="8466" max="8466" width="37.125" style="277" customWidth="1"/>
    <col min="8467" max="8467" width="6" style="277" customWidth="1"/>
    <col min="8468" max="8468" width="8.5" style="277" customWidth="1"/>
    <col min="8469" max="8469" width="9.5" style="277" customWidth="1"/>
    <col min="8470" max="8707" width="9" style="277"/>
    <col min="8708" max="8708" width="5.25" style="277" customWidth="1"/>
    <col min="8709" max="8709" width="7.125" style="277" customWidth="1"/>
    <col min="8710" max="8710" width="5.75" style="277" customWidth="1"/>
    <col min="8711" max="8711" width="7.125" style="277" customWidth="1"/>
    <col min="8712" max="8712" width="6.5" style="277" customWidth="1"/>
    <col min="8713" max="8713" width="5.875" style="277" customWidth="1"/>
    <col min="8714" max="8714" width="7.5" style="277" customWidth="1"/>
    <col min="8715" max="8715" width="8.25" style="277" customWidth="1"/>
    <col min="8716" max="8716" width="27.5" style="277" customWidth="1"/>
    <col min="8717" max="8717" width="7" style="277" customWidth="1"/>
    <col min="8718" max="8718" width="8.125" style="277" customWidth="1"/>
    <col min="8719" max="8719" width="8.25" style="277" customWidth="1"/>
    <col min="8720" max="8720" width="9" style="277"/>
    <col min="8721" max="8721" width="31.125" style="277" customWidth="1"/>
    <col min="8722" max="8722" width="37.125" style="277" customWidth="1"/>
    <col min="8723" max="8723" width="6" style="277" customWidth="1"/>
    <col min="8724" max="8724" width="8.5" style="277" customWidth="1"/>
    <col min="8725" max="8725" width="9.5" style="277" customWidth="1"/>
    <col min="8726" max="8963" width="9" style="277"/>
    <col min="8964" max="8964" width="5.25" style="277" customWidth="1"/>
    <col min="8965" max="8965" width="7.125" style="277" customWidth="1"/>
    <col min="8966" max="8966" width="5.75" style="277" customWidth="1"/>
    <col min="8967" max="8967" width="7.125" style="277" customWidth="1"/>
    <col min="8968" max="8968" width="6.5" style="277" customWidth="1"/>
    <col min="8969" max="8969" width="5.875" style="277" customWidth="1"/>
    <col min="8970" max="8970" width="7.5" style="277" customWidth="1"/>
    <col min="8971" max="8971" width="8.25" style="277" customWidth="1"/>
    <col min="8972" max="8972" width="27.5" style="277" customWidth="1"/>
    <col min="8973" max="8973" width="7" style="277" customWidth="1"/>
    <col min="8974" max="8974" width="8.125" style="277" customWidth="1"/>
    <col min="8975" max="8975" width="8.25" style="277" customWidth="1"/>
    <col min="8976" max="8976" width="9" style="277"/>
    <col min="8977" max="8977" width="31.125" style="277" customWidth="1"/>
    <col min="8978" max="8978" width="37.125" style="277" customWidth="1"/>
    <col min="8979" max="8979" width="6" style="277" customWidth="1"/>
    <col min="8980" max="8980" width="8.5" style="277" customWidth="1"/>
    <col min="8981" max="8981" width="9.5" style="277" customWidth="1"/>
    <col min="8982" max="9219" width="9" style="277"/>
    <col min="9220" max="9220" width="5.25" style="277" customWidth="1"/>
    <col min="9221" max="9221" width="7.125" style="277" customWidth="1"/>
    <col min="9222" max="9222" width="5.75" style="277" customWidth="1"/>
    <col min="9223" max="9223" width="7.125" style="277" customWidth="1"/>
    <col min="9224" max="9224" width="6.5" style="277" customWidth="1"/>
    <col min="9225" max="9225" width="5.875" style="277" customWidth="1"/>
    <col min="9226" max="9226" width="7.5" style="277" customWidth="1"/>
    <col min="9227" max="9227" width="8.25" style="277" customWidth="1"/>
    <col min="9228" max="9228" width="27.5" style="277" customWidth="1"/>
    <col min="9229" max="9229" width="7" style="277" customWidth="1"/>
    <col min="9230" max="9230" width="8.125" style="277" customWidth="1"/>
    <col min="9231" max="9231" width="8.25" style="277" customWidth="1"/>
    <col min="9232" max="9232" width="9" style="277"/>
    <col min="9233" max="9233" width="31.125" style="277" customWidth="1"/>
    <col min="9234" max="9234" width="37.125" style="277" customWidth="1"/>
    <col min="9235" max="9235" width="6" style="277" customWidth="1"/>
    <col min="9236" max="9236" width="8.5" style="277" customWidth="1"/>
    <col min="9237" max="9237" width="9.5" style="277" customWidth="1"/>
    <col min="9238" max="9475" width="9" style="277"/>
    <col min="9476" max="9476" width="5.25" style="277" customWidth="1"/>
    <col min="9477" max="9477" width="7.125" style="277" customWidth="1"/>
    <col min="9478" max="9478" width="5.75" style="277" customWidth="1"/>
    <col min="9479" max="9479" width="7.125" style="277" customWidth="1"/>
    <col min="9480" max="9480" width="6.5" style="277" customWidth="1"/>
    <col min="9481" max="9481" width="5.875" style="277" customWidth="1"/>
    <col min="9482" max="9482" width="7.5" style="277" customWidth="1"/>
    <col min="9483" max="9483" width="8.25" style="277" customWidth="1"/>
    <col min="9484" max="9484" width="27.5" style="277" customWidth="1"/>
    <col min="9485" max="9485" width="7" style="277" customWidth="1"/>
    <col min="9486" max="9486" width="8.125" style="277" customWidth="1"/>
    <col min="9487" max="9487" width="8.25" style="277" customWidth="1"/>
    <col min="9488" max="9488" width="9" style="277"/>
    <col min="9489" max="9489" width="31.125" style="277" customWidth="1"/>
    <col min="9490" max="9490" width="37.125" style="277" customWidth="1"/>
    <col min="9491" max="9491" width="6" style="277" customWidth="1"/>
    <col min="9492" max="9492" width="8.5" style="277" customWidth="1"/>
    <col min="9493" max="9493" width="9.5" style="277" customWidth="1"/>
    <col min="9494" max="9731" width="9" style="277"/>
    <col min="9732" max="9732" width="5.25" style="277" customWidth="1"/>
    <col min="9733" max="9733" width="7.125" style="277" customWidth="1"/>
    <col min="9734" max="9734" width="5.75" style="277" customWidth="1"/>
    <col min="9735" max="9735" width="7.125" style="277" customWidth="1"/>
    <col min="9736" max="9736" width="6.5" style="277" customWidth="1"/>
    <col min="9737" max="9737" width="5.875" style="277" customWidth="1"/>
    <col min="9738" max="9738" width="7.5" style="277" customWidth="1"/>
    <col min="9739" max="9739" width="8.25" style="277" customWidth="1"/>
    <col min="9740" max="9740" width="27.5" style="277" customWidth="1"/>
    <col min="9741" max="9741" width="7" style="277" customWidth="1"/>
    <col min="9742" max="9742" width="8.125" style="277" customWidth="1"/>
    <col min="9743" max="9743" width="8.25" style="277" customWidth="1"/>
    <col min="9744" max="9744" width="9" style="277"/>
    <col min="9745" max="9745" width="31.125" style="277" customWidth="1"/>
    <col min="9746" max="9746" width="37.125" style="277" customWidth="1"/>
    <col min="9747" max="9747" width="6" style="277" customWidth="1"/>
    <col min="9748" max="9748" width="8.5" style="277" customWidth="1"/>
    <col min="9749" max="9749" width="9.5" style="277" customWidth="1"/>
    <col min="9750" max="9987" width="9" style="277"/>
    <col min="9988" max="9988" width="5.25" style="277" customWidth="1"/>
    <col min="9989" max="9989" width="7.125" style="277" customWidth="1"/>
    <col min="9990" max="9990" width="5.75" style="277" customWidth="1"/>
    <col min="9991" max="9991" width="7.125" style="277" customWidth="1"/>
    <col min="9992" max="9992" width="6.5" style="277" customWidth="1"/>
    <col min="9993" max="9993" width="5.875" style="277" customWidth="1"/>
    <col min="9994" max="9994" width="7.5" style="277" customWidth="1"/>
    <col min="9995" max="9995" width="8.25" style="277" customWidth="1"/>
    <col min="9996" max="9996" width="27.5" style="277" customWidth="1"/>
    <col min="9997" max="9997" width="7" style="277" customWidth="1"/>
    <col min="9998" max="9998" width="8.125" style="277" customWidth="1"/>
    <col min="9999" max="9999" width="8.25" style="277" customWidth="1"/>
    <col min="10000" max="10000" width="9" style="277"/>
    <col min="10001" max="10001" width="31.125" style="277" customWidth="1"/>
    <col min="10002" max="10002" width="37.125" style="277" customWidth="1"/>
    <col min="10003" max="10003" width="6" style="277" customWidth="1"/>
    <col min="10004" max="10004" width="8.5" style="277" customWidth="1"/>
    <col min="10005" max="10005" width="9.5" style="277" customWidth="1"/>
    <col min="10006" max="10243" width="9" style="277"/>
    <col min="10244" max="10244" width="5.25" style="277" customWidth="1"/>
    <col min="10245" max="10245" width="7.125" style="277" customWidth="1"/>
    <col min="10246" max="10246" width="5.75" style="277" customWidth="1"/>
    <col min="10247" max="10247" width="7.125" style="277" customWidth="1"/>
    <col min="10248" max="10248" width="6.5" style="277" customWidth="1"/>
    <col min="10249" max="10249" width="5.875" style="277" customWidth="1"/>
    <col min="10250" max="10250" width="7.5" style="277" customWidth="1"/>
    <col min="10251" max="10251" width="8.25" style="277" customWidth="1"/>
    <col min="10252" max="10252" width="27.5" style="277" customWidth="1"/>
    <col min="10253" max="10253" width="7" style="277" customWidth="1"/>
    <col min="10254" max="10254" width="8.125" style="277" customWidth="1"/>
    <col min="10255" max="10255" width="8.25" style="277" customWidth="1"/>
    <col min="10256" max="10256" width="9" style="277"/>
    <col min="10257" max="10257" width="31.125" style="277" customWidth="1"/>
    <col min="10258" max="10258" width="37.125" style="277" customWidth="1"/>
    <col min="10259" max="10259" width="6" style="277" customWidth="1"/>
    <col min="10260" max="10260" width="8.5" style="277" customWidth="1"/>
    <col min="10261" max="10261" width="9.5" style="277" customWidth="1"/>
    <col min="10262" max="10499" width="9" style="277"/>
    <col min="10500" max="10500" width="5.25" style="277" customWidth="1"/>
    <col min="10501" max="10501" width="7.125" style="277" customWidth="1"/>
    <col min="10502" max="10502" width="5.75" style="277" customWidth="1"/>
    <col min="10503" max="10503" width="7.125" style="277" customWidth="1"/>
    <col min="10504" max="10504" width="6.5" style="277" customWidth="1"/>
    <col min="10505" max="10505" width="5.875" style="277" customWidth="1"/>
    <col min="10506" max="10506" width="7.5" style="277" customWidth="1"/>
    <col min="10507" max="10507" width="8.25" style="277" customWidth="1"/>
    <col min="10508" max="10508" width="27.5" style="277" customWidth="1"/>
    <col min="10509" max="10509" width="7" style="277" customWidth="1"/>
    <col min="10510" max="10510" width="8.125" style="277" customWidth="1"/>
    <col min="10511" max="10511" width="8.25" style="277" customWidth="1"/>
    <col min="10512" max="10512" width="9" style="277"/>
    <col min="10513" max="10513" width="31.125" style="277" customWidth="1"/>
    <col min="10514" max="10514" width="37.125" style="277" customWidth="1"/>
    <col min="10515" max="10515" width="6" style="277" customWidth="1"/>
    <col min="10516" max="10516" width="8.5" style="277" customWidth="1"/>
    <col min="10517" max="10517" width="9.5" style="277" customWidth="1"/>
    <col min="10518" max="10755" width="9" style="277"/>
    <col min="10756" max="10756" width="5.25" style="277" customWidth="1"/>
    <col min="10757" max="10757" width="7.125" style="277" customWidth="1"/>
    <col min="10758" max="10758" width="5.75" style="277" customWidth="1"/>
    <col min="10759" max="10759" width="7.125" style="277" customWidth="1"/>
    <col min="10760" max="10760" width="6.5" style="277" customWidth="1"/>
    <col min="10761" max="10761" width="5.875" style="277" customWidth="1"/>
    <col min="10762" max="10762" width="7.5" style="277" customWidth="1"/>
    <col min="10763" max="10763" width="8.25" style="277" customWidth="1"/>
    <col min="10764" max="10764" width="27.5" style="277" customWidth="1"/>
    <col min="10765" max="10765" width="7" style="277" customWidth="1"/>
    <col min="10766" max="10766" width="8.125" style="277" customWidth="1"/>
    <col min="10767" max="10767" width="8.25" style="277" customWidth="1"/>
    <col min="10768" max="10768" width="9" style="277"/>
    <col min="10769" max="10769" width="31.125" style="277" customWidth="1"/>
    <col min="10770" max="10770" width="37.125" style="277" customWidth="1"/>
    <col min="10771" max="10771" width="6" style="277" customWidth="1"/>
    <col min="10772" max="10772" width="8.5" style="277" customWidth="1"/>
    <col min="10773" max="10773" width="9.5" style="277" customWidth="1"/>
    <col min="10774" max="11011" width="9" style="277"/>
    <col min="11012" max="11012" width="5.25" style="277" customWidth="1"/>
    <col min="11013" max="11013" width="7.125" style="277" customWidth="1"/>
    <col min="11014" max="11014" width="5.75" style="277" customWidth="1"/>
    <col min="11015" max="11015" width="7.125" style="277" customWidth="1"/>
    <col min="11016" max="11016" width="6.5" style="277" customWidth="1"/>
    <col min="11017" max="11017" width="5.875" style="277" customWidth="1"/>
    <col min="11018" max="11018" width="7.5" style="277" customWidth="1"/>
    <col min="11019" max="11019" width="8.25" style="277" customWidth="1"/>
    <col min="11020" max="11020" width="27.5" style="277" customWidth="1"/>
    <col min="11021" max="11021" width="7" style="277" customWidth="1"/>
    <col min="11022" max="11022" width="8.125" style="277" customWidth="1"/>
    <col min="11023" max="11023" width="8.25" style="277" customWidth="1"/>
    <col min="11024" max="11024" width="9" style="277"/>
    <col min="11025" max="11025" width="31.125" style="277" customWidth="1"/>
    <col min="11026" max="11026" width="37.125" style="277" customWidth="1"/>
    <col min="11027" max="11027" width="6" style="277" customWidth="1"/>
    <col min="11028" max="11028" width="8.5" style="277" customWidth="1"/>
    <col min="11029" max="11029" width="9.5" style="277" customWidth="1"/>
    <col min="11030" max="11267" width="9" style="277"/>
    <col min="11268" max="11268" width="5.25" style="277" customWidth="1"/>
    <col min="11269" max="11269" width="7.125" style="277" customWidth="1"/>
    <col min="11270" max="11270" width="5.75" style="277" customWidth="1"/>
    <col min="11271" max="11271" width="7.125" style="277" customWidth="1"/>
    <col min="11272" max="11272" width="6.5" style="277" customWidth="1"/>
    <col min="11273" max="11273" width="5.875" style="277" customWidth="1"/>
    <col min="11274" max="11274" width="7.5" style="277" customWidth="1"/>
    <col min="11275" max="11275" width="8.25" style="277" customWidth="1"/>
    <col min="11276" max="11276" width="27.5" style="277" customWidth="1"/>
    <col min="11277" max="11277" width="7" style="277" customWidth="1"/>
    <col min="11278" max="11278" width="8.125" style="277" customWidth="1"/>
    <col min="11279" max="11279" width="8.25" style="277" customWidth="1"/>
    <col min="11280" max="11280" width="9" style="277"/>
    <col min="11281" max="11281" width="31.125" style="277" customWidth="1"/>
    <col min="11282" max="11282" width="37.125" style="277" customWidth="1"/>
    <col min="11283" max="11283" width="6" style="277" customWidth="1"/>
    <col min="11284" max="11284" width="8.5" style="277" customWidth="1"/>
    <col min="11285" max="11285" width="9.5" style="277" customWidth="1"/>
    <col min="11286" max="11523" width="9" style="277"/>
    <col min="11524" max="11524" width="5.25" style="277" customWidth="1"/>
    <col min="11525" max="11525" width="7.125" style="277" customWidth="1"/>
    <col min="11526" max="11526" width="5.75" style="277" customWidth="1"/>
    <col min="11527" max="11527" width="7.125" style="277" customWidth="1"/>
    <col min="11528" max="11528" width="6.5" style="277" customWidth="1"/>
    <col min="11529" max="11529" width="5.875" style="277" customWidth="1"/>
    <col min="11530" max="11530" width="7.5" style="277" customWidth="1"/>
    <col min="11531" max="11531" width="8.25" style="277" customWidth="1"/>
    <col min="11532" max="11532" width="27.5" style="277" customWidth="1"/>
    <col min="11533" max="11533" width="7" style="277" customWidth="1"/>
    <col min="11534" max="11534" width="8.125" style="277" customWidth="1"/>
    <col min="11535" max="11535" width="8.25" style="277" customWidth="1"/>
    <col min="11536" max="11536" width="9" style="277"/>
    <col min="11537" max="11537" width="31.125" style="277" customWidth="1"/>
    <col min="11538" max="11538" width="37.125" style="277" customWidth="1"/>
    <col min="11539" max="11539" width="6" style="277" customWidth="1"/>
    <col min="11540" max="11540" width="8.5" style="277" customWidth="1"/>
    <col min="11541" max="11541" width="9.5" style="277" customWidth="1"/>
    <col min="11542" max="11779" width="9" style="277"/>
    <col min="11780" max="11780" width="5.25" style="277" customWidth="1"/>
    <col min="11781" max="11781" width="7.125" style="277" customWidth="1"/>
    <col min="11782" max="11782" width="5.75" style="277" customWidth="1"/>
    <col min="11783" max="11783" width="7.125" style="277" customWidth="1"/>
    <col min="11784" max="11784" width="6.5" style="277" customWidth="1"/>
    <col min="11785" max="11785" width="5.875" style="277" customWidth="1"/>
    <col min="11786" max="11786" width="7.5" style="277" customWidth="1"/>
    <col min="11787" max="11787" width="8.25" style="277" customWidth="1"/>
    <col min="11788" max="11788" width="27.5" style="277" customWidth="1"/>
    <col min="11789" max="11789" width="7" style="277" customWidth="1"/>
    <col min="11790" max="11790" width="8.125" style="277" customWidth="1"/>
    <col min="11791" max="11791" width="8.25" style="277" customWidth="1"/>
    <col min="11792" max="11792" width="9" style="277"/>
    <col min="11793" max="11793" width="31.125" style="277" customWidth="1"/>
    <col min="11794" max="11794" width="37.125" style="277" customWidth="1"/>
    <col min="11795" max="11795" width="6" style="277" customWidth="1"/>
    <col min="11796" max="11796" width="8.5" style="277" customWidth="1"/>
    <col min="11797" max="11797" width="9.5" style="277" customWidth="1"/>
    <col min="11798" max="12035" width="9" style="277"/>
    <col min="12036" max="12036" width="5.25" style="277" customWidth="1"/>
    <col min="12037" max="12037" width="7.125" style="277" customWidth="1"/>
    <col min="12038" max="12038" width="5.75" style="277" customWidth="1"/>
    <col min="12039" max="12039" width="7.125" style="277" customWidth="1"/>
    <col min="12040" max="12040" width="6.5" style="277" customWidth="1"/>
    <col min="12041" max="12041" width="5.875" style="277" customWidth="1"/>
    <col min="12042" max="12042" width="7.5" style="277" customWidth="1"/>
    <col min="12043" max="12043" width="8.25" style="277" customWidth="1"/>
    <col min="12044" max="12044" width="27.5" style="277" customWidth="1"/>
    <col min="12045" max="12045" width="7" style="277" customWidth="1"/>
    <col min="12046" max="12046" width="8.125" style="277" customWidth="1"/>
    <col min="12047" max="12047" width="8.25" style="277" customWidth="1"/>
    <col min="12048" max="12048" width="9" style="277"/>
    <col min="12049" max="12049" width="31.125" style="277" customWidth="1"/>
    <col min="12050" max="12050" width="37.125" style="277" customWidth="1"/>
    <col min="12051" max="12051" width="6" style="277" customWidth="1"/>
    <col min="12052" max="12052" width="8.5" style="277" customWidth="1"/>
    <col min="12053" max="12053" width="9.5" style="277" customWidth="1"/>
    <col min="12054" max="12291" width="9" style="277"/>
    <col min="12292" max="12292" width="5.25" style="277" customWidth="1"/>
    <col min="12293" max="12293" width="7.125" style="277" customWidth="1"/>
    <col min="12294" max="12294" width="5.75" style="277" customWidth="1"/>
    <col min="12295" max="12295" width="7.125" style="277" customWidth="1"/>
    <col min="12296" max="12296" width="6.5" style="277" customWidth="1"/>
    <col min="12297" max="12297" width="5.875" style="277" customWidth="1"/>
    <col min="12298" max="12298" width="7.5" style="277" customWidth="1"/>
    <col min="12299" max="12299" width="8.25" style="277" customWidth="1"/>
    <col min="12300" max="12300" width="27.5" style="277" customWidth="1"/>
    <col min="12301" max="12301" width="7" style="277" customWidth="1"/>
    <col min="12302" max="12302" width="8.125" style="277" customWidth="1"/>
    <col min="12303" max="12303" width="8.25" style="277" customWidth="1"/>
    <col min="12304" max="12304" width="9" style="277"/>
    <col min="12305" max="12305" width="31.125" style="277" customWidth="1"/>
    <col min="12306" max="12306" width="37.125" style="277" customWidth="1"/>
    <col min="12307" max="12307" width="6" style="277" customWidth="1"/>
    <col min="12308" max="12308" width="8.5" style="277" customWidth="1"/>
    <col min="12309" max="12309" width="9.5" style="277" customWidth="1"/>
    <col min="12310" max="12547" width="9" style="277"/>
    <col min="12548" max="12548" width="5.25" style="277" customWidth="1"/>
    <col min="12549" max="12549" width="7.125" style="277" customWidth="1"/>
    <col min="12550" max="12550" width="5.75" style="277" customWidth="1"/>
    <col min="12551" max="12551" width="7.125" style="277" customWidth="1"/>
    <col min="12552" max="12552" width="6.5" style="277" customWidth="1"/>
    <col min="12553" max="12553" width="5.875" style="277" customWidth="1"/>
    <col min="12554" max="12554" width="7.5" style="277" customWidth="1"/>
    <col min="12555" max="12555" width="8.25" style="277" customWidth="1"/>
    <col min="12556" max="12556" width="27.5" style="277" customWidth="1"/>
    <col min="12557" max="12557" width="7" style="277" customWidth="1"/>
    <col min="12558" max="12558" width="8.125" style="277" customWidth="1"/>
    <col min="12559" max="12559" width="8.25" style="277" customWidth="1"/>
    <col min="12560" max="12560" width="9" style="277"/>
    <col min="12561" max="12561" width="31.125" style="277" customWidth="1"/>
    <col min="12562" max="12562" width="37.125" style="277" customWidth="1"/>
    <col min="12563" max="12563" width="6" style="277" customWidth="1"/>
    <col min="12564" max="12564" width="8.5" style="277" customWidth="1"/>
    <col min="12565" max="12565" width="9.5" style="277" customWidth="1"/>
    <col min="12566" max="12803" width="9" style="277"/>
    <col min="12804" max="12804" width="5.25" style="277" customWidth="1"/>
    <col min="12805" max="12805" width="7.125" style="277" customWidth="1"/>
    <col min="12806" max="12806" width="5.75" style="277" customWidth="1"/>
    <col min="12807" max="12807" width="7.125" style="277" customWidth="1"/>
    <col min="12808" max="12808" width="6.5" style="277" customWidth="1"/>
    <col min="12809" max="12809" width="5.875" style="277" customWidth="1"/>
    <col min="12810" max="12810" width="7.5" style="277" customWidth="1"/>
    <col min="12811" max="12811" width="8.25" style="277" customWidth="1"/>
    <col min="12812" max="12812" width="27.5" style="277" customWidth="1"/>
    <col min="12813" max="12813" width="7" style="277" customWidth="1"/>
    <col min="12814" max="12814" width="8.125" style="277" customWidth="1"/>
    <col min="12815" max="12815" width="8.25" style="277" customWidth="1"/>
    <col min="12816" max="12816" width="9" style="277"/>
    <col min="12817" max="12817" width="31.125" style="277" customWidth="1"/>
    <col min="12818" max="12818" width="37.125" style="277" customWidth="1"/>
    <col min="12819" max="12819" width="6" style="277" customWidth="1"/>
    <col min="12820" max="12820" width="8.5" style="277" customWidth="1"/>
    <col min="12821" max="12821" width="9.5" style="277" customWidth="1"/>
    <col min="12822" max="13059" width="9" style="277"/>
    <col min="13060" max="13060" width="5.25" style="277" customWidth="1"/>
    <col min="13061" max="13061" width="7.125" style="277" customWidth="1"/>
    <col min="13062" max="13062" width="5.75" style="277" customWidth="1"/>
    <col min="13063" max="13063" width="7.125" style="277" customWidth="1"/>
    <col min="13064" max="13064" width="6.5" style="277" customWidth="1"/>
    <col min="13065" max="13065" width="5.875" style="277" customWidth="1"/>
    <col min="13066" max="13066" width="7.5" style="277" customWidth="1"/>
    <col min="13067" max="13067" width="8.25" style="277" customWidth="1"/>
    <col min="13068" max="13068" width="27.5" style="277" customWidth="1"/>
    <col min="13069" max="13069" width="7" style="277" customWidth="1"/>
    <col min="13070" max="13070" width="8.125" style="277" customWidth="1"/>
    <col min="13071" max="13071" width="8.25" style="277" customWidth="1"/>
    <col min="13072" max="13072" width="9" style="277"/>
    <col min="13073" max="13073" width="31.125" style="277" customWidth="1"/>
    <col min="13074" max="13074" width="37.125" style="277" customWidth="1"/>
    <col min="13075" max="13075" width="6" style="277" customWidth="1"/>
    <col min="13076" max="13076" width="8.5" style="277" customWidth="1"/>
    <col min="13077" max="13077" width="9.5" style="277" customWidth="1"/>
    <col min="13078" max="13315" width="9" style="277"/>
    <col min="13316" max="13316" width="5.25" style="277" customWidth="1"/>
    <col min="13317" max="13317" width="7.125" style="277" customWidth="1"/>
    <col min="13318" max="13318" width="5.75" style="277" customWidth="1"/>
    <col min="13319" max="13319" width="7.125" style="277" customWidth="1"/>
    <col min="13320" max="13320" width="6.5" style="277" customWidth="1"/>
    <col min="13321" max="13321" width="5.875" style="277" customWidth="1"/>
    <col min="13322" max="13322" width="7.5" style="277" customWidth="1"/>
    <col min="13323" max="13323" width="8.25" style="277" customWidth="1"/>
    <col min="13324" max="13324" width="27.5" style="277" customWidth="1"/>
    <col min="13325" max="13325" width="7" style="277" customWidth="1"/>
    <col min="13326" max="13326" width="8.125" style="277" customWidth="1"/>
    <col min="13327" max="13327" width="8.25" style="277" customWidth="1"/>
    <col min="13328" max="13328" width="9" style="277"/>
    <col min="13329" max="13329" width="31.125" style="277" customWidth="1"/>
    <col min="13330" max="13330" width="37.125" style="277" customWidth="1"/>
    <col min="13331" max="13331" width="6" style="277" customWidth="1"/>
    <col min="13332" max="13332" width="8.5" style="277" customWidth="1"/>
    <col min="13333" max="13333" width="9.5" style="277" customWidth="1"/>
    <col min="13334" max="13571" width="9" style="277"/>
    <col min="13572" max="13572" width="5.25" style="277" customWidth="1"/>
    <col min="13573" max="13573" width="7.125" style="277" customWidth="1"/>
    <col min="13574" max="13574" width="5.75" style="277" customWidth="1"/>
    <col min="13575" max="13575" width="7.125" style="277" customWidth="1"/>
    <col min="13576" max="13576" width="6.5" style="277" customWidth="1"/>
    <col min="13577" max="13577" width="5.875" style="277" customWidth="1"/>
    <col min="13578" max="13578" width="7.5" style="277" customWidth="1"/>
    <col min="13579" max="13579" width="8.25" style="277" customWidth="1"/>
    <col min="13580" max="13580" width="27.5" style="277" customWidth="1"/>
    <col min="13581" max="13581" width="7" style="277" customWidth="1"/>
    <col min="13582" max="13582" width="8.125" style="277" customWidth="1"/>
    <col min="13583" max="13583" width="8.25" style="277" customWidth="1"/>
    <col min="13584" max="13584" width="9" style="277"/>
    <col min="13585" max="13585" width="31.125" style="277" customWidth="1"/>
    <col min="13586" max="13586" width="37.125" style="277" customWidth="1"/>
    <col min="13587" max="13587" width="6" style="277" customWidth="1"/>
    <col min="13588" max="13588" width="8.5" style="277" customWidth="1"/>
    <col min="13589" max="13589" width="9.5" style="277" customWidth="1"/>
    <col min="13590" max="13827" width="9" style="277"/>
    <col min="13828" max="13828" width="5.25" style="277" customWidth="1"/>
    <col min="13829" max="13829" width="7.125" style="277" customWidth="1"/>
    <col min="13830" max="13830" width="5.75" style="277" customWidth="1"/>
    <col min="13831" max="13831" width="7.125" style="277" customWidth="1"/>
    <col min="13832" max="13832" width="6.5" style="277" customWidth="1"/>
    <col min="13833" max="13833" width="5.875" style="277" customWidth="1"/>
    <col min="13834" max="13834" width="7.5" style="277" customWidth="1"/>
    <col min="13835" max="13835" width="8.25" style="277" customWidth="1"/>
    <col min="13836" max="13836" width="27.5" style="277" customWidth="1"/>
    <col min="13837" max="13837" width="7" style="277" customWidth="1"/>
    <col min="13838" max="13838" width="8.125" style="277" customWidth="1"/>
    <col min="13839" max="13839" width="8.25" style="277" customWidth="1"/>
    <col min="13840" max="13840" width="9" style="277"/>
    <col min="13841" max="13841" width="31.125" style="277" customWidth="1"/>
    <col min="13842" max="13842" width="37.125" style="277" customWidth="1"/>
    <col min="13843" max="13843" width="6" style="277" customWidth="1"/>
    <col min="13844" max="13844" width="8.5" style="277" customWidth="1"/>
    <col min="13845" max="13845" width="9.5" style="277" customWidth="1"/>
    <col min="13846" max="14083" width="9" style="277"/>
    <col min="14084" max="14084" width="5.25" style="277" customWidth="1"/>
    <col min="14085" max="14085" width="7.125" style="277" customWidth="1"/>
    <col min="14086" max="14086" width="5.75" style="277" customWidth="1"/>
    <col min="14087" max="14087" width="7.125" style="277" customWidth="1"/>
    <col min="14088" max="14088" width="6.5" style="277" customWidth="1"/>
    <col min="14089" max="14089" width="5.875" style="277" customWidth="1"/>
    <col min="14090" max="14090" width="7.5" style="277" customWidth="1"/>
    <col min="14091" max="14091" width="8.25" style="277" customWidth="1"/>
    <col min="14092" max="14092" width="27.5" style="277" customWidth="1"/>
    <col min="14093" max="14093" width="7" style="277" customWidth="1"/>
    <col min="14094" max="14094" width="8.125" style="277" customWidth="1"/>
    <col min="14095" max="14095" width="8.25" style="277" customWidth="1"/>
    <col min="14096" max="14096" width="9" style="277"/>
    <col min="14097" max="14097" width="31.125" style="277" customWidth="1"/>
    <col min="14098" max="14098" width="37.125" style="277" customWidth="1"/>
    <col min="14099" max="14099" width="6" style="277" customWidth="1"/>
    <col min="14100" max="14100" width="8.5" style="277" customWidth="1"/>
    <col min="14101" max="14101" width="9.5" style="277" customWidth="1"/>
    <col min="14102" max="14339" width="9" style="277"/>
    <col min="14340" max="14340" width="5.25" style="277" customWidth="1"/>
    <col min="14341" max="14341" width="7.125" style="277" customWidth="1"/>
    <col min="14342" max="14342" width="5.75" style="277" customWidth="1"/>
    <col min="14343" max="14343" width="7.125" style="277" customWidth="1"/>
    <col min="14344" max="14344" width="6.5" style="277" customWidth="1"/>
    <col min="14345" max="14345" width="5.875" style="277" customWidth="1"/>
    <col min="14346" max="14346" width="7.5" style="277" customWidth="1"/>
    <col min="14347" max="14347" width="8.25" style="277" customWidth="1"/>
    <col min="14348" max="14348" width="27.5" style="277" customWidth="1"/>
    <col min="14349" max="14349" width="7" style="277" customWidth="1"/>
    <col min="14350" max="14350" width="8.125" style="277" customWidth="1"/>
    <col min="14351" max="14351" width="8.25" style="277" customWidth="1"/>
    <col min="14352" max="14352" width="9" style="277"/>
    <col min="14353" max="14353" width="31.125" style="277" customWidth="1"/>
    <col min="14354" max="14354" width="37.125" style="277" customWidth="1"/>
    <col min="14355" max="14355" width="6" style="277" customWidth="1"/>
    <col min="14356" max="14356" width="8.5" style="277" customWidth="1"/>
    <col min="14357" max="14357" width="9.5" style="277" customWidth="1"/>
    <col min="14358" max="14595" width="9" style="277"/>
    <col min="14596" max="14596" width="5.25" style="277" customWidth="1"/>
    <col min="14597" max="14597" width="7.125" style="277" customWidth="1"/>
    <col min="14598" max="14598" width="5.75" style="277" customWidth="1"/>
    <col min="14599" max="14599" width="7.125" style="277" customWidth="1"/>
    <col min="14600" max="14600" width="6.5" style="277" customWidth="1"/>
    <col min="14601" max="14601" width="5.875" style="277" customWidth="1"/>
    <col min="14602" max="14602" width="7.5" style="277" customWidth="1"/>
    <col min="14603" max="14603" width="8.25" style="277" customWidth="1"/>
    <col min="14604" max="14604" width="27.5" style="277" customWidth="1"/>
    <col min="14605" max="14605" width="7" style="277" customWidth="1"/>
    <col min="14606" max="14606" width="8.125" style="277" customWidth="1"/>
    <col min="14607" max="14607" width="8.25" style="277" customWidth="1"/>
    <col min="14608" max="14608" width="9" style="277"/>
    <col min="14609" max="14609" width="31.125" style="277" customWidth="1"/>
    <col min="14610" max="14610" width="37.125" style="277" customWidth="1"/>
    <col min="14611" max="14611" width="6" style="277" customWidth="1"/>
    <col min="14612" max="14612" width="8.5" style="277" customWidth="1"/>
    <col min="14613" max="14613" width="9.5" style="277" customWidth="1"/>
    <col min="14614" max="14851" width="9" style="277"/>
    <col min="14852" max="14852" width="5.25" style="277" customWidth="1"/>
    <col min="14853" max="14853" width="7.125" style="277" customWidth="1"/>
    <col min="14854" max="14854" width="5.75" style="277" customWidth="1"/>
    <col min="14855" max="14855" width="7.125" style="277" customWidth="1"/>
    <col min="14856" max="14856" width="6.5" style="277" customWidth="1"/>
    <col min="14857" max="14857" width="5.875" style="277" customWidth="1"/>
    <col min="14858" max="14858" width="7.5" style="277" customWidth="1"/>
    <col min="14859" max="14859" width="8.25" style="277" customWidth="1"/>
    <col min="14860" max="14860" width="27.5" style="277" customWidth="1"/>
    <col min="14861" max="14861" width="7" style="277" customWidth="1"/>
    <col min="14862" max="14862" width="8.125" style="277" customWidth="1"/>
    <col min="14863" max="14863" width="8.25" style="277" customWidth="1"/>
    <col min="14864" max="14864" width="9" style="277"/>
    <col min="14865" max="14865" width="31.125" style="277" customWidth="1"/>
    <col min="14866" max="14866" width="37.125" style="277" customWidth="1"/>
    <col min="14867" max="14867" width="6" style="277" customWidth="1"/>
    <col min="14868" max="14868" width="8.5" style="277" customWidth="1"/>
    <col min="14869" max="14869" width="9.5" style="277" customWidth="1"/>
    <col min="14870" max="15107" width="9" style="277"/>
    <col min="15108" max="15108" width="5.25" style="277" customWidth="1"/>
    <col min="15109" max="15109" width="7.125" style="277" customWidth="1"/>
    <col min="15110" max="15110" width="5.75" style="277" customWidth="1"/>
    <col min="15111" max="15111" width="7.125" style="277" customWidth="1"/>
    <col min="15112" max="15112" width="6.5" style="277" customWidth="1"/>
    <col min="15113" max="15113" width="5.875" style="277" customWidth="1"/>
    <col min="15114" max="15114" width="7.5" style="277" customWidth="1"/>
    <col min="15115" max="15115" width="8.25" style="277" customWidth="1"/>
    <col min="15116" max="15116" width="27.5" style="277" customWidth="1"/>
    <col min="15117" max="15117" width="7" style="277" customWidth="1"/>
    <col min="15118" max="15118" width="8.125" style="277" customWidth="1"/>
    <col min="15119" max="15119" width="8.25" style="277" customWidth="1"/>
    <col min="15120" max="15120" width="9" style="277"/>
    <col min="15121" max="15121" width="31.125" style="277" customWidth="1"/>
    <col min="15122" max="15122" width="37.125" style="277" customWidth="1"/>
    <col min="15123" max="15123" width="6" style="277" customWidth="1"/>
    <col min="15124" max="15124" width="8.5" style="277" customWidth="1"/>
    <col min="15125" max="15125" width="9.5" style="277" customWidth="1"/>
    <col min="15126" max="15363" width="9" style="277"/>
    <col min="15364" max="15364" width="5.25" style="277" customWidth="1"/>
    <col min="15365" max="15365" width="7.125" style="277" customWidth="1"/>
    <col min="15366" max="15366" width="5.75" style="277" customWidth="1"/>
    <col min="15367" max="15367" width="7.125" style="277" customWidth="1"/>
    <col min="15368" max="15368" width="6.5" style="277" customWidth="1"/>
    <col min="15369" max="15369" width="5.875" style="277" customWidth="1"/>
    <col min="15370" max="15370" width="7.5" style="277" customWidth="1"/>
    <col min="15371" max="15371" width="8.25" style="277" customWidth="1"/>
    <col min="15372" max="15372" width="27.5" style="277" customWidth="1"/>
    <col min="15373" max="15373" width="7" style="277" customWidth="1"/>
    <col min="15374" max="15374" width="8.125" style="277" customWidth="1"/>
    <col min="15375" max="15375" width="8.25" style="277" customWidth="1"/>
    <col min="15376" max="15376" width="9" style="277"/>
    <col min="15377" max="15377" width="31.125" style="277" customWidth="1"/>
    <col min="15378" max="15378" width="37.125" style="277" customWidth="1"/>
    <col min="15379" max="15379" width="6" style="277" customWidth="1"/>
    <col min="15380" max="15380" width="8.5" style="277" customWidth="1"/>
    <col min="15381" max="15381" width="9.5" style="277" customWidth="1"/>
    <col min="15382" max="15619" width="9" style="277"/>
    <col min="15620" max="15620" width="5.25" style="277" customWidth="1"/>
    <col min="15621" max="15621" width="7.125" style="277" customWidth="1"/>
    <col min="15622" max="15622" width="5.75" style="277" customWidth="1"/>
    <col min="15623" max="15623" width="7.125" style="277" customWidth="1"/>
    <col min="15624" max="15624" width="6.5" style="277" customWidth="1"/>
    <col min="15625" max="15625" width="5.875" style="277" customWidth="1"/>
    <col min="15626" max="15626" width="7.5" style="277" customWidth="1"/>
    <col min="15627" max="15627" width="8.25" style="277" customWidth="1"/>
    <col min="15628" max="15628" width="27.5" style="277" customWidth="1"/>
    <col min="15629" max="15629" width="7" style="277" customWidth="1"/>
    <col min="15630" max="15630" width="8.125" style="277" customWidth="1"/>
    <col min="15631" max="15631" width="8.25" style="277" customWidth="1"/>
    <col min="15632" max="15632" width="9" style="277"/>
    <col min="15633" max="15633" width="31.125" style="277" customWidth="1"/>
    <col min="15634" max="15634" width="37.125" style="277" customWidth="1"/>
    <col min="15635" max="15635" width="6" style="277" customWidth="1"/>
    <col min="15636" max="15636" width="8.5" style="277" customWidth="1"/>
    <col min="15637" max="15637" width="9.5" style="277" customWidth="1"/>
    <col min="15638" max="15875" width="9" style="277"/>
    <col min="15876" max="15876" width="5.25" style="277" customWidth="1"/>
    <col min="15877" max="15877" width="7.125" style="277" customWidth="1"/>
    <col min="15878" max="15878" width="5.75" style="277" customWidth="1"/>
    <col min="15879" max="15879" width="7.125" style="277" customWidth="1"/>
    <col min="15880" max="15880" width="6.5" style="277" customWidth="1"/>
    <col min="15881" max="15881" width="5.875" style="277" customWidth="1"/>
    <col min="15882" max="15882" width="7.5" style="277" customWidth="1"/>
    <col min="15883" max="15883" width="8.25" style="277" customWidth="1"/>
    <col min="15884" max="15884" width="27.5" style="277" customWidth="1"/>
    <col min="15885" max="15885" width="7" style="277" customWidth="1"/>
    <col min="15886" max="15886" width="8.125" style="277" customWidth="1"/>
    <col min="15887" max="15887" width="8.25" style="277" customWidth="1"/>
    <col min="15888" max="15888" width="9" style="277"/>
    <col min="15889" max="15889" width="31.125" style="277" customWidth="1"/>
    <col min="15890" max="15890" width="37.125" style="277" customWidth="1"/>
    <col min="15891" max="15891" width="6" style="277" customWidth="1"/>
    <col min="15892" max="15892" width="8.5" style="277" customWidth="1"/>
    <col min="15893" max="15893" width="9.5" style="277" customWidth="1"/>
    <col min="15894" max="16131" width="9" style="277"/>
    <col min="16132" max="16132" width="5.25" style="277" customWidth="1"/>
    <col min="16133" max="16133" width="7.125" style="277" customWidth="1"/>
    <col min="16134" max="16134" width="5.75" style="277" customWidth="1"/>
    <col min="16135" max="16135" width="7.125" style="277" customWidth="1"/>
    <col min="16136" max="16136" width="6.5" style="277" customWidth="1"/>
    <col min="16137" max="16137" width="5.875" style="277" customWidth="1"/>
    <col min="16138" max="16138" width="7.5" style="277" customWidth="1"/>
    <col min="16139" max="16139" width="8.25" style="277" customWidth="1"/>
    <col min="16140" max="16140" width="27.5" style="277" customWidth="1"/>
    <col min="16141" max="16141" width="7" style="277" customWidth="1"/>
    <col min="16142" max="16142" width="8.125" style="277" customWidth="1"/>
    <col min="16143" max="16143" width="8.25" style="277" customWidth="1"/>
    <col min="16144" max="16144" width="9" style="277"/>
    <col min="16145" max="16145" width="31.125" style="277" customWidth="1"/>
    <col min="16146" max="16146" width="37.125" style="277" customWidth="1"/>
    <col min="16147" max="16147" width="6" style="277" customWidth="1"/>
    <col min="16148" max="16148" width="8.5" style="277" customWidth="1"/>
    <col min="16149" max="16149" width="9.5" style="277" customWidth="1"/>
    <col min="16150" max="16384" width="9" style="277"/>
  </cols>
  <sheetData>
    <row r="1" spans="1:24" ht="12" customHeight="1">
      <c r="A1" s="446" t="s">
        <v>93</v>
      </c>
      <c r="B1" s="446"/>
      <c r="C1" s="446"/>
      <c r="D1" s="446"/>
      <c r="E1" s="446"/>
      <c r="F1" s="446"/>
      <c r="G1" s="446"/>
      <c r="H1" s="446"/>
      <c r="I1" s="446"/>
      <c r="J1" s="446"/>
      <c r="K1" s="446"/>
      <c r="L1" s="446"/>
      <c r="M1" s="446"/>
      <c r="N1" s="446"/>
      <c r="O1" s="446"/>
      <c r="P1" s="446"/>
      <c r="Q1" s="446"/>
      <c r="R1" s="446"/>
      <c r="S1" s="446"/>
      <c r="T1" s="446"/>
      <c r="U1" s="446"/>
      <c r="V1" s="446"/>
      <c r="W1" s="446"/>
      <c r="X1" s="446"/>
    </row>
    <row r="2" spans="1:24" ht="17.25" customHeight="1">
      <c r="A2" s="446"/>
      <c r="B2" s="446"/>
      <c r="C2" s="446"/>
      <c r="D2" s="446"/>
      <c r="E2" s="446"/>
      <c r="F2" s="446"/>
      <c r="G2" s="446"/>
      <c r="H2" s="446"/>
      <c r="I2" s="446"/>
      <c r="J2" s="446"/>
      <c r="K2" s="446"/>
      <c r="L2" s="446"/>
      <c r="M2" s="446"/>
      <c r="N2" s="446"/>
      <c r="O2" s="446"/>
      <c r="P2" s="446"/>
      <c r="Q2" s="446"/>
      <c r="R2" s="446"/>
      <c r="S2" s="446"/>
      <c r="T2" s="446"/>
      <c r="U2" s="446"/>
      <c r="V2" s="446"/>
      <c r="W2" s="446"/>
      <c r="X2" s="446"/>
    </row>
    <row r="3" spans="1:24" ht="17.25" customHeight="1">
      <c r="A3" s="446"/>
      <c r="B3" s="446"/>
      <c r="C3" s="446"/>
      <c r="D3" s="446"/>
      <c r="E3" s="446"/>
      <c r="F3" s="446"/>
      <c r="G3" s="446"/>
      <c r="H3" s="446"/>
      <c r="I3" s="446"/>
      <c r="J3" s="446"/>
      <c r="K3" s="446"/>
      <c r="L3" s="446"/>
      <c r="M3" s="446"/>
      <c r="N3" s="446"/>
      <c r="O3" s="446"/>
      <c r="P3" s="446"/>
      <c r="Q3" s="446"/>
      <c r="R3" s="446"/>
      <c r="S3" s="446"/>
      <c r="T3" s="446"/>
      <c r="U3" s="446"/>
      <c r="V3" s="446"/>
      <c r="W3" s="446"/>
      <c r="X3" s="446"/>
    </row>
    <row r="4" spans="1:24" ht="17.25" customHeight="1">
      <c r="A4" s="446"/>
      <c r="B4" s="446"/>
      <c r="C4" s="446"/>
      <c r="D4" s="446"/>
      <c r="E4" s="446"/>
      <c r="F4" s="446"/>
      <c r="G4" s="446"/>
      <c r="H4" s="446"/>
      <c r="I4" s="446"/>
      <c r="J4" s="446"/>
      <c r="K4" s="446"/>
      <c r="L4" s="446"/>
      <c r="M4" s="446"/>
      <c r="N4" s="446"/>
      <c r="O4" s="446"/>
      <c r="P4" s="446"/>
      <c r="Q4" s="446"/>
      <c r="R4" s="446"/>
      <c r="S4" s="446"/>
      <c r="T4" s="446"/>
      <c r="U4" s="446"/>
      <c r="V4" s="446"/>
      <c r="W4" s="446"/>
      <c r="X4" s="446"/>
    </row>
    <row r="5" spans="1:24" ht="18" customHeight="1">
      <c r="A5" s="283"/>
      <c r="B5" s="285"/>
      <c r="C5" s="285"/>
      <c r="D5" s="285"/>
      <c r="E5" s="285"/>
      <c r="F5" s="284"/>
      <c r="G5" s="284"/>
      <c r="H5" s="284"/>
      <c r="I5" s="284"/>
      <c r="J5" s="284"/>
      <c r="K5" s="284"/>
      <c r="L5" s="284"/>
      <c r="M5" s="284"/>
      <c r="N5" s="284"/>
      <c r="O5" s="284"/>
      <c r="P5" s="284"/>
      <c r="Q5" s="284"/>
      <c r="R5" s="285"/>
      <c r="S5" s="284"/>
      <c r="T5" s="284"/>
      <c r="U5" s="284"/>
      <c r="V5" s="284"/>
      <c r="W5" s="284"/>
      <c r="X5" s="284"/>
    </row>
    <row r="6" spans="1:24" s="279" customFormat="1" ht="15.75" customHeight="1">
      <c r="A6" s="326"/>
      <c r="B6" s="328"/>
      <c r="C6" s="328"/>
      <c r="D6" s="328"/>
      <c r="E6" s="328"/>
      <c r="F6" s="327"/>
      <c r="G6" s="327"/>
      <c r="H6" s="327"/>
      <c r="I6" s="327"/>
      <c r="J6" s="327"/>
      <c r="K6" s="327"/>
      <c r="L6" s="327"/>
      <c r="M6" s="327"/>
      <c r="N6" s="327"/>
      <c r="O6" s="327"/>
      <c r="P6" s="327"/>
      <c r="Q6" s="327"/>
      <c r="R6" s="328"/>
      <c r="S6" s="327"/>
      <c r="T6" s="327"/>
      <c r="U6" s="327"/>
      <c r="V6" s="327"/>
      <c r="W6" s="327"/>
      <c r="X6" s="327"/>
    </row>
    <row r="7" spans="1:24" ht="15.75" customHeight="1">
      <c r="A7" s="283"/>
      <c r="B7" s="285"/>
      <c r="C7" s="285"/>
      <c r="D7" s="285"/>
      <c r="E7" s="285"/>
      <c r="F7" s="284"/>
      <c r="G7" s="284"/>
      <c r="H7" s="284"/>
      <c r="I7" s="284"/>
      <c r="J7" s="284"/>
      <c r="K7" s="284"/>
      <c r="L7" s="284"/>
      <c r="M7" s="284"/>
      <c r="N7" s="284"/>
      <c r="O7" s="284"/>
      <c r="P7" s="284"/>
      <c r="Q7" s="284"/>
      <c r="R7" s="285"/>
      <c r="S7" s="284"/>
      <c r="T7" s="284"/>
      <c r="U7" s="284"/>
      <c r="V7" s="284"/>
      <c r="W7" s="284"/>
      <c r="X7" s="284"/>
    </row>
    <row r="8" spans="1:24" s="279" customFormat="1" ht="20.25" customHeight="1">
      <c r="A8" s="326"/>
      <c r="B8" s="328"/>
      <c r="C8" s="328"/>
      <c r="D8" s="328"/>
      <c r="E8" s="328"/>
      <c r="F8" s="327"/>
      <c r="G8" s="327"/>
      <c r="H8" s="327"/>
      <c r="I8" s="327"/>
      <c r="J8" s="327"/>
      <c r="K8" s="327"/>
      <c r="L8" s="327"/>
      <c r="M8" s="327"/>
      <c r="N8" s="327"/>
      <c r="O8" s="327"/>
      <c r="P8" s="327"/>
      <c r="Q8" s="327"/>
      <c r="R8" s="328"/>
      <c r="S8" s="327"/>
      <c r="T8" s="327"/>
      <c r="U8" s="327"/>
      <c r="V8" s="327"/>
      <c r="W8" s="327"/>
      <c r="X8" s="327"/>
    </row>
    <row r="9" spans="1:24" s="279" customFormat="1" ht="15" customHeight="1">
      <c r="A9" s="326"/>
      <c r="B9" s="328"/>
      <c r="C9" s="328"/>
      <c r="D9" s="328"/>
      <c r="E9" s="328"/>
      <c r="F9" s="327"/>
      <c r="G9" s="327"/>
      <c r="H9" s="327"/>
      <c r="I9" s="327"/>
      <c r="J9" s="327"/>
      <c r="K9" s="327"/>
      <c r="L9" s="327"/>
      <c r="M9" s="327"/>
      <c r="N9" s="327"/>
      <c r="O9" s="327"/>
      <c r="P9" s="327"/>
      <c r="Q9" s="327"/>
      <c r="R9" s="328"/>
      <c r="S9" s="327"/>
      <c r="T9" s="327"/>
      <c r="U9" s="327"/>
      <c r="V9" s="327"/>
      <c r="W9" s="327"/>
      <c r="X9" s="327"/>
    </row>
    <row r="10" spans="1:24" s="279" customFormat="1" ht="20.25" customHeight="1">
      <c r="A10" s="326"/>
      <c r="B10" s="328"/>
      <c r="C10" s="328"/>
      <c r="D10" s="328"/>
      <c r="E10" s="328"/>
      <c r="F10" s="327"/>
      <c r="G10" s="327"/>
      <c r="H10" s="327"/>
      <c r="I10" s="327"/>
      <c r="J10" s="327"/>
      <c r="K10" s="327"/>
      <c r="L10" s="327"/>
      <c r="M10" s="327"/>
      <c r="N10" s="327"/>
      <c r="O10" s="327"/>
      <c r="P10" s="327"/>
      <c r="Q10" s="327"/>
      <c r="R10" s="328"/>
      <c r="S10" s="327"/>
      <c r="T10" s="327"/>
      <c r="U10" s="327"/>
      <c r="V10" s="327"/>
      <c r="W10" s="327"/>
      <c r="X10" s="327"/>
    </row>
    <row r="11" spans="1:24" s="279" customFormat="1" ht="30" customHeight="1">
      <c r="A11" s="480" t="s">
        <v>241</v>
      </c>
      <c r="B11" s="483" t="s">
        <v>244</v>
      </c>
      <c r="C11" s="484"/>
      <c r="D11" s="484"/>
      <c r="E11" s="485"/>
      <c r="F11" s="482" t="s">
        <v>269</v>
      </c>
      <c r="G11" s="482"/>
      <c r="H11" s="482"/>
      <c r="I11" s="482"/>
      <c r="J11" s="482"/>
      <c r="K11" s="482"/>
      <c r="L11" s="482"/>
      <c r="M11" s="482"/>
      <c r="N11" s="482"/>
      <c r="O11" s="482"/>
      <c r="P11" s="327"/>
      <c r="Q11" s="327"/>
      <c r="R11" s="328"/>
      <c r="S11" s="327"/>
      <c r="T11" s="327"/>
      <c r="U11" s="327"/>
      <c r="V11" s="327"/>
      <c r="W11" s="327"/>
      <c r="X11" s="327"/>
    </row>
    <row r="12" spans="1:24" s="279" customFormat="1" ht="36" customHeight="1">
      <c r="A12" s="481"/>
      <c r="B12" s="344" t="s">
        <v>41</v>
      </c>
      <c r="C12" s="344" t="s">
        <v>42</v>
      </c>
      <c r="D12" s="344" t="s">
        <v>0</v>
      </c>
      <c r="E12" s="369" t="s">
        <v>277</v>
      </c>
      <c r="F12" s="345" t="s">
        <v>270</v>
      </c>
      <c r="G12" s="345" t="s">
        <v>271</v>
      </c>
      <c r="H12" s="345" t="s">
        <v>1</v>
      </c>
      <c r="I12" s="345" t="s">
        <v>291</v>
      </c>
      <c r="J12" s="345" t="s">
        <v>250</v>
      </c>
      <c r="K12" s="345" t="s">
        <v>257</v>
      </c>
      <c r="L12" s="345" t="s">
        <v>272</v>
      </c>
      <c r="M12" s="345" t="s">
        <v>273</v>
      </c>
      <c r="N12" s="345" t="s">
        <v>176</v>
      </c>
      <c r="O12" s="345" t="s">
        <v>177</v>
      </c>
      <c r="P12" s="327"/>
      <c r="Q12" s="327"/>
      <c r="R12" s="328"/>
      <c r="S12" s="327"/>
      <c r="T12" s="327"/>
      <c r="U12" s="327"/>
      <c r="V12" s="327"/>
      <c r="W12" s="327"/>
      <c r="X12" s="327"/>
    </row>
    <row r="13" spans="1:24" s="279" customFormat="1" ht="95.25" customHeight="1">
      <c r="A13" s="376" t="s">
        <v>295</v>
      </c>
      <c r="B13" s="372" t="str">
        <f>'Scripts and Execution'!C10</f>
        <v>Validate that  a copy of the invoice is sent to zdhc gateway – added to the order log in both account admin view and bureau view.</v>
      </c>
      <c r="C13" s="372" t="str">
        <f>'Scripts and Execution'!D10</f>
        <v>Pre-Condition:
- Pre-condition 1
- Pre-condition 2
1. Step 1
2. Step 2
3. Step 3</v>
      </c>
      <c r="D13" s="372" t="str">
        <f>'Scripts and Execution'!E10</f>
        <v xml:space="preserve"> A copy of the Invoice is sent to ZDHC Gateway – Added to the order log in both Account Admin view and Bureau view.</v>
      </c>
      <c r="E13" s="373"/>
      <c r="F13" s="395" t="s">
        <v>233</v>
      </c>
      <c r="G13" s="395" t="s">
        <v>233</v>
      </c>
      <c r="H13" s="395" t="s">
        <v>230</v>
      </c>
      <c r="I13" s="396">
        <v>0</v>
      </c>
      <c r="J13" s="343" t="s">
        <v>251</v>
      </c>
      <c r="K13" s="343" t="s">
        <v>255</v>
      </c>
      <c r="L13" s="343" t="s">
        <v>59</v>
      </c>
      <c r="M13" s="347" t="s">
        <v>258</v>
      </c>
      <c r="N13" s="347">
        <v>42719.678298611114</v>
      </c>
      <c r="O13" s="347"/>
      <c r="P13" s="327"/>
      <c r="Q13" s="327"/>
      <c r="R13" s="328"/>
      <c r="S13" s="327"/>
      <c r="T13" s="327"/>
      <c r="U13" s="327"/>
      <c r="V13" s="327"/>
      <c r="W13" s="327"/>
      <c r="X13" s="327"/>
    </row>
    <row r="14" spans="1:24" s="279" customFormat="1" ht="78.75">
      <c r="A14" s="376" t="s">
        <v>297</v>
      </c>
      <c r="B14" s="372" t="str">
        <f>'Scripts and Execution'!C11</f>
        <v>Validate that upon receipt of the check, adec finance will approve the payment.
- additional detail
- additional detail</v>
      </c>
      <c r="C14" s="372" t="str">
        <f>'Scripts and Execution'!D11</f>
        <v>Pre-Condition:
- Pre-condition 1
- Pre-condition 2
1. Step 1
2. Step 2
3. Step 3</v>
      </c>
      <c r="D14" s="372" t="str">
        <f>'Scripts and Execution'!E11</f>
        <v>Upon receipt of the Check, ADEC finance will approve the payment.
- Additional detail
- Additional detail</v>
      </c>
      <c r="E14" s="375"/>
      <c r="F14" s="395" t="s">
        <v>227</v>
      </c>
      <c r="G14" s="395" t="s">
        <v>234</v>
      </c>
      <c r="H14" s="395" t="s">
        <v>248</v>
      </c>
      <c r="I14" s="394">
        <v>0</v>
      </c>
      <c r="J14" s="343" t="s">
        <v>252</v>
      </c>
      <c r="K14" s="343" t="s">
        <v>156</v>
      </c>
      <c r="L14" s="343" t="s">
        <v>59</v>
      </c>
      <c r="M14" s="347" t="s">
        <v>258</v>
      </c>
      <c r="N14" s="347">
        <v>42719.678819444445</v>
      </c>
      <c r="O14" s="347"/>
      <c r="P14" s="327"/>
      <c r="Q14" s="327"/>
      <c r="R14" s="328"/>
      <c r="S14" s="327"/>
      <c r="T14" s="327"/>
      <c r="U14" s="327"/>
      <c r="V14" s="327"/>
      <c r="W14" s="327"/>
      <c r="X14" s="327"/>
    </row>
    <row r="15" spans="1:24" s="279" customFormat="1" ht="78.75">
      <c r="A15" s="376" t="s">
        <v>298</v>
      </c>
      <c r="B15" s="372" t="str">
        <f>'Scripts and Execution'!C12</f>
        <v>Validate that an email and in-app notification will be sent to the account admin(s).</v>
      </c>
      <c r="C15" s="372" t="str">
        <f>'Scripts and Execution'!D12</f>
        <v>Pre-Condition:
- Pre-condition 1
- Pre-condition 2
1. Step 1
2. Step 2
3. Step 3</v>
      </c>
      <c r="D15" s="372" t="str">
        <f>'Scripts and Execution'!E12</f>
        <v>An email and in-app notification will be sent to the Account Admin(s).</v>
      </c>
      <c r="E15" s="375"/>
      <c r="F15" s="395" t="s">
        <v>226</v>
      </c>
      <c r="G15" s="395" t="s">
        <v>235</v>
      </c>
      <c r="H15" s="395" t="s">
        <v>247</v>
      </c>
      <c r="I15" s="394">
        <v>2</v>
      </c>
      <c r="J15" s="343" t="s">
        <v>253</v>
      </c>
      <c r="K15" s="343" t="s">
        <v>156</v>
      </c>
      <c r="L15" s="343" t="s">
        <v>59</v>
      </c>
      <c r="M15" s="347" t="s">
        <v>258</v>
      </c>
      <c r="N15" s="347">
        <v>42719.678935185184</v>
      </c>
      <c r="O15" s="347">
        <v>42719.690069444441</v>
      </c>
      <c r="P15" s="327"/>
      <c r="Q15" s="327"/>
      <c r="R15" s="328"/>
      <c r="S15" s="327"/>
      <c r="T15" s="327"/>
      <c r="U15" s="327"/>
      <c r="V15" s="327"/>
      <c r="W15" s="327"/>
      <c r="X15" s="327"/>
    </row>
    <row r="16" spans="1:24" s="279" customFormat="1" ht="78.75">
      <c r="A16" s="376" t="s">
        <v>299</v>
      </c>
      <c r="B16" s="372" t="str">
        <f>'Scripts and Execution'!C13</f>
        <v>Validate that a copy of the receipt should be added to the order log in both account admin view and bureau view, replacing the original invoice.</v>
      </c>
      <c r="C16" s="372" t="str">
        <f>'Scripts and Execution'!D13</f>
        <v>Pre-Condition:
- Pre-condition 1
- Pre-condition 2
1. Step 1
2. Step 2
3. Step 3</v>
      </c>
      <c r="D16" s="372" t="str">
        <f>'Scripts and Execution'!E13</f>
        <v>A copy of the receipt should be added to the order log in both Account Admin view and Bureau view, replacing the original Invoice.</v>
      </c>
      <c r="E16" s="375"/>
      <c r="F16" s="395" t="s">
        <v>225</v>
      </c>
      <c r="G16" s="395" t="s">
        <v>236</v>
      </c>
      <c r="H16" s="395" t="s">
        <v>228</v>
      </c>
      <c r="I16" s="394">
        <v>0</v>
      </c>
      <c r="J16" s="343" t="s">
        <v>238</v>
      </c>
      <c r="K16" s="343" t="s">
        <v>156</v>
      </c>
      <c r="L16" s="343" t="s">
        <v>60</v>
      </c>
      <c r="M16" s="347" t="s">
        <v>258</v>
      </c>
      <c r="N16" s="347">
        <v>42719.679247685184</v>
      </c>
      <c r="O16" s="347">
        <v>42719.679270833331</v>
      </c>
      <c r="P16" s="327"/>
      <c r="Q16" s="327"/>
      <c r="R16" s="328"/>
      <c r="S16" s="327"/>
      <c r="T16" s="327"/>
      <c r="U16" s="327"/>
      <c r="V16" s="327"/>
      <c r="W16" s="327"/>
      <c r="X16" s="327"/>
    </row>
    <row r="17" spans="1:24" s="279" customFormat="1" ht="12.75">
      <c r="A17" s="376" t="s">
        <v>294</v>
      </c>
      <c r="B17" s="372">
        <f>'Scripts and Execution'!C14</f>
        <v>0</v>
      </c>
      <c r="C17" s="372">
        <f>'Scripts and Execution'!D14</f>
        <v>0</v>
      </c>
      <c r="D17" s="372">
        <f>'Scripts and Execution'!E14</f>
        <v>0</v>
      </c>
      <c r="E17" s="375"/>
      <c r="F17" s="395"/>
      <c r="G17" s="395"/>
      <c r="H17" s="395"/>
      <c r="I17" s="371"/>
      <c r="J17" s="343"/>
      <c r="K17" s="343"/>
      <c r="L17" s="343"/>
      <c r="M17" s="347"/>
      <c r="N17" s="347"/>
      <c r="O17" s="347"/>
      <c r="P17" s="327"/>
      <c r="Q17" s="327"/>
      <c r="R17" s="328"/>
      <c r="S17" s="327"/>
      <c r="T17" s="327"/>
      <c r="U17" s="327"/>
      <c r="V17" s="327"/>
      <c r="W17" s="327"/>
      <c r="X17" s="327"/>
    </row>
    <row r="18" spans="1:24" s="279" customFormat="1" ht="12.75">
      <c r="A18" s="376" t="s">
        <v>294</v>
      </c>
      <c r="B18" s="374"/>
      <c r="C18" s="374"/>
      <c r="D18" s="374"/>
      <c r="E18" s="375"/>
      <c r="F18" s="395"/>
      <c r="G18" s="395"/>
      <c r="H18" s="395"/>
      <c r="I18" s="371"/>
      <c r="J18" s="343"/>
      <c r="K18" s="343"/>
      <c r="L18" s="343"/>
      <c r="M18" s="347"/>
      <c r="N18" s="347"/>
      <c r="O18" s="347"/>
      <c r="P18" s="327"/>
      <c r="Q18" s="327"/>
      <c r="R18" s="328"/>
      <c r="S18" s="327"/>
      <c r="T18" s="327"/>
      <c r="U18" s="327"/>
      <c r="V18" s="327"/>
      <c r="W18" s="327"/>
      <c r="X18" s="327"/>
    </row>
    <row r="19" spans="1:24" s="279" customFormat="1" ht="12.75">
      <c r="A19" s="376" t="s">
        <v>294</v>
      </c>
      <c r="B19" s="374"/>
      <c r="C19" s="374"/>
      <c r="D19" s="374"/>
      <c r="E19" s="375"/>
      <c r="F19" s="395"/>
      <c r="G19" s="395"/>
      <c r="H19" s="395"/>
      <c r="I19" s="371"/>
      <c r="J19" s="343"/>
      <c r="K19" s="343"/>
      <c r="L19" s="343"/>
      <c r="M19" s="347"/>
      <c r="N19" s="347"/>
      <c r="O19" s="347"/>
      <c r="P19" s="327"/>
      <c r="Q19" s="327"/>
      <c r="R19" s="328"/>
      <c r="S19" s="327"/>
      <c r="T19" s="327"/>
      <c r="U19" s="327"/>
      <c r="V19" s="327"/>
      <c r="W19" s="327"/>
      <c r="X19" s="327"/>
    </row>
    <row r="20" spans="1:24" s="279" customFormat="1" ht="12.75">
      <c r="A20" s="376" t="s">
        <v>294</v>
      </c>
      <c r="B20" s="374"/>
      <c r="C20" s="374"/>
      <c r="D20" s="374"/>
      <c r="E20" s="375"/>
      <c r="F20" s="395"/>
      <c r="G20" s="395"/>
      <c r="H20" s="395"/>
      <c r="I20" s="371"/>
      <c r="J20" s="343"/>
      <c r="K20" s="343"/>
      <c r="L20" s="343"/>
      <c r="M20" s="347"/>
      <c r="N20" s="347"/>
      <c r="O20" s="347"/>
      <c r="P20" s="327"/>
      <c r="Q20" s="327"/>
      <c r="R20" s="328"/>
      <c r="S20" s="327"/>
      <c r="T20" s="327"/>
      <c r="U20" s="327"/>
      <c r="V20" s="327"/>
      <c r="W20" s="327"/>
      <c r="X20" s="327"/>
    </row>
    <row r="21" spans="1:24" s="279" customFormat="1" ht="12.75">
      <c r="A21" s="376" t="s">
        <v>294</v>
      </c>
      <c r="B21" s="374"/>
      <c r="C21" s="374"/>
      <c r="D21" s="374"/>
      <c r="E21" s="375"/>
      <c r="F21" s="395"/>
      <c r="G21" s="395"/>
      <c r="H21" s="395"/>
      <c r="I21" s="371"/>
      <c r="J21" s="343"/>
      <c r="K21" s="343"/>
      <c r="L21" s="343"/>
      <c r="M21" s="347"/>
      <c r="N21" s="347"/>
      <c r="O21" s="347"/>
      <c r="P21" s="327"/>
      <c r="Q21" s="327"/>
      <c r="R21" s="328"/>
      <c r="S21" s="327"/>
      <c r="T21" s="327"/>
      <c r="U21" s="327"/>
      <c r="V21" s="327"/>
      <c r="W21" s="327"/>
      <c r="X21" s="327"/>
    </row>
    <row r="22" spans="1:24" s="279" customFormat="1" ht="12.75">
      <c r="A22" s="376" t="s">
        <v>294</v>
      </c>
      <c r="B22" s="374"/>
      <c r="C22" s="374"/>
      <c r="D22" s="374"/>
      <c r="E22" s="375"/>
      <c r="F22" s="395"/>
      <c r="G22" s="395"/>
      <c r="H22" s="395"/>
      <c r="I22" s="371"/>
      <c r="J22" s="343"/>
      <c r="K22" s="343"/>
      <c r="L22" s="343"/>
      <c r="M22" s="347"/>
      <c r="N22" s="347"/>
      <c r="O22" s="347"/>
      <c r="P22" s="327"/>
      <c r="Q22" s="327"/>
      <c r="R22" s="328"/>
      <c r="S22" s="327"/>
      <c r="T22" s="327"/>
      <c r="U22" s="327"/>
      <c r="V22" s="327"/>
      <c r="W22" s="327"/>
      <c r="X22" s="327"/>
    </row>
    <row r="23" spans="1:24" s="279" customFormat="1" ht="12.75">
      <c r="A23" s="376" t="s">
        <v>294</v>
      </c>
      <c r="B23" s="374"/>
      <c r="C23" s="374"/>
      <c r="D23" s="374"/>
      <c r="E23" s="375"/>
      <c r="F23" s="395"/>
      <c r="G23" s="395"/>
      <c r="H23" s="395"/>
      <c r="I23" s="371"/>
      <c r="J23" s="343"/>
      <c r="K23" s="343"/>
      <c r="L23" s="343"/>
      <c r="M23" s="347"/>
      <c r="N23" s="347"/>
      <c r="O23" s="347"/>
      <c r="P23" s="327"/>
      <c r="Q23" s="327"/>
      <c r="R23" s="328"/>
      <c r="S23" s="327"/>
      <c r="T23" s="327"/>
      <c r="U23" s="327"/>
      <c r="V23" s="327"/>
      <c r="W23" s="327"/>
      <c r="X23" s="327"/>
    </row>
    <row r="24" spans="1:24" s="279" customFormat="1" ht="12.75">
      <c r="A24" s="376" t="s">
        <v>294</v>
      </c>
      <c r="B24" s="374"/>
      <c r="C24" s="374"/>
      <c r="D24" s="374"/>
      <c r="E24" s="375"/>
      <c r="F24" s="395"/>
      <c r="G24" s="395"/>
      <c r="H24" s="395"/>
      <c r="I24" s="371"/>
      <c r="J24" s="343"/>
      <c r="K24" s="343"/>
      <c r="L24" s="343"/>
      <c r="M24" s="347"/>
      <c r="N24" s="347"/>
      <c r="O24" s="347"/>
      <c r="P24" s="327"/>
      <c r="Q24" s="327"/>
      <c r="R24" s="328"/>
      <c r="S24" s="327"/>
      <c r="T24" s="327"/>
      <c r="U24" s="327"/>
      <c r="V24" s="327"/>
      <c r="W24" s="327"/>
      <c r="X24" s="327"/>
    </row>
    <row r="25" spans="1:24" s="279" customFormat="1" ht="12.75">
      <c r="A25" s="342"/>
      <c r="B25" s="374"/>
      <c r="C25" s="374"/>
      <c r="D25" s="374"/>
      <c r="E25" s="375"/>
      <c r="F25" s="395"/>
      <c r="G25" s="395"/>
      <c r="H25" s="395"/>
      <c r="I25" s="371"/>
      <c r="J25" s="343"/>
      <c r="K25" s="343"/>
      <c r="L25" s="343"/>
      <c r="M25" s="347"/>
      <c r="N25" s="347"/>
      <c r="O25" s="347"/>
      <c r="P25" s="327"/>
      <c r="Q25" s="327"/>
      <c r="R25" s="328"/>
      <c r="S25" s="327"/>
      <c r="T25" s="327"/>
      <c r="U25" s="327"/>
      <c r="V25" s="327"/>
      <c r="W25" s="327"/>
      <c r="X25" s="327"/>
    </row>
    <row r="26" spans="1:24" s="279" customFormat="1" ht="12.75">
      <c r="A26" s="342"/>
      <c r="B26" s="374"/>
      <c r="C26" s="374"/>
      <c r="D26" s="374"/>
      <c r="E26" s="375"/>
      <c r="F26" s="395"/>
      <c r="G26" s="395"/>
      <c r="H26" s="395"/>
      <c r="I26" s="371"/>
      <c r="J26" s="343"/>
      <c r="K26" s="343"/>
      <c r="L26" s="343"/>
      <c r="M26" s="347"/>
      <c r="N26" s="347"/>
      <c r="O26" s="347"/>
      <c r="P26" s="327"/>
      <c r="Q26" s="327"/>
      <c r="R26" s="328"/>
      <c r="S26" s="327"/>
      <c r="T26" s="327"/>
      <c r="U26" s="327"/>
      <c r="V26" s="327"/>
      <c r="W26" s="327"/>
      <c r="X26" s="327"/>
    </row>
    <row r="27" spans="1:24" s="279" customFormat="1" ht="12.75">
      <c r="A27" s="342"/>
      <c r="B27" s="374"/>
      <c r="C27" s="374"/>
      <c r="D27" s="374"/>
      <c r="E27" s="375"/>
      <c r="F27" s="395"/>
      <c r="G27" s="395"/>
      <c r="H27" s="395"/>
      <c r="I27" s="371"/>
      <c r="J27" s="343"/>
      <c r="K27" s="343"/>
      <c r="L27" s="343"/>
      <c r="M27" s="347"/>
      <c r="N27" s="347"/>
      <c r="O27" s="347"/>
      <c r="P27" s="327"/>
      <c r="Q27" s="327"/>
      <c r="R27" s="328"/>
      <c r="S27" s="327"/>
      <c r="T27" s="327"/>
      <c r="U27" s="327"/>
      <c r="V27" s="327"/>
      <c r="W27" s="327"/>
      <c r="X27" s="327"/>
    </row>
    <row r="28" spans="1:24" s="279" customFormat="1" ht="12.75">
      <c r="A28" s="342"/>
      <c r="B28" s="374"/>
      <c r="C28" s="374"/>
      <c r="D28" s="374"/>
      <c r="E28" s="375"/>
      <c r="F28" s="395"/>
      <c r="G28" s="395"/>
      <c r="H28" s="395"/>
      <c r="I28" s="371"/>
      <c r="J28" s="343"/>
      <c r="K28" s="343"/>
      <c r="L28" s="343"/>
      <c r="M28" s="347"/>
      <c r="N28" s="347"/>
      <c r="O28" s="347"/>
      <c r="P28" s="327"/>
      <c r="Q28" s="327"/>
      <c r="R28" s="328"/>
      <c r="S28" s="327"/>
      <c r="T28" s="327"/>
      <c r="U28" s="327"/>
      <c r="V28" s="327"/>
      <c r="W28" s="327"/>
      <c r="X28" s="327"/>
    </row>
    <row r="29" spans="1:24" s="279" customFormat="1" ht="12.75">
      <c r="A29" s="342"/>
      <c r="B29" s="374"/>
      <c r="C29" s="374"/>
      <c r="D29" s="374"/>
      <c r="E29" s="375"/>
      <c r="F29" s="395"/>
      <c r="G29" s="395"/>
      <c r="H29" s="395"/>
      <c r="I29" s="371"/>
      <c r="J29" s="343"/>
      <c r="K29" s="343"/>
      <c r="L29" s="343"/>
      <c r="M29" s="347"/>
      <c r="N29" s="347"/>
      <c r="O29" s="347"/>
      <c r="P29" s="327"/>
      <c r="Q29" s="327"/>
      <c r="R29" s="328"/>
      <c r="S29" s="327"/>
      <c r="T29" s="327"/>
      <c r="U29" s="327"/>
      <c r="V29" s="327"/>
      <c r="W29" s="327"/>
      <c r="X29" s="327"/>
    </row>
    <row r="30" spans="1:24" s="279" customFormat="1" ht="12.75">
      <c r="A30" s="342"/>
      <c r="B30" s="374"/>
      <c r="C30" s="374"/>
      <c r="D30" s="374"/>
      <c r="E30" s="375"/>
      <c r="F30" s="395"/>
      <c r="G30" s="395"/>
      <c r="H30" s="395"/>
      <c r="I30" s="371"/>
      <c r="J30" s="343"/>
      <c r="K30" s="343"/>
      <c r="L30" s="343"/>
      <c r="M30" s="347"/>
      <c r="N30" s="347"/>
      <c r="O30" s="347"/>
      <c r="P30" s="327"/>
      <c r="Q30" s="327"/>
      <c r="R30" s="328"/>
      <c r="S30" s="327"/>
      <c r="T30" s="327"/>
      <c r="U30" s="327"/>
      <c r="V30" s="327"/>
      <c r="W30" s="327"/>
      <c r="X30" s="327"/>
    </row>
    <row r="31" spans="1:24" s="279" customFormat="1" ht="12.75">
      <c r="A31" s="342"/>
      <c r="B31" s="374"/>
      <c r="C31" s="374"/>
      <c r="D31" s="374"/>
      <c r="E31" s="375"/>
      <c r="F31" s="395"/>
      <c r="G31" s="395"/>
      <c r="H31" s="395"/>
      <c r="I31" s="371"/>
      <c r="J31" s="343"/>
      <c r="K31" s="343"/>
      <c r="L31" s="343"/>
      <c r="M31" s="347"/>
      <c r="N31" s="347"/>
      <c r="O31" s="347"/>
      <c r="P31" s="327"/>
      <c r="Q31" s="327"/>
      <c r="R31" s="328"/>
      <c r="S31" s="327"/>
      <c r="T31" s="327"/>
      <c r="U31" s="327"/>
      <c r="V31" s="327"/>
      <c r="W31" s="327"/>
      <c r="X31" s="327"/>
    </row>
    <row r="32" spans="1:24" s="279" customFormat="1" ht="12.75">
      <c r="A32" s="342"/>
      <c r="B32" s="374"/>
      <c r="C32" s="374"/>
      <c r="D32" s="374"/>
      <c r="E32" s="375"/>
      <c r="F32" s="395"/>
      <c r="G32" s="395"/>
      <c r="H32" s="395"/>
      <c r="I32" s="371"/>
      <c r="J32" s="343"/>
      <c r="K32" s="343"/>
      <c r="L32" s="343"/>
      <c r="M32" s="347"/>
      <c r="N32" s="347"/>
      <c r="O32" s="347"/>
      <c r="P32" s="327"/>
      <c r="Q32" s="327"/>
      <c r="R32" s="328"/>
      <c r="S32" s="327"/>
      <c r="T32" s="327"/>
      <c r="U32" s="327"/>
      <c r="V32" s="327"/>
      <c r="W32" s="327"/>
      <c r="X32" s="327"/>
    </row>
    <row r="33" spans="1:24" s="279" customFormat="1" ht="12.75">
      <c r="A33" s="342"/>
      <c r="B33" s="374"/>
      <c r="C33" s="374"/>
      <c r="D33" s="374"/>
      <c r="E33" s="375"/>
      <c r="F33" s="395"/>
      <c r="G33" s="395"/>
      <c r="H33" s="395"/>
      <c r="I33" s="371"/>
      <c r="J33" s="343"/>
      <c r="K33" s="343"/>
      <c r="L33" s="343"/>
      <c r="M33" s="347"/>
      <c r="N33" s="347"/>
      <c r="O33" s="347"/>
      <c r="P33" s="327"/>
      <c r="Q33" s="327"/>
      <c r="R33" s="328"/>
      <c r="S33" s="327"/>
      <c r="T33" s="327"/>
      <c r="U33" s="327"/>
      <c r="V33" s="327"/>
      <c r="W33" s="327"/>
      <c r="X33" s="327"/>
    </row>
    <row r="34" spans="1:24" s="279" customFormat="1" ht="12.75">
      <c r="A34" s="342"/>
      <c r="B34" s="374"/>
      <c r="C34" s="374"/>
      <c r="D34" s="374"/>
      <c r="E34" s="375"/>
      <c r="F34" s="395"/>
      <c r="G34" s="395"/>
      <c r="H34" s="395"/>
      <c r="I34" s="371"/>
      <c r="J34" s="343"/>
      <c r="K34" s="343"/>
      <c r="L34" s="343"/>
      <c r="M34" s="347"/>
      <c r="N34" s="347"/>
      <c r="O34" s="347"/>
      <c r="P34" s="327"/>
      <c r="Q34" s="327"/>
      <c r="R34" s="328"/>
      <c r="S34" s="327"/>
      <c r="T34" s="327"/>
      <c r="U34" s="327"/>
      <c r="V34" s="327"/>
      <c r="W34" s="327"/>
      <c r="X34" s="327"/>
    </row>
    <row r="35" spans="1:24" s="279" customFormat="1" ht="12.75">
      <c r="A35" s="342"/>
      <c r="B35" s="374"/>
      <c r="C35" s="374"/>
      <c r="D35" s="374"/>
      <c r="E35" s="375"/>
      <c r="F35" s="395"/>
      <c r="G35" s="395"/>
      <c r="H35" s="395"/>
      <c r="I35" s="371"/>
      <c r="J35" s="343"/>
      <c r="K35" s="343"/>
      <c r="L35" s="343"/>
      <c r="M35" s="347"/>
      <c r="N35" s="347"/>
      <c r="O35" s="347"/>
      <c r="P35" s="327"/>
      <c r="Q35" s="327"/>
      <c r="R35" s="328"/>
      <c r="S35" s="327"/>
      <c r="T35" s="327"/>
      <c r="U35" s="327"/>
      <c r="V35" s="327"/>
      <c r="W35" s="327"/>
      <c r="X35" s="327"/>
    </row>
    <row r="36" spans="1:24" s="279" customFormat="1" ht="12.75">
      <c r="A36" s="342"/>
      <c r="B36" s="374"/>
      <c r="C36" s="374"/>
      <c r="D36" s="374"/>
      <c r="E36" s="375"/>
      <c r="F36" s="395"/>
      <c r="G36" s="395"/>
      <c r="H36" s="395"/>
      <c r="I36" s="371"/>
      <c r="J36" s="343"/>
      <c r="K36" s="343"/>
      <c r="L36" s="343"/>
      <c r="M36" s="347"/>
      <c r="N36" s="347"/>
      <c r="O36" s="347"/>
      <c r="P36" s="327"/>
      <c r="Q36" s="327"/>
      <c r="R36" s="328"/>
      <c r="S36" s="327"/>
      <c r="T36" s="327"/>
      <c r="U36" s="327"/>
      <c r="V36" s="327"/>
      <c r="W36" s="327"/>
      <c r="X36" s="327"/>
    </row>
    <row r="37" spans="1:24" s="279" customFormat="1" ht="12.75">
      <c r="A37" s="342"/>
      <c r="B37" s="374"/>
      <c r="C37" s="374"/>
      <c r="D37" s="374"/>
      <c r="E37" s="375"/>
      <c r="F37" s="395"/>
      <c r="G37" s="395"/>
      <c r="H37" s="395"/>
      <c r="I37" s="371"/>
      <c r="J37" s="343"/>
      <c r="K37" s="343"/>
      <c r="L37" s="343"/>
      <c r="M37" s="347"/>
      <c r="N37" s="347"/>
      <c r="O37" s="347"/>
      <c r="P37" s="327"/>
      <c r="Q37" s="327"/>
      <c r="R37" s="328"/>
      <c r="S37" s="327"/>
      <c r="T37" s="327"/>
      <c r="U37" s="327"/>
      <c r="V37" s="327"/>
      <c r="W37" s="327"/>
      <c r="X37" s="327"/>
    </row>
    <row r="38" spans="1:24" s="279" customFormat="1" ht="12.75">
      <c r="A38" s="342"/>
      <c r="B38" s="374"/>
      <c r="C38" s="374"/>
      <c r="D38" s="374"/>
      <c r="E38" s="375"/>
      <c r="F38" s="395"/>
      <c r="G38" s="395"/>
      <c r="H38" s="395"/>
      <c r="I38" s="371"/>
      <c r="J38" s="343"/>
      <c r="K38" s="343"/>
      <c r="L38" s="343"/>
      <c r="M38" s="347"/>
      <c r="N38" s="347"/>
      <c r="O38" s="347"/>
      <c r="P38" s="327"/>
      <c r="Q38" s="327"/>
      <c r="R38" s="328"/>
      <c r="S38" s="327"/>
      <c r="T38" s="327"/>
      <c r="U38" s="327"/>
      <c r="V38" s="327"/>
      <c r="W38" s="327"/>
      <c r="X38" s="327"/>
    </row>
    <row r="39" spans="1:24" s="279" customFormat="1" ht="12.75">
      <c r="A39" s="342"/>
      <c r="B39" s="374"/>
      <c r="C39" s="374"/>
      <c r="D39" s="374"/>
      <c r="E39" s="375"/>
      <c r="F39" s="395"/>
      <c r="G39" s="395"/>
      <c r="H39" s="395"/>
      <c r="I39" s="371"/>
      <c r="J39" s="343"/>
      <c r="K39" s="343"/>
      <c r="L39" s="343"/>
      <c r="M39" s="347"/>
      <c r="N39" s="347"/>
      <c r="O39" s="347"/>
      <c r="P39" s="327"/>
      <c r="Q39" s="327"/>
      <c r="R39" s="328"/>
      <c r="S39" s="327"/>
      <c r="T39" s="327"/>
      <c r="U39" s="327"/>
      <c r="V39" s="327"/>
      <c r="W39" s="327"/>
      <c r="X39" s="327"/>
    </row>
    <row r="40" spans="1:24" s="279" customFormat="1" ht="12.75">
      <c r="A40" s="342"/>
      <c r="B40" s="374"/>
      <c r="C40" s="374"/>
      <c r="D40" s="374"/>
      <c r="E40" s="375"/>
      <c r="F40" s="395"/>
      <c r="G40" s="395"/>
      <c r="H40" s="395"/>
      <c r="I40" s="371"/>
      <c r="J40" s="343"/>
      <c r="K40" s="343"/>
      <c r="L40" s="343"/>
      <c r="M40" s="347"/>
      <c r="N40" s="347"/>
      <c r="O40" s="347"/>
      <c r="P40" s="327"/>
      <c r="Q40" s="327"/>
      <c r="R40" s="328"/>
      <c r="S40" s="327"/>
      <c r="T40" s="327"/>
      <c r="U40" s="327"/>
      <c r="V40" s="327"/>
      <c r="W40" s="327"/>
      <c r="X40" s="327"/>
    </row>
    <row r="41" spans="1:24" s="279" customFormat="1" ht="12.75">
      <c r="A41" s="342"/>
      <c r="B41" s="374"/>
      <c r="C41" s="374"/>
      <c r="D41" s="374"/>
      <c r="E41" s="375"/>
      <c r="F41" s="395"/>
      <c r="G41" s="395"/>
      <c r="H41" s="395"/>
      <c r="I41" s="371"/>
      <c r="J41" s="343"/>
      <c r="K41" s="343"/>
      <c r="L41" s="343"/>
      <c r="M41" s="347"/>
      <c r="N41" s="347"/>
      <c r="O41" s="347"/>
      <c r="P41" s="327"/>
      <c r="Q41" s="327"/>
      <c r="R41" s="328"/>
      <c r="S41" s="327"/>
      <c r="T41" s="327"/>
      <c r="U41" s="327"/>
      <c r="V41" s="327"/>
      <c r="W41" s="327"/>
      <c r="X41" s="327"/>
    </row>
    <row r="42" spans="1:24" s="279" customFormat="1" ht="12.75">
      <c r="A42" s="342"/>
      <c r="B42" s="374"/>
      <c r="C42" s="374"/>
      <c r="D42" s="374"/>
      <c r="E42" s="375"/>
      <c r="F42" s="395"/>
      <c r="G42" s="395"/>
      <c r="H42" s="395"/>
      <c r="I42" s="371"/>
      <c r="J42" s="343"/>
      <c r="K42" s="343"/>
      <c r="L42" s="343"/>
      <c r="M42" s="347"/>
      <c r="N42" s="347"/>
      <c r="O42" s="347"/>
      <c r="P42" s="327"/>
      <c r="Q42" s="327"/>
      <c r="R42" s="328"/>
      <c r="S42" s="327"/>
      <c r="T42" s="327"/>
      <c r="U42" s="327"/>
      <c r="V42" s="327"/>
      <c r="W42" s="327"/>
      <c r="X42" s="327"/>
    </row>
    <row r="43" spans="1:24" s="279" customFormat="1" ht="12.75">
      <c r="A43" s="342"/>
      <c r="B43" s="374"/>
      <c r="C43" s="374"/>
      <c r="D43" s="374"/>
      <c r="E43" s="375"/>
      <c r="F43" s="395"/>
      <c r="G43" s="395"/>
      <c r="H43" s="395"/>
      <c r="I43" s="371"/>
      <c r="J43" s="343"/>
      <c r="K43" s="343"/>
      <c r="L43" s="343"/>
      <c r="M43" s="347"/>
      <c r="N43" s="347"/>
      <c r="O43" s="347"/>
      <c r="P43" s="327"/>
      <c r="Q43" s="327"/>
      <c r="R43" s="328"/>
      <c r="S43" s="327"/>
      <c r="T43" s="327"/>
      <c r="U43" s="327"/>
      <c r="V43" s="327"/>
      <c r="W43" s="327"/>
      <c r="X43" s="327"/>
    </row>
    <row r="44" spans="1:24" s="279" customFormat="1" ht="12.75">
      <c r="A44" s="342"/>
      <c r="B44" s="374"/>
      <c r="C44" s="374"/>
      <c r="D44" s="374"/>
      <c r="E44" s="375"/>
      <c r="F44" s="395"/>
      <c r="G44" s="395"/>
      <c r="H44" s="395"/>
      <c r="I44" s="371"/>
      <c r="J44" s="343"/>
      <c r="K44" s="343"/>
      <c r="L44" s="343"/>
      <c r="M44" s="347"/>
      <c r="N44" s="347"/>
      <c r="O44" s="347"/>
      <c r="P44" s="327"/>
      <c r="Q44" s="327"/>
      <c r="R44" s="328"/>
      <c r="S44" s="327"/>
      <c r="T44" s="327"/>
      <c r="U44" s="327"/>
      <c r="V44" s="327"/>
      <c r="W44" s="327"/>
      <c r="X44" s="327"/>
    </row>
    <row r="45" spans="1:24" s="279" customFormat="1" ht="12.75">
      <c r="A45" s="342"/>
      <c r="B45" s="374"/>
      <c r="C45" s="374"/>
      <c r="D45" s="374"/>
      <c r="E45" s="375"/>
      <c r="F45" s="395"/>
      <c r="G45" s="395"/>
      <c r="H45" s="395"/>
      <c r="I45" s="371"/>
      <c r="J45" s="343"/>
      <c r="K45" s="343"/>
      <c r="L45" s="343"/>
      <c r="M45" s="347"/>
      <c r="N45" s="347"/>
      <c r="O45" s="347"/>
      <c r="P45" s="327"/>
      <c r="Q45" s="327"/>
      <c r="R45" s="328"/>
      <c r="S45" s="327"/>
      <c r="T45" s="327"/>
      <c r="U45" s="327"/>
      <c r="V45" s="327"/>
      <c r="W45" s="327"/>
      <c r="X45" s="327"/>
    </row>
    <row r="46" spans="1:24" s="279" customFormat="1" ht="12.75">
      <c r="A46" s="342"/>
      <c r="B46" s="374"/>
      <c r="C46" s="374"/>
      <c r="D46" s="374"/>
      <c r="E46" s="375"/>
      <c r="F46" s="395"/>
      <c r="G46" s="395"/>
      <c r="H46" s="395"/>
      <c r="I46" s="371"/>
      <c r="J46" s="343"/>
      <c r="K46" s="343"/>
      <c r="L46" s="343"/>
      <c r="M46" s="347"/>
      <c r="N46" s="347"/>
      <c r="O46" s="347"/>
      <c r="P46" s="327"/>
      <c r="Q46" s="327"/>
      <c r="R46" s="328"/>
      <c r="S46" s="327"/>
      <c r="T46" s="327"/>
      <c r="U46" s="327"/>
      <c r="V46" s="327"/>
      <c r="W46" s="327"/>
      <c r="X46" s="327"/>
    </row>
    <row r="47" spans="1:24" s="279" customFormat="1" ht="12.75">
      <c r="A47" s="342"/>
      <c r="B47" s="374"/>
      <c r="C47" s="374"/>
      <c r="D47" s="374"/>
      <c r="E47" s="375"/>
      <c r="F47" s="395"/>
      <c r="G47" s="395"/>
      <c r="H47" s="395"/>
      <c r="I47" s="371"/>
      <c r="J47" s="343"/>
      <c r="K47" s="343"/>
      <c r="L47" s="343"/>
      <c r="M47" s="347"/>
      <c r="N47" s="347"/>
      <c r="O47" s="347"/>
      <c r="P47" s="327"/>
      <c r="Q47" s="327"/>
      <c r="R47" s="328"/>
      <c r="S47" s="327"/>
      <c r="T47" s="327"/>
      <c r="U47" s="327"/>
      <c r="V47" s="327"/>
      <c r="W47" s="327"/>
      <c r="X47" s="327"/>
    </row>
    <row r="48" spans="1:24" s="279" customFormat="1" ht="12.75">
      <c r="A48" s="342"/>
      <c r="B48" s="374"/>
      <c r="C48" s="374"/>
      <c r="D48" s="374"/>
      <c r="E48" s="375"/>
      <c r="F48" s="395"/>
      <c r="G48" s="395"/>
      <c r="H48" s="395"/>
      <c r="I48" s="371"/>
      <c r="J48" s="343"/>
      <c r="K48" s="343"/>
      <c r="L48" s="343"/>
      <c r="M48" s="347"/>
      <c r="N48" s="347"/>
      <c r="O48" s="347"/>
      <c r="P48" s="327"/>
      <c r="Q48" s="327"/>
      <c r="R48" s="328"/>
      <c r="S48" s="327"/>
      <c r="T48" s="327"/>
      <c r="U48" s="327"/>
      <c r="V48" s="327"/>
      <c r="W48" s="327"/>
      <c r="X48" s="327"/>
    </row>
    <row r="49" spans="1:24" s="279" customFormat="1" ht="12.75">
      <c r="A49" s="342"/>
      <c r="B49" s="374"/>
      <c r="C49" s="374"/>
      <c r="D49" s="374"/>
      <c r="E49" s="375"/>
      <c r="F49" s="395"/>
      <c r="G49" s="395"/>
      <c r="H49" s="395"/>
      <c r="I49" s="371"/>
      <c r="J49" s="343"/>
      <c r="K49" s="343"/>
      <c r="L49" s="343"/>
      <c r="M49" s="347"/>
      <c r="N49" s="347"/>
      <c r="O49" s="347"/>
      <c r="P49" s="327"/>
      <c r="Q49" s="327"/>
      <c r="R49" s="328"/>
      <c r="S49" s="327"/>
      <c r="T49" s="327"/>
      <c r="U49" s="327"/>
      <c r="V49" s="327"/>
      <c r="W49" s="327"/>
      <c r="X49" s="327"/>
    </row>
    <row r="50" spans="1:24" s="279" customFormat="1" ht="12.75">
      <c r="A50" s="342"/>
      <c r="B50" s="374"/>
      <c r="C50" s="374"/>
      <c r="D50" s="374"/>
      <c r="E50" s="375"/>
      <c r="F50" s="395"/>
      <c r="G50" s="395"/>
      <c r="H50" s="395"/>
      <c r="I50" s="371"/>
      <c r="J50" s="343"/>
      <c r="K50" s="343"/>
      <c r="L50" s="343"/>
      <c r="M50" s="347"/>
      <c r="N50" s="347"/>
      <c r="O50" s="347"/>
      <c r="P50" s="327"/>
      <c r="Q50" s="327"/>
      <c r="R50" s="328"/>
      <c r="S50" s="327"/>
      <c r="T50" s="327"/>
      <c r="U50" s="327"/>
      <c r="V50" s="327"/>
      <c r="W50" s="327"/>
      <c r="X50" s="327"/>
    </row>
    <row r="51" spans="1:24" s="279" customFormat="1" ht="12.75">
      <c r="A51" s="342"/>
      <c r="B51" s="374"/>
      <c r="C51" s="374"/>
      <c r="D51" s="374"/>
      <c r="E51" s="375"/>
      <c r="F51" s="395"/>
      <c r="G51" s="395"/>
      <c r="H51" s="395"/>
      <c r="I51" s="371"/>
      <c r="J51" s="343"/>
      <c r="K51" s="343"/>
      <c r="L51" s="343"/>
      <c r="M51" s="347"/>
      <c r="N51" s="347"/>
      <c r="O51" s="347"/>
      <c r="P51" s="327"/>
      <c r="Q51" s="327"/>
      <c r="R51" s="328"/>
      <c r="S51" s="327"/>
      <c r="T51" s="327"/>
      <c r="U51" s="327"/>
      <c r="V51" s="327"/>
      <c r="W51" s="327"/>
      <c r="X51" s="327"/>
    </row>
    <row r="52" spans="1:24" s="279" customFormat="1" ht="12.75">
      <c r="A52" s="342"/>
      <c r="B52" s="374"/>
      <c r="C52" s="374"/>
      <c r="D52" s="374"/>
      <c r="E52" s="375"/>
      <c r="F52" s="395"/>
      <c r="G52" s="395"/>
      <c r="H52" s="395"/>
      <c r="I52" s="371"/>
      <c r="J52" s="343"/>
      <c r="K52" s="343"/>
      <c r="L52" s="343"/>
      <c r="M52" s="347"/>
      <c r="N52" s="347"/>
      <c r="O52" s="347"/>
      <c r="P52" s="327"/>
      <c r="Q52" s="327"/>
      <c r="R52" s="328"/>
      <c r="S52" s="327"/>
      <c r="T52" s="327"/>
      <c r="U52" s="327"/>
      <c r="V52" s="327"/>
      <c r="W52" s="327"/>
      <c r="X52" s="327"/>
    </row>
    <row r="53" spans="1:24" s="279" customFormat="1" ht="12.75">
      <c r="A53" s="342"/>
      <c r="B53" s="374"/>
      <c r="C53" s="374"/>
      <c r="D53" s="374"/>
      <c r="E53" s="375"/>
      <c r="F53" s="395"/>
      <c r="G53" s="395"/>
      <c r="H53" s="395"/>
      <c r="I53" s="371"/>
      <c r="J53" s="343"/>
      <c r="K53" s="343"/>
      <c r="L53" s="343"/>
      <c r="M53" s="347"/>
      <c r="N53" s="347"/>
      <c r="O53" s="347"/>
      <c r="P53" s="327"/>
      <c r="Q53" s="327"/>
      <c r="R53" s="328"/>
      <c r="S53" s="327"/>
      <c r="T53" s="327"/>
      <c r="U53" s="327"/>
      <c r="V53" s="327"/>
      <c r="W53" s="327"/>
      <c r="X53" s="327"/>
    </row>
    <row r="54" spans="1:24" s="279" customFormat="1" ht="12.75">
      <c r="A54" s="342"/>
      <c r="B54" s="374"/>
      <c r="C54" s="374"/>
      <c r="D54" s="374"/>
      <c r="E54" s="375"/>
      <c r="F54" s="395"/>
      <c r="G54" s="395"/>
      <c r="H54" s="395"/>
      <c r="I54" s="371"/>
      <c r="J54" s="343"/>
      <c r="K54" s="343"/>
      <c r="L54" s="343"/>
      <c r="M54" s="347"/>
      <c r="N54" s="347"/>
      <c r="O54" s="347"/>
      <c r="P54" s="327"/>
      <c r="Q54" s="327"/>
      <c r="R54" s="328"/>
      <c r="S54" s="327"/>
      <c r="T54" s="327"/>
      <c r="U54" s="327"/>
      <c r="V54" s="327"/>
      <c r="W54" s="327"/>
      <c r="X54" s="327"/>
    </row>
    <row r="55" spans="1:24" s="279" customFormat="1" ht="12.75">
      <c r="A55" s="342"/>
      <c r="B55" s="374"/>
      <c r="C55" s="374"/>
      <c r="D55" s="374"/>
      <c r="E55" s="375"/>
      <c r="F55" s="395"/>
      <c r="G55" s="395"/>
      <c r="H55" s="395"/>
      <c r="I55" s="371"/>
      <c r="J55" s="343"/>
      <c r="K55" s="343"/>
      <c r="L55" s="343"/>
      <c r="M55" s="347"/>
      <c r="N55" s="347"/>
      <c r="O55" s="347"/>
      <c r="P55" s="327"/>
      <c r="Q55" s="327"/>
      <c r="R55" s="328"/>
      <c r="S55" s="327"/>
      <c r="T55" s="327"/>
      <c r="U55" s="327"/>
      <c r="V55" s="327"/>
      <c r="W55" s="327"/>
      <c r="X55" s="327"/>
    </row>
    <row r="56" spans="1:24" s="279" customFormat="1" ht="12.75">
      <c r="A56" s="342"/>
      <c r="B56" s="374"/>
      <c r="C56" s="374"/>
      <c r="D56" s="374"/>
      <c r="E56" s="375"/>
      <c r="F56" s="395"/>
      <c r="G56" s="395"/>
      <c r="H56" s="395"/>
      <c r="I56" s="371"/>
      <c r="J56" s="343"/>
      <c r="K56" s="343"/>
      <c r="L56" s="343"/>
      <c r="M56" s="347"/>
      <c r="N56" s="347"/>
      <c r="O56" s="347"/>
      <c r="P56" s="327"/>
      <c r="Q56" s="327"/>
      <c r="R56" s="328"/>
      <c r="S56" s="327"/>
      <c r="T56" s="327"/>
      <c r="U56" s="327"/>
      <c r="V56" s="327"/>
      <c r="W56" s="327"/>
      <c r="X56" s="327"/>
    </row>
    <row r="57" spans="1:24" s="279" customFormat="1" ht="12.75">
      <c r="A57" s="342"/>
      <c r="B57" s="374"/>
      <c r="C57" s="374"/>
      <c r="D57" s="374"/>
      <c r="E57" s="375"/>
      <c r="F57" s="395"/>
      <c r="G57" s="395"/>
      <c r="H57" s="395"/>
      <c r="I57" s="371"/>
      <c r="J57" s="343"/>
      <c r="K57" s="343"/>
      <c r="L57" s="343"/>
      <c r="M57" s="347"/>
      <c r="N57" s="347"/>
      <c r="O57" s="347"/>
      <c r="P57" s="327"/>
      <c r="Q57" s="327"/>
      <c r="R57" s="328"/>
      <c r="S57" s="327"/>
      <c r="T57" s="327"/>
      <c r="U57" s="327"/>
      <c r="V57" s="327"/>
      <c r="W57" s="327"/>
      <c r="X57" s="327"/>
    </row>
    <row r="58" spans="1:24" s="279" customFormat="1" ht="12.75">
      <c r="A58" s="342"/>
      <c r="B58" s="374"/>
      <c r="C58" s="374"/>
      <c r="D58" s="374"/>
      <c r="E58" s="375"/>
      <c r="F58" s="395"/>
      <c r="G58" s="395"/>
      <c r="H58" s="395"/>
      <c r="I58" s="371"/>
      <c r="J58" s="343"/>
      <c r="K58" s="343"/>
      <c r="L58" s="343"/>
      <c r="M58" s="347"/>
      <c r="N58" s="347"/>
      <c r="O58" s="347"/>
      <c r="P58" s="327"/>
      <c r="Q58" s="327"/>
      <c r="R58" s="328"/>
      <c r="S58" s="327"/>
      <c r="T58" s="327"/>
      <c r="U58" s="327"/>
      <c r="V58" s="327"/>
      <c r="W58" s="327"/>
      <c r="X58" s="327"/>
    </row>
    <row r="59" spans="1:24" s="279" customFormat="1" ht="12.75">
      <c r="A59" s="342"/>
      <c r="B59" s="374"/>
      <c r="C59" s="374"/>
      <c r="D59" s="374"/>
      <c r="E59" s="375"/>
      <c r="F59" s="395"/>
      <c r="G59" s="395"/>
      <c r="H59" s="395"/>
      <c r="I59" s="371"/>
      <c r="J59" s="343"/>
      <c r="K59" s="343"/>
      <c r="L59" s="343"/>
      <c r="M59" s="347"/>
      <c r="N59" s="347"/>
      <c r="O59" s="347"/>
      <c r="P59" s="327"/>
      <c r="Q59" s="327"/>
      <c r="R59" s="328"/>
      <c r="S59" s="327"/>
      <c r="T59" s="327"/>
      <c r="U59" s="327"/>
      <c r="V59" s="327"/>
      <c r="W59" s="327"/>
      <c r="X59" s="327"/>
    </row>
    <row r="60" spans="1:24" s="279" customFormat="1" ht="12.75">
      <c r="A60" s="342"/>
      <c r="B60" s="374"/>
      <c r="C60" s="374"/>
      <c r="D60" s="374"/>
      <c r="E60" s="375"/>
      <c r="F60" s="395"/>
      <c r="G60" s="395"/>
      <c r="H60" s="395"/>
      <c r="I60" s="371"/>
      <c r="J60" s="343"/>
      <c r="K60" s="343"/>
      <c r="L60" s="343"/>
      <c r="M60" s="347"/>
      <c r="N60" s="347"/>
      <c r="O60" s="347"/>
      <c r="P60" s="327"/>
      <c r="Q60" s="327"/>
      <c r="R60" s="328"/>
      <c r="S60" s="327"/>
      <c r="T60" s="327"/>
      <c r="U60" s="327"/>
      <c r="V60" s="327"/>
      <c r="W60" s="327"/>
      <c r="X60" s="327"/>
    </row>
    <row r="61" spans="1:24" s="279" customFormat="1" ht="12.75">
      <c r="A61" s="342"/>
      <c r="B61" s="374"/>
      <c r="C61" s="374"/>
      <c r="D61" s="374"/>
      <c r="E61" s="375"/>
      <c r="F61" s="395"/>
      <c r="G61" s="395"/>
      <c r="H61" s="395"/>
      <c r="I61" s="371"/>
      <c r="J61" s="343"/>
      <c r="K61" s="343"/>
      <c r="L61" s="343"/>
      <c r="M61" s="347"/>
      <c r="N61" s="347"/>
      <c r="O61" s="347"/>
      <c r="P61" s="327"/>
      <c r="Q61" s="327"/>
      <c r="R61" s="328"/>
      <c r="S61" s="327"/>
      <c r="T61" s="327"/>
      <c r="U61" s="327"/>
      <c r="V61" s="327"/>
      <c r="W61" s="327"/>
      <c r="X61" s="327"/>
    </row>
    <row r="62" spans="1:24" s="279" customFormat="1" ht="12.75">
      <c r="A62" s="342"/>
      <c r="B62" s="374"/>
      <c r="C62" s="374"/>
      <c r="D62" s="374"/>
      <c r="E62" s="375"/>
      <c r="F62" s="395"/>
      <c r="G62" s="395"/>
      <c r="H62" s="395"/>
      <c r="I62" s="371"/>
      <c r="J62" s="343"/>
      <c r="K62" s="343"/>
      <c r="L62" s="343"/>
      <c r="M62" s="347"/>
      <c r="N62" s="347"/>
      <c r="O62" s="347"/>
      <c r="P62" s="327"/>
      <c r="Q62" s="327"/>
      <c r="R62" s="328"/>
      <c r="S62" s="327"/>
      <c r="T62" s="327"/>
      <c r="U62" s="327"/>
      <c r="V62" s="327"/>
      <c r="W62" s="327"/>
      <c r="X62" s="327"/>
    </row>
    <row r="63" spans="1:24" s="279" customFormat="1" ht="12.75">
      <c r="A63" s="342"/>
      <c r="B63" s="374"/>
      <c r="C63" s="374"/>
      <c r="D63" s="374"/>
      <c r="E63" s="375"/>
      <c r="F63" s="395"/>
      <c r="G63" s="395"/>
      <c r="H63" s="395"/>
      <c r="I63" s="371"/>
      <c r="J63" s="343"/>
      <c r="K63" s="343"/>
      <c r="L63" s="343"/>
      <c r="M63" s="347"/>
      <c r="N63" s="347"/>
      <c r="O63" s="347"/>
      <c r="P63" s="327"/>
      <c r="Q63" s="327"/>
      <c r="R63" s="328"/>
      <c r="S63" s="327"/>
      <c r="T63" s="327"/>
      <c r="U63" s="327"/>
      <c r="V63" s="327"/>
      <c r="W63" s="327"/>
      <c r="X63" s="327"/>
    </row>
    <row r="64" spans="1:24" s="279" customFormat="1" ht="12.75">
      <c r="A64" s="342"/>
      <c r="B64" s="374"/>
      <c r="C64" s="374"/>
      <c r="D64" s="374"/>
      <c r="E64" s="375"/>
      <c r="F64" s="395"/>
      <c r="G64" s="395"/>
      <c r="H64" s="395"/>
      <c r="I64" s="371"/>
      <c r="J64" s="343"/>
      <c r="K64" s="343"/>
      <c r="L64" s="343"/>
      <c r="M64" s="347"/>
      <c r="N64" s="347"/>
      <c r="O64" s="347"/>
      <c r="P64" s="327"/>
      <c r="Q64" s="327"/>
      <c r="R64" s="328"/>
      <c r="S64" s="327"/>
      <c r="T64" s="327"/>
      <c r="U64" s="327"/>
      <c r="V64" s="327"/>
      <c r="W64" s="327"/>
      <c r="X64" s="327"/>
    </row>
    <row r="65" spans="1:24" s="279" customFormat="1" ht="12.75">
      <c r="A65" s="342"/>
      <c r="B65" s="374"/>
      <c r="C65" s="374"/>
      <c r="D65" s="374"/>
      <c r="E65" s="375"/>
      <c r="F65" s="395"/>
      <c r="G65" s="395"/>
      <c r="H65" s="395"/>
      <c r="I65" s="371"/>
      <c r="J65" s="343"/>
      <c r="K65" s="343"/>
      <c r="L65" s="343"/>
      <c r="M65" s="347"/>
      <c r="N65" s="347"/>
      <c r="O65" s="347"/>
      <c r="P65" s="327"/>
      <c r="Q65" s="327"/>
      <c r="R65" s="328"/>
      <c r="S65" s="327"/>
      <c r="T65" s="327"/>
      <c r="U65" s="327"/>
      <c r="V65" s="327"/>
      <c r="W65" s="327"/>
      <c r="X65" s="327"/>
    </row>
    <row r="66" spans="1:24" s="279" customFormat="1" ht="12.75">
      <c r="A66" s="342"/>
      <c r="B66" s="374"/>
      <c r="C66" s="374"/>
      <c r="D66" s="374"/>
      <c r="E66" s="375"/>
      <c r="F66" s="395"/>
      <c r="G66" s="395"/>
      <c r="H66" s="395"/>
      <c r="I66" s="371"/>
      <c r="J66" s="343"/>
      <c r="K66" s="343"/>
      <c r="L66" s="343"/>
      <c r="M66" s="347"/>
      <c r="N66" s="347"/>
      <c r="O66" s="347"/>
      <c r="P66" s="327"/>
      <c r="Q66" s="327"/>
      <c r="R66" s="328"/>
      <c r="S66" s="327"/>
      <c r="T66" s="327"/>
      <c r="U66" s="327"/>
      <c r="V66" s="327"/>
      <c r="W66" s="327"/>
      <c r="X66" s="327"/>
    </row>
    <row r="67" spans="1:24" s="279" customFormat="1" ht="12.75">
      <c r="A67" s="342"/>
      <c r="B67" s="374"/>
      <c r="C67" s="374"/>
      <c r="D67" s="374"/>
      <c r="E67" s="375"/>
      <c r="F67" s="395"/>
      <c r="G67" s="395"/>
      <c r="H67" s="395"/>
      <c r="I67" s="371"/>
      <c r="J67" s="343"/>
      <c r="K67" s="343"/>
      <c r="L67" s="343"/>
      <c r="M67" s="347"/>
      <c r="N67" s="347"/>
      <c r="O67" s="347"/>
      <c r="P67" s="327"/>
      <c r="Q67" s="327"/>
      <c r="R67" s="328"/>
      <c r="S67" s="327"/>
      <c r="T67" s="327"/>
      <c r="U67" s="327"/>
      <c r="V67" s="327"/>
      <c r="W67" s="327"/>
      <c r="X67" s="327"/>
    </row>
    <row r="68" spans="1:24" s="279" customFormat="1" ht="12.75">
      <c r="A68" s="342"/>
      <c r="B68" s="374"/>
      <c r="C68" s="374"/>
      <c r="D68" s="374"/>
      <c r="E68" s="375"/>
      <c r="F68" s="395"/>
      <c r="G68" s="395"/>
      <c r="H68" s="395"/>
      <c r="I68" s="371"/>
      <c r="J68" s="343"/>
      <c r="K68" s="343"/>
      <c r="L68" s="343"/>
      <c r="M68" s="347"/>
      <c r="N68" s="347"/>
      <c r="O68" s="347"/>
      <c r="P68" s="327"/>
      <c r="Q68" s="327"/>
      <c r="R68" s="328"/>
      <c r="S68" s="327"/>
      <c r="T68" s="327"/>
      <c r="U68" s="327"/>
      <c r="V68" s="327"/>
      <c r="W68" s="327"/>
      <c r="X68" s="327"/>
    </row>
    <row r="69" spans="1:24" s="279" customFormat="1" ht="12.75">
      <c r="A69" s="342"/>
      <c r="B69" s="374"/>
      <c r="C69" s="374"/>
      <c r="D69" s="374"/>
      <c r="E69" s="375"/>
      <c r="F69" s="395"/>
      <c r="G69" s="395"/>
      <c r="H69" s="395"/>
      <c r="I69" s="371"/>
      <c r="J69" s="343"/>
      <c r="K69" s="343"/>
      <c r="L69" s="343"/>
      <c r="M69" s="347"/>
      <c r="N69" s="347"/>
      <c r="O69" s="347"/>
      <c r="P69" s="327"/>
      <c r="Q69" s="327"/>
      <c r="R69" s="328"/>
      <c r="S69" s="327"/>
      <c r="T69" s="327"/>
      <c r="U69" s="327"/>
      <c r="V69" s="327"/>
      <c r="W69" s="327"/>
      <c r="X69" s="327"/>
    </row>
    <row r="70" spans="1:24" s="279" customFormat="1" ht="12.75">
      <c r="A70" s="342"/>
      <c r="B70" s="374"/>
      <c r="C70" s="374"/>
      <c r="D70" s="374"/>
      <c r="E70" s="375"/>
      <c r="F70" s="395"/>
      <c r="G70" s="395"/>
      <c r="H70" s="395"/>
      <c r="I70" s="371"/>
      <c r="J70" s="343"/>
      <c r="K70" s="343"/>
      <c r="L70" s="343"/>
      <c r="M70" s="347"/>
      <c r="N70" s="347"/>
      <c r="O70" s="347"/>
      <c r="P70" s="327"/>
      <c r="Q70" s="327"/>
      <c r="R70" s="328"/>
      <c r="S70" s="327"/>
      <c r="T70" s="327"/>
      <c r="U70" s="327"/>
      <c r="V70" s="327"/>
      <c r="W70" s="327"/>
      <c r="X70" s="327"/>
    </row>
    <row r="71" spans="1:24" s="279" customFormat="1" ht="12.75">
      <c r="A71" s="342"/>
      <c r="B71" s="374"/>
      <c r="C71" s="374"/>
      <c r="D71" s="374"/>
      <c r="E71" s="375"/>
      <c r="F71" s="395"/>
      <c r="G71" s="395"/>
      <c r="H71" s="395"/>
      <c r="I71" s="371"/>
      <c r="J71" s="343"/>
      <c r="K71" s="343"/>
      <c r="L71" s="343"/>
      <c r="M71" s="347"/>
      <c r="N71" s="347"/>
      <c r="O71" s="347"/>
      <c r="P71" s="327"/>
      <c r="Q71" s="327"/>
      <c r="R71" s="328"/>
      <c r="S71" s="327"/>
      <c r="T71" s="327"/>
      <c r="U71" s="327"/>
      <c r="V71" s="327"/>
      <c r="W71" s="327"/>
      <c r="X71" s="327"/>
    </row>
    <row r="72" spans="1:24" s="279" customFormat="1" ht="12.75">
      <c r="A72" s="342"/>
      <c r="B72" s="374"/>
      <c r="C72" s="374"/>
      <c r="D72" s="374"/>
      <c r="E72" s="375"/>
      <c r="F72" s="395"/>
      <c r="G72" s="395"/>
      <c r="H72" s="395"/>
      <c r="I72" s="371"/>
      <c r="J72" s="343"/>
      <c r="K72" s="343"/>
      <c r="L72" s="343"/>
      <c r="M72" s="347"/>
      <c r="N72" s="347"/>
      <c r="O72" s="347"/>
      <c r="P72" s="327"/>
      <c r="Q72" s="327"/>
      <c r="R72" s="328"/>
      <c r="S72" s="327"/>
      <c r="T72" s="327"/>
      <c r="U72" s="327"/>
      <c r="V72" s="327"/>
      <c r="W72" s="327"/>
      <c r="X72" s="327"/>
    </row>
    <row r="73" spans="1:24" s="279" customFormat="1" ht="12.75">
      <c r="A73" s="342"/>
      <c r="B73" s="374"/>
      <c r="C73" s="374"/>
      <c r="D73" s="374"/>
      <c r="E73" s="375"/>
      <c r="F73" s="395"/>
      <c r="G73" s="395"/>
      <c r="H73" s="395"/>
      <c r="I73" s="371"/>
      <c r="J73" s="343"/>
      <c r="K73" s="343"/>
      <c r="L73" s="343"/>
      <c r="M73" s="347"/>
      <c r="N73" s="347"/>
      <c r="O73" s="347"/>
      <c r="P73" s="327"/>
      <c r="Q73" s="327"/>
      <c r="R73" s="328"/>
      <c r="S73" s="327"/>
      <c r="T73" s="327"/>
      <c r="U73" s="327"/>
      <c r="V73" s="327"/>
      <c r="W73" s="327"/>
      <c r="X73" s="327"/>
    </row>
    <row r="74" spans="1:24" s="279" customFormat="1" ht="12.75">
      <c r="A74" s="342"/>
      <c r="B74" s="374"/>
      <c r="C74" s="374"/>
      <c r="D74" s="374"/>
      <c r="E74" s="375"/>
      <c r="F74" s="395"/>
      <c r="G74" s="395"/>
      <c r="H74" s="395"/>
      <c r="I74" s="371"/>
      <c r="J74" s="343"/>
      <c r="K74" s="343"/>
      <c r="L74" s="343"/>
      <c r="M74" s="347"/>
      <c r="N74" s="347"/>
      <c r="O74" s="347"/>
      <c r="P74" s="327"/>
      <c r="Q74" s="327"/>
      <c r="R74" s="328"/>
      <c r="S74" s="327"/>
      <c r="T74" s="327"/>
      <c r="U74" s="327"/>
      <c r="V74" s="327"/>
      <c r="W74" s="327"/>
      <c r="X74" s="327"/>
    </row>
    <row r="75" spans="1:24" s="279" customFormat="1" ht="12.75">
      <c r="A75" s="342"/>
      <c r="B75" s="374"/>
      <c r="C75" s="374"/>
      <c r="D75" s="374"/>
      <c r="E75" s="375"/>
      <c r="F75" s="395"/>
      <c r="G75" s="395"/>
      <c r="H75" s="395"/>
      <c r="I75" s="371"/>
      <c r="J75" s="343"/>
      <c r="K75" s="343"/>
      <c r="L75" s="343"/>
      <c r="M75" s="347"/>
      <c r="N75" s="347"/>
      <c r="O75" s="347"/>
      <c r="P75" s="327"/>
      <c r="Q75" s="327"/>
      <c r="R75" s="328"/>
      <c r="S75" s="327"/>
      <c r="T75" s="327"/>
      <c r="U75" s="327"/>
      <c r="V75" s="327"/>
      <c r="W75" s="327"/>
      <c r="X75" s="327"/>
    </row>
    <row r="76" spans="1:24" s="279" customFormat="1" ht="12.75">
      <c r="A76" s="342"/>
      <c r="B76" s="374"/>
      <c r="C76" s="374"/>
      <c r="D76" s="374"/>
      <c r="E76" s="375"/>
      <c r="F76" s="395"/>
      <c r="G76" s="395"/>
      <c r="H76" s="395"/>
      <c r="I76" s="371"/>
      <c r="J76" s="343"/>
      <c r="K76" s="343"/>
      <c r="L76" s="343"/>
      <c r="M76" s="347"/>
      <c r="N76" s="347"/>
      <c r="O76" s="347"/>
      <c r="P76" s="327"/>
      <c r="Q76" s="327"/>
      <c r="R76" s="328"/>
      <c r="S76" s="327"/>
      <c r="T76" s="327"/>
      <c r="U76" s="327"/>
      <c r="V76" s="327"/>
      <c r="W76" s="327"/>
      <c r="X76" s="327"/>
    </row>
    <row r="77" spans="1:24" s="279" customFormat="1" ht="12.75">
      <c r="A77" s="342"/>
      <c r="B77" s="374"/>
      <c r="C77" s="374"/>
      <c r="D77" s="374"/>
      <c r="E77" s="375"/>
      <c r="F77" s="395"/>
      <c r="G77" s="395"/>
      <c r="H77" s="395"/>
      <c r="I77" s="371"/>
      <c r="J77" s="343"/>
      <c r="K77" s="343"/>
      <c r="L77" s="343"/>
      <c r="M77" s="347"/>
      <c r="N77" s="347"/>
      <c r="O77" s="347"/>
      <c r="P77" s="327"/>
      <c r="Q77" s="327"/>
      <c r="R77" s="328"/>
      <c r="S77" s="327"/>
      <c r="T77" s="327"/>
      <c r="U77" s="327"/>
      <c r="V77" s="327"/>
      <c r="W77" s="327"/>
      <c r="X77" s="327"/>
    </row>
    <row r="78" spans="1:24" s="279" customFormat="1" ht="12.75">
      <c r="A78" s="342"/>
      <c r="B78" s="374"/>
      <c r="C78" s="374"/>
      <c r="D78" s="374"/>
      <c r="E78" s="375"/>
      <c r="F78" s="395"/>
      <c r="G78" s="395"/>
      <c r="H78" s="395"/>
      <c r="I78" s="371"/>
      <c r="J78" s="343"/>
      <c r="K78" s="343"/>
      <c r="L78" s="343"/>
      <c r="M78" s="347"/>
      <c r="N78" s="347"/>
      <c r="O78" s="347"/>
      <c r="P78" s="327"/>
      <c r="Q78" s="327"/>
      <c r="R78" s="328"/>
      <c r="S78" s="327"/>
      <c r="T78" s="327"/>
      <c r="U78" s="327"/>
      <c r="V78" s="327"/>
      <c r="W78" s="327"/>
      <c r="X78" s="327"/>
    </row>
    <row r="79" spans="1:24" s="279" customFormat="1" ht="12.75">
      <c r="A79" s="342"/>
      <c r="B79" s="374"/>
      <c r="C79" s="374"/>
      <c r="D79" s="374"/>
      <c r="E79" s="375"/>
      <c r="F79" s="395"/>
      <c r="G79" s="395"/>
      <c r="H79" s="395"/>
      <c r="I79" s="371"/>
      <c r="J79" s="343"/>
      <c r="K79" s="343"/>
      <c r="L79" s="343"/>
      <c r="M79" s="347"/>
      <c r="N79" s="347"/>
      <c r="O79" s="347"/>
      <c r="P79" s="327"/>
      <c r="Q79" s="327"/>
      <c r="R79" s="328"/>
      <c r="S79" s="327"/>
      <c r="T79" s="327"/>
      <c r="U79" s="327"/>
      <c r="V79" s="327"/>
      <c r="W79" s="327"/>
      <c r="X79" s="327"/>
    </row>
    <row r="80" spans="1:24" s="279" customFormat="1" ht="12.75">
      <c r="A80" s="342"/>
      <c r="B80" s="374"/>
      <c r="C80" s="374"/>
      <c r="D80" s="374"/>
      <c r="E80" s="375"/>
      <c r="F80" s="395"/>
      <c r="G80" s="395"/>
      <c r="H80" s="395"/>
      <c r="I80" s="371"/>
      <c r="J80" s="343"/>
      <c r="K80" s="343"/>
      <c r="L80" s="343"/>
      <c r="M80" s="347"/>
      <c r="N80" s="347"/>
      <c r="O80" s="347"/>
      <c r="P80" s="327"/>
      <c r="Q80" s="327"/>
      <c r="R80" s="328"/>
      <c r="S80" s="327"/>
      <c r="T80" s="327"/>
      <c r="U80" s="327"/>
      <c r="V80" s="327"/>
      <c r="W80" s="327"/>
      <c r="X80" s="327"/>
    </row>
    <row r="81" spans="1:24" s="279" customFormat="1" ht="12.75">
      <c r="A81" s="342"/>
      <c r="B81" s="374"/>
      <c r="C81" s="374"/>
      <c r="D81" s="374"/>
      <c r="E81" s="375"/>
      <c r="F81" s="395"/>
      <c r="G81" s="395"/>
      <c r="H81" s="395"/>
      <c r="I81" s="371"/>
      <c r="J81" s="343"/>
      <c r="K81" s="343"/>
      <c r="L81" s="343"/>
      <c r="M81" s="347"/>
      <c r="N81" s="347"/>
      <c r="O81" s="347"/>
      <c r="P81" s="327"/>
      <c r="Q81" s="327"/>
      <c r="R81" s="328"/>
      <c r="S81" s="327"/>
      <c r="T81" s="327"/>
      <c r="U81" s="327"/>
      <c r="V81" s="327"/>
      <c r="W81" s="327"/>
      <c r="X81" s="327"/>
    </row>
    <row r="82" spans="1:24" s="279" customFormat="1" ht="12.75">
      <c r="A82" s="342"/>
      <c r="B82" s="374"/>
      <c r="C82" s="374"/>
      <c r="D82" s="374"/>
      <c r="E82" s="375"/>
      <c r="F82" s="395"/>
      <c r="G82" s="395"/>
      <c r="H82" s="395"/>
      <c r="I82" s="371"/>
      <c r="J82" s="343"/>
      <c r="K82" s="343"/>
      <c r="L82" s="343"/>
      <c r="M82" s="347"/>
      <c r="N82" s="347"/>
      <c r="O82" s="347"/>
      <c r="P82" s="327"/>
      <c r="Q82" s="327"/>
      <c r="R82" s="328"/>
      <c r="S82" s="327"/>
      <c r="T82" s="327"/>
      <c r="U82" s="327"/>
      <c r="V82" s="327"/>
      <c r="W82" s="327"/>
      <c r="X82" s="327"/>
    </row>
    <row r="83" spans="1:24" s="279" customFormat="1" ht="12.75">
      <c r="A83" s="342"/>
      <c r="B83" s="374"/>
      <c r="C83" s="374"/>
      <c r="D83" s="374"/>
      <c r="E83" s="375"/>
      <c r="F83" s="395"/>
      <c r="G83" s="395"/>
      <c r="H83" s="395"/>
      <c r="I83" s="371"/>
      <c r="J83" s="343"/>
      <c r="K83" s="343"/>
      <c r="L83" s="343"/>
      <c r="M83" s="347"/>
      <c r="N83" s="347"/>
      <c r="O83" s="347"/>
      <c r="P83" s="327"/>
      <c r="Q83" s="327"/>
      <c r="R83" s="328"/>
      <c r="S83" s="327"/>
      <c r="T83" s="327"/>
      <c r="U83" s="327"/>
      <c r="V83" s="327"/>
      <c r="W83" s="327"/>
      <c r="X83" s="327"/>
    </row>
    <row r="84" spans="1:24" s="279" customFormat="1" ht="12.75">
      <c r="A84" s="342"/>
      <c r="B84" s="374"/>
      <c r="C84" s="374"/>
      <c r="D84" s="374"/>
      <c r="E84" s="375"/>
      <c r="F84" s="395"/>
      <c r="G84" s="395"/>
      <c r="H84" s="395"/>
      <c r="I84" s="371"/>
      <c r="J84" s="343"/>
      <c r="K84" s="343"/>
      <c r="L84" s="343"/>
      <c r="M84" s="347"/>
      <c r="N84" s="347"/>
      <c r="O84" s="347"/>
      <c r="P84" s="327"/>
      <c r="Q84" s="327"/>
      <c r="R84" s="328"/>
      <c r="S84" s="327"/>
      <c r="T84" s="327"/>
      <c r="U84" s="327"/>
      <c r="V84" s="327"/>
      <c r="W84" s="327"/>
      <c r="X84" s="327"/>
    </row>
    <row r="85" spans="1:24" s="279" customFormat="1" ht="12.75">
      <c r="A85" s="342"/>
      <c r="B85" s="374"/>
      <c r="C85" s="374"/>
      <c r="D85" s="374"/>
      <c r="E85" s="375"/>
      <c r="F85" s="395"/>
      <c r="G85" s="395"/>
      <c r="H85" s="395"/>
      <c r="I85" s="371"/>
      <c r="J85" s="343"/>
      <c r="K85" s="343"/>
      <c r="L85" s="343"/>
      <c r="M85" s="347"/>
      <c r="N85" s="347"/>
      <c r="O85" s="347"/>
      <c r="P85" s="327"/>
      <c r="Q85" s="327"/>
      <c r="R85" s="328"/>
      <c r="S85" s="327"/>
      <c r="T85" s="327"/>
      <c r="U85" s="327"/>
      <c r="V85" s="327"/>
      <c r="W85" s="327"/>
      <c r="X85" s="327"/>
    </row>
    <row r="86" spans="1:24" s="279" customFormat="1" ht="12.75">
      <c r="A86" s="342"/>
      <c r="B86" s="374"/>
      <c r="C86" s="374"/>
      <c r="D86" s="374"/>
      <c r="E86" s="375"/>
      <c r="F86" s="395"/>
      <c r="G86" s="395"/>
      <c r="H86" s="395"/>
      <c r="I86" s="371"/>
      <c r="J86" s="343"/>
      <c r="K86" s="343"/>
      <c r="L86" s="343"/>
      <c r="M86" s="347"/>
      <c r="N86" s="347"/>
      <c r="O86" s="347"/>
      <c r="P86" s="327"/>
      <c r="Q86" s="327"/>
      <c r="R86" s="328"/>
      <c r="S86" s="327"/>
      <c r="T86" s="327"/>
      <c r="U86" s="327"/>
      <c r="V86" s="327"/>
      <c r="W86" s="327"/>
      <c r="X86" s="327"/>
    </row>
    <row r="87" spans="1:24" s="279" customFormat="1" ht="12.75">
      <c r="A87" s="342"/>
      <c r="B87" s="374"/>
      <c r="C87" s="374"/>
      <c r="D87" s="374"/>
      <c r="E87" s="375"/>
      <c r="F87" s="395"/>
      <c r="G87" s="395"/>
      <c r="H87" s="395"/>
      <c r="I87" s="371"/>
      <c r="J87" s="343"/>
      <c r="K87" s="343"/>
      <c r="L87" s="343"/>
      <c r="M87" s="347"/>
      <c r="N87" s="347"/>
      <c r="O87" s="347"/>
      <c r="P87" s="327"/>
      <c r="Q87" s="327"/>
      <c r="R87" s="328"/>
      <c r="S87" s="327"/>
      <c r="T87" s="327"/>
      <c r="U87" s="327"/>
      <c r="V87" s="327"/>
      <c r="W87" s="327"/>
      <c r="X87" s="327"/>
    </row>
    <row r="88" spans="1:24" s="279" customFormat="1" ht="12.75">
      <c r="A88" s="342"/>
      <c r="B88" s="374"/>
      <c r="C88" s="374"/>
      <c r="D88" s="374"/>
      <c r="E88" s="375"/>
      <c r="F88" s="395"/>
      <c r="G88" s="395"/>
      <c r="H88" s="395"/>
      <c r="I88" s="371"/>
      <c r="J88" s="343"/>
      <c r="K88" s="343"/>
      <c r="L88" s="343"/>
      <c r="M88" s="347"/>
      <c r="N88" s="347"/>
      <c r="O88" s="347"/>
      <c r="P88" s="327"/>
      <c r="Q88" s="327"/>
      <c r="R88" s="328"/>
      <c r="S88" s="327"/>
      <c r="T88" s="327"/>
      <c r="U88" s="327"/>
      <c r="V88" s="327"/>
      <c r="W88" s="327"/>
      <c r="X88" s="327"/>
    </row>
    <row r="89" spans="1:24" s="279" customFormat="1" ht="12.75">
      <c r="A89" s="342"/>
      <c r="B89" s="374"/>
      <c r="C89" s="374"/>
      <c r="D89" s="374"/>
      <c r="E89" s="375"/>
      <c r="F89" s="395"/>
      <c r="G89" s="395"/>
      <c r="H89" s="395"/>
      <c r="I89" s="371"/>
      <c r="J89" s="343"/>
      <c r="K89" s="343"/>
      <c r="L89" s="343"/>
      <c r="M89" s="347"/>
      <c r="N89" s="347"/>
      <c r="O89" s="347"/>
      <c r="P89" s="327"/>
      <c r="Q89" s="327"/>
      <c r="R89" s="328"/>
      <c r="S89" s="327"/>
      <c r="T89" s="327"/>
      <c r="U89" s="327"/>
      <c r="V89" s="327"/>
      <c r="W89" s="327"/>
      <c r="X89" s="327"/>
    </row>
    <row r="90" spans="1:24" s="279" customFormat="1" ht="12.75">
      <c r="A90" s="342"/>
      <c r="B90" s="374"/>
      <c r="C90" s="374"/>
      <c r="D90" s="374"/>
      <c r="E90" s="375"/>
      <c r="F90" s="395"/>
      <c r="G90" s="395"/>
      <c r="H90" s="395"/>
      <c r="I90" s="371"/>
      <c r="J90" s="343"/>
      <c r="K90" s="343"/>
      <c r="L90" s="343"/>
      <c r="M90" s="347"/>
      <c r="N90" s="347"/>
      <c r="O90" s="347"/>
      <c r="P90" s="327"/>
      <c r="Q90" s="327"/>
      <c r="R90" s="328"/>
      <c r="S90" s="327"/>
      <c r="T90" s="327"/>
      <c r="U90" s="327"/>
      <c r="V90" s="327"/>
      <c r="W90" s="327"/>
      <c r="X90" s="327"/>
    </row>
    <row r="91" spans="1:24" s="279" customFormat="1" ht="12.75">
      <c r="A91" s="342"/>
      <c r="B91" s="374"/>
      <c r="C91" s="374"/>
      <c r="D91" s="374"/>
      <c r="E91" s="375"/>
      <c r="F91" s="395"/>
      <c r="G91" s="395"/>
      <c r="H91" s="395"/>
      <c r="I91" s="371"/>
      <c r="J91" s="343"/>
      <c r="K91" s="343"/>
      <c r="L91" s="343"/>
      <c r="M91" s="347"/>
      <c r="N91" s="347"/>
      <c r="O91" s="347"/>
      <c r="P91" s="327"/>
      <c r="Q91" s="327"/>
      <c r="R91" s="328"/>
      <c r="S91" s="327"/>
      <c r="T91" s="327"/>
      <c r="U91" s="327"/>
      <c r="V91" s="327"/>
      <c r="W91" s="327"/>
      <c r="X91" s="327"/>
    </row>
    <row r="92" spans="1:24" s="279" customFormat="1" ht="12.75">
      <c r="A92" s="342"/>
      <c r="B92" s="374"/>
      <c r="C92" s="374"/>
      <c r="D92" s="374"/>
      <c r="E92" s="375"/>
      <c r="F92" s="395"/>
      <c r="G92" s="395"/>
      <c r="H92" s="395"/>
      <c r="I92" s="371"/>
      <c r="J92" s="343"/>
      <c r="K92" s="343"/>
      <c r="L92" s="343"/>
      <c r="M92" s="347"/>
      <c r="N92" s="347"/>
      <c r="O92" s="347"/>
      <c r="P92" s="327"/>
      <c r="Q92" s="327"/>
      <c r="R92" s="328"/>
      <c r="S92" s="327"/>
      <c r="T92" s="327"/>
      <c r="U92" s="327"/>
      <c r="V92" s="327"/>
      <c r="W92" s="327"/>
      <c r="X92" s="327"/>
    </row>
    <row r="93" spans="1:24" s="279" customFormat="1" ht="12.75">
      <c r="A93" s="342"/>
      <c r="B93" s="374"/>
      <c r="C93" s="374"/>
      <c r="D93" s="374"/>
      <c r="E93" s="375"/>
      <c r="F93" s="395"/>
      <c r="G93" s="395"/>
      <c r="H93" s="395"/>
      <c r="I93" s="371"/>
      <c r="J93" s="343"/>
      <c r="K93" s="343"/>
      <c r="L93" s="343"/>
      <c r="M93" s="347"/>
      <c r="N93" s="347"/>
      <c r="O93" s="347"/>
      <c r="P93" s="327"/>
      <c r="Q93" s="327"/>
      <c r="R93" s="328"/>
      <c r="S93" s="327"/>
      <c r="T93" s="327"/>
      <c r="U93" s="327"/>
      <c r="V93" s="327"/>
      <c r="W93" s="327"/>
      <c r="X93" s="327"/>
    </row>
    <row r="94" spans="1:24" s="279" customFormat="1" ht="12.75">
      <c r="A94" s="342"/>
      <c r="B94" s="374"/>
      <c r="C94" s="374"/>
      <c r="D94" s="374"/>
      <c r="E94" s="375"/>
      <c r="F94" s="395"/>
      <c r="G94" s="395"/>
      <c r="H94" s="395"/>
      <c r="I94" s="371"/>
      <c r="J94" s="343"/>
      <c r="K94" s="343"/>
      <c r="L94" s="343"/>
      <c r="M94" s="347"/>
      <c r="N94" s="347"/>
      <c r="O94" s="347"/>
      <c r="P94" s="327"/>
      <c r="Q94" s="327"/>
      <c r="R94" s="328"/>
      <c r="S94" s="327"/>
      <c r="T94" s="327"/>
      <c r="U94" s="327"/>
      <c r="V94" s="327"/>
      <c r="W94" s="327"/>
      <c r="X94" s="327"/>
    </row>
    <row r="95" spans="1:24" s="279" customFormat="1" ht="12.75">
      <c r="A95" s="342"/>
      <c r="B95" s="374"/>
      <c r="C95" s="374"/>
      <c r="D95" s="374"/>
      <c r="E95" s="375"/>
      <c r="F95" s="395"/>
      <c r="G95" s="395"/>
      <c r="H95" s="395"/>
      <c r="I95" s="371"/>
      <c r="J95" s="343"/>
      <c r="K95" s="343"/>
      <c r="L95" s="343"/>
      <c r="M95" s="347"/>
      <c r="N95" s="347"/>
      <c r="O95" s="347"/>
      <c r="P95" s="327"/>
      <c r="Q95" s="327"/>
      <c r="R95" s="328"/>
      <c r="S95" s="327"/>
      <c r="T95" s="327"/>
      <c r="U95" s="327"/>
      <c r="V95" s="327"/>
      <c r="W95" s="327"/>
      <c r="X95" s="327"/>
    </row>
    <row r="96" spans="1:24" s="279" customFormat="1" ht="12.75">
      <c r="A96" s="342"/>
      <c r="B96" s="374"/>
      <c r="C96" s="374"/>
      <c r="D96" s="374"/>
      <c r="E96" s="375"/>
      <c r="F96" s="395"/>
      <c r="G96" s="395"/>
      <c r="H96" s="395"/>
      <c r="I96" s="371"/>
      <c r="J96" s="343"/>
      <c r="K96" s="343"/>
      <c r="L96" s="343"/>
      <c r="M96" s="347"/>
      <c r="N96" s="347"/>
      <c r="O96" s="347"/>
      <c r="P96" s="327"/>
      <c r="Q96" s="327"/>
      <c r="R96" s="328"/>
      <c r="S96" s="327"/>
      <c r="T96" s="327"/>
      <c r="U96" s="327"/>
      <c r="V96" s="327"/>
      <c r="W96" s="327"/>
      <c r="X96" s="327"/>
    </row>
    <row r="97" spans="1:24" s="279" customFormat="1" ht="12.75">
      <c r="A97" s="342"/>
      <c r="B97" s="374"/>
      <c r="C97" s="374"/>
      <c r="D97" s="374"/>
      <c r="E97" s="375"/>
      <c r="F97" s="395"/>
      <c r="G97" s="395"/>
      <c r="H97" s="395"/>
      <c r="I97" s="371"/>
      <c r="J97" s="343"/>
      <c r="K97" s="343"/>
      <c r="L97" s="343"/>
      <c r="M97" s="347"/>
      <c r="N97" s="347"/>
      <c r="O97" s="347"/>
      <c r="P97" s="327"/>
      <c r="Q97" s="327"/>
      <c r="R97" s="328"/>
      <c r="S97" s="327"/>
      <c r="T97" s="327"/>
      <c r="U97" s="327"/>
      <c r="V97" s="327"/>
      <c r="W97" s="327"/>
      <c r="X97" s="327"/>
    </row>
    <row r="98" spans="1:24" s="279" customFormat="1" ht="12.75">
      <c r="A98" s="342"/>
      <c r="B98" s="374"/>
      <c r="C98" s="374"/>
      <c r="D98" s="374"/>
      <c r="E98" s="375"/>
      <c r="F98" s="395"/>
      <c r="G98" s="395"/>
      <c r="H98" s="395"/>
      <c r="I98" s="371"/>
      <c r="J98" s="343"/>
      <c r="K98" s="343"/>
      <c r="L98" s="343"/>
      <c r="M98" s="347"/>
      <c r="N98" s="347"/>
      <c r="O98" s="347"/>
      <c r="P98" s="327"/>
      <c r="Q98" s="327"/>
      <c r="R98" s="328"/>
      <c r="S98" s="327"/>
      <c r="T98" s="327"/>
      <c r="U98" s="327"/>
      <c r="V98" s="327"/>
      <c r="W98" s="327"/>
      <c r="X98" s="327"/>
    </row>
    <row r="99" spans="1:24" s="279" customFormat="1" ht="12.75">
      <c r="A99" s="342"/>
      <c r="B99" s="374"/>
      <c r="C99" s="374"/>
      <c r="D99" s="374"/>
      <c r="E99" s="375"/>
      <c r="F99" s="395"/>
      <c r="G99" s="395"/>
      <c r="H99" s="395"/>
      <c r="I99" s="371"/>
      <c r="J99" s="343"/>
      <c r="K99" s="343"/>
      <c r="L99" s="343"/>
      <c r="M99" s="347"/>
      <c r="N99" s="347"/>
      <c r="O99" s="347"/>
      <c r="P99" s="327"/>
      <c r="Q99" s="327"/>
      <c r="R99" s="328"/>
      <c r="S99" s="327"/>
      <c r="T99" s="327"/>
      <c r="U99" s="327"/>
      <c r="V99" s="327"/>
      <c r="W99" s="327"/>
      <c r="X99" s="327"/>
    </row>
    <row r="100" spans="1:24" s="279" customFormat="1" ht="12.75">
      <c r="A100" s="342"/>
      <c r="B100" s="374"/>
      <c r="C100" s="374"/>
      <c r="D100" s="374"/>
      <c r="E100" s="375"/>
      <c r="F100" s="395"/>
      <c r="G100" s="395"/>
      <c r="H100" s="395"/>
      <c r="I100" s="371"/>
      <c r="J100" s="343"/>
      <c r="K100" s="343"/>
      <c r="L100" s="343"/>
      <c r="M100" s="347"/>
      <c r="N100" s="347"/>
      <c r="O100" s="347"/>
      <c r="P100" s="327"/>
      <c r="Q100" s="327"/>
      <c r="R100" s="328"/>
      <c r="S100" s="327"/>
      <c r="T100" s="327"/>
      <c r="U100" s="327"/>
      <c r="V100" s="327"/>
      <c r="W100" s="327"/>
      <c r="X100" s="327"/>
    </row>
    <row r="101" spans="1:24" s="279" customFormat="1">
      <c r="A101" s="326"/>
      <c r="B101" s="328"/>
      <c r="C101" s="328"/>
      <c r="D101" s="328"/>
      <c r="E101" s="328"/>
      <c r="F101" s="327"/>
      <c r="G101" s="327"/>
      <c r="H101" s="327"/>
      <c r="I101" s="327"/>
      <c r="J101" s="327"/>
      <c r="K101" s="327"/>
      <c r="L101" s="327"/>
      <c r="M101" s="327"/>
      <c r="N101" s="327"/>
      <c r="O101" s="327"/>
      <c r="P101" s="327"/>
      <c r="Q101" s="327"/>
      <c r="R101" s="328"/>
      <c r="S101" s="327"/>
      <c r="T101" s="327"/>
      <c r="U101" s="327"/>
      <c r="V101" s="327"/>
      <c r="W101" s="327"/>
      <c r="X101" s="327"/>
    </row>
    <row r="102" spans="1:24" s="279" customFormat="1">
      <c r="A102" s="326"/>
      <c r="B102" s="328"/>
      <c r="C102" s="328"/>
      <c r="D102" s="328"/>
      <c r="E102" s="328"/>
      <c r="F102" s="327"/>
      <c r="G102" s="327"/>
      <c r="H102" s="327"/>
      <c r="I102" s="327"/>
      <c r="J102" s="327"/>
      <c r="K102" s="327"/>
      <c r="L102" s="327"/>
      <c r="M102" s="327"/>
      <c r="N102" s="327"/>
      <c r="O102" s="327"/>
      <c r="P102" s="327"/>
      <c r="Q102" s="327"/>
      <c r="R102" s="328"/>
      <c r="S102" s="327"/>
      <c r="T102" s="327"/>
      <c r="U102" s="327"/>
      <c r="V102" s="327"/>
      <c r="W102" s="327"/>
      <c r="X102" s="327"/>
    </row>
    <row r="103" spans="1:24" s="279" customFormat="1">
      <c r="A103" s="326"/>
      <c r="B103" s="328"/>
      <c r="C103" s="328"/>
      <c r="D103" s="328"/>
      <c r="E103" s="328"/>
      <c r="F103" s="327"/>
      <c r="G103" s="327"/>
      <c r="H103" s="327"/>
      <c r="I103" s="327"/>
      <c r="J103" s="327"/>
      <c r="K103" s="327"/>
      <c r="L103" s="327"/>
      <c r="M103" s="327"/>
      <c r="N103" s="327"/>
      <c r="O103" s="327"/>
      <c r="P103" s="327"/>
      <c r="Q103" s="327"/>
      <c r="R103" s="328"/>
      <c r="S103" s="327"/>
      <c r="T103" s="327"/>
      <c r="U103" s="327"/>
      <c r="V103" s="327"/>
      <c r="W103" s="327"/>
      <c r="X103" s="327"/>
    </row>
    <row r="104" spans="1:24" s="279" customFormat="1">
      <c r="A104" s="326"/>
      <c r="B104" s="328"/>
      <c r="C104" s="328"/>
      <c r="D104" s="328"/>
      <c r="E104" s="328"/>
      <c r="F104" s="327"/>
      <c r="G104" s="327"/>
      <c r="H104" s="327"/>
      <c r="I104" s="327"/>
      <c r="J104" s="327"/>
      <c r="K104" s="327"/>
      <c r="L104" s="327"/>
      <c r="M104" s="327"/>
      <c r="N104" s="327"/>
      <c r="O104" s="327"/>
      <c r="P104" s="327"/>
      <c r="Q104" s="327"/>
      <c r="R104" s="328"/>
      <c r="S104" s="327"/>
      <c r="T104" s="327"/>
      <c r="U104" s="327"/>
      <c r="V104" s="327"/>
      <c r="W104" s="327"/>
      <c r="X104" s="327"/>
    </row>
    <row r="105" spans="1:24" s="279" customFormat="1">
      <c r="A105" s="326"/>
      <c r="B105" s="328"/>
      <c r="C105" s="328"/>
      <c r="D105" s="328"/>
      <c r="E105" s="328"/>
      <c r="F105" s="327"/>
      <c r="G105" s="327"/>
      <c r="H105" s="327"/>
      <c r="I105" s="327"/>
      <c r="J105" s="327"/>
      <c r="K105" s="327"/>
      <c r="L105" s="327"/>
      <c r="M105" s="327"/>
      <c r="N105" s="327"/>
      <c r="O105" s="327"/>
      <c r="P105" s="327"/>
      <c r="Q105" s="327"/>
      <c r="R105" s="328"/>
      <c r="S105" s="327"/>
      <c r="T105" s="327"/>
      <c r="U105" s="327"/>
      <c r="V105" s="327"/>
      <c r="W105" s="327"/>
      <c r="X105" s="327"/>
    </row>
    <row r="106" spans="1:24" s="279" customFormat="1">
      <c r="A106" s="326"/>
      <c r="B106" s="328"/>
      <c r="C106" s="328"/>
      <c r="D106" s="328"/>
      <c r="E106" s="328"/>
      <c r="F106" s="327"/>
      <c r="G106" s="327"/>
      <c r="H106" s="327"/>
      <c r="I106" s="327"/>
      <c r="J106" s="327"/>
      <c r="K106" s="327"/>
      <c r="L106" s="327"/>
      <c r="M106" s="327"/>
      <c r="N106" s="327"/>
      <c r="O106" s="327"/>
      <c r="P106" s="327"/>
      <c r="Q106" s="327"/>
      <c r="R106" s="328"/>
      <c r="S106" s="327"/>
      <c r="T106" s="327"/>
      <c r="U106" s="327"/>
      <c r="V106" s="327"/>
      <c r="W106" s="327"/>
      <c r="X106" s="327"/>
    </row>
    <row r="107" spans="1:24" s="279" customFormat="1">
      <c r="A107" s="326"/>
      <c r="B107" s="328"/>
      <c r="C107" s="328"/>
      <c r="D107" s="328"/>
      <c r="E107" s="328"/>
      <c r="F107" s="327"/>
      <c r="G107" s="327"/>
      <c r="H107" s="327"/>
      <c r="I107" s="327"/>
      <c r="J107" s="327"/>
      <c r="K107" s="327"/>
      <c r="L107" s="327"/>
      <c r="M107" s="327"/>
      <c r="N107" s="327"/>
      <c r="O107" s="327"/>
      <c r="P107" s="327"/>
      <c r="Q107" s="327"/>
      <c r="R107" s="328"/>
      <c r="S107" s="327"/>
      <c r="T107" s="327"/>
      <c r="U107" s="327"/>
      <c r="V107" s="327"/>
      <c r="W107" s="327"/>
      <c r="X107" s="327"/>
    </row>
    <row r="108" spans="1:24" s="279" customFormat="1">
      <c r="A108" s="326"/>
      <c r="B108" s="328"/>
      <c r="C108" s="328"/>
      <c r="D108" s="328"/>
      <c r="E108" s="328"/>
      <c r="F108" s="327"/>
      <c r="G108" s="327"/>
      <c r="H108" s="327"/>
      <c r="I108" s="327"/>
      <c r="J108" s="327"/>
      <c r="K108" s="327"/>
      <c r="L108" s="327"/>
      <c r="M108" s="327"/>
      <c r="N108" s="327"/>
      <c r="O108" s="327"/>
      <c r="P108" s="327"/>
      <c r="Q108" s="327"/>
      <c r="R108" s="328"/>
      <c r="S108" s="327"/>
      <c r="T108" s="327"/>
      <c r="U108" s="327"/>
      <c r="V108" s="327"/>
      <c r="W108" s="327"/>
      <c r="X108" s="327"/>
    </row>
    <row r="109" spans="1:24" s="279" customFormat="1">
      <c r="A109" s="326"/>
      <c r="B109" s="328"/>
      <c r="C109" s="328"/>
      <c r="D109" s="328"/>
      <c r="E109" s="328"/>
      <c r="F109" s="327"/>
      <c r="G109" s="327"/>
      <c r="H109" s="327"/>
      <c r="I109" s="327"/>
      <c r="J109" s="327"/>
      <c r="K109" s="327"/>
      <c r="L109" s="327"/>
      <c r="M109" s="327"/>
      <c r="N109" s="327"/>
      <c r="O109" s="327"/>
      <c r="P109" s="327"/>
      <c r="Q109" s="327"/>
      <c r="R109" s="328"/>
      <c r="S109" s="327"/>
      <c r="T109" s="327"/>
      <c r="U109" s="327"/>
      <c r="V109" s="327"/>
      <c r="W109" s="327"/>
      <c r="X109" s="327"/>
    </row>
    <row r="110" spans="1:24" s="279" customFormat="1">
      <c r="A110" s="326"/>
      <c r="B110" s="328"/>
      <c r="C110" s="328"/>
      <c r="D110" s="328"/>
      <c r="E110" s="328"/>
      <c r="F110" s="327"/>
      <c r="G110" s="327"/>
      <c r="H110" s="327"/>
      <c r="I110" s="327"/>
      <c r="J110" s="327"/>
      <c r="K110" s="327"/>
      <c r="L110" s="327"/>
      <c r="M110" s="327"/>
      <c r="N110" s="327"/>
      <c r="O110" s="327"/>
      <c r="P110" s="327"/>
      <c r="Q110" s="327"/>
      <c r="R110" s="328"/>
      <c r="S110" s="327"/>
      <c r="T110" s="327"/>
      <c r="U110" s="327"/>
      <c r="V110" s="327"/>
      <c r="W110" s="327"/>
      <c r="X110" s="327"/>
    </row>
    <row r="111" spans="1:24" s="279" customFormat="1">
      <c r="A111" s="326"/>
      <c r="B111" s="328"/>
      <c r="C111" s="328"/>
      <c r="D111" s="328"/>
      <c r="E111" s="328"/>
      <c r="F111" s="327"/>
      <c r="G111" s="327"/>
      <c r="H111" s="327"/>
      <c r="I111" s="327"/>
      <c r="J111" s="327"/>
      <c r="K111" s="327"/>
      <c r="L111" s="327"/>
      <c r="M111" s="327"/>
      <c r="N111" s="327"/>
      <c r="O111" s="327"/>
      <c r="P111" s="327"/>
      <c r="Q111" s="327"/>
      <c r="R111" s="328"/>
      <c r="S111" s="327"/>
      <c r="T111" s="327"/>
      <c r="U111" s="327"/>
      <c r="V111" s="327"/>
      <c r="W111" s="327"/>
      <c r="X111" s="327"/>
    </row>
    <row r="112" spans="1:24" s="279" customFormat="1">
      <c r="A112" s="326"/>
      <c r="B112" s="328"/>
      <c r="C112" s="328"/>
      <c r="D112" s="328"/>
      <c r="E112" s="328"/>
      <c r="F112" s="327"/>
      <c r="G112" s="327"/>
      <c r="H112" s="327"/>
      <c r="I112" s="327"/>
      <c r="J112" s="327"/>
      <c r="K112" s="327"/>
      <c r="L112" s="327"/>
      <c r="M112" s="327"/>
      <c r="N112" s="327"/>
      <c r="O112" s="327"/>
      <c r="P112" s="327"/>
      <c r="Q112" s="327"/>
      <c r="R112" s="328"/>
      <c r="S112" s="327"/>
      <c r="T112" s="327"/>
      <c r="U112" s="327"/>
      <c r="V112" s="327"/>
      <c r="W112" s="327"/>
      <c r="X112" s="327"/>
    </row>
    <row r="113" spans="1:24" s="279" customFormat="1">
      <c r="A113" s="326"/>
      <c r="B113" s="328"/>
      <c r="C113" s="328"/>
      <c r="D113" s="328"/>
      <c r="E113" s="328"/>
      <c r="F113" s="327"/>
      <c r="G113" s="327"/>
      <c r="H113" s="327"/>
      <c r="I113" s="327"/>
      <c r="J113" s="327"/>
      <c r="K113" s="327"/>
      <c r="L113" s="327"/>
      <c r="M113" s="327"/>
      <c r="N113" s="327"/>
      <c r="O113" s="327"/>
      <c r="P113" s="327"/>
      <c r="Q113" s="327"/>
      <c r="R113" s="328"/>
      <c r="S113" s="327"/>
      <c r="T113" s="327"/>
      <c r="U113" s="327"/>
      <c r="V113" s="327"/>
      <c r="W113" s="327"/>
      <c r="X113" s="327"/>
    </row>
    <row r="114" spans="1:24" s="279" customFormat="1">
      <c r="A114" s="326"/>
      <c r="B114" s="328"/>
      <c r="C114" s="328"/>
      <c r="D114" s="328"/>
      <c r="E114" s="328"/>
      <c r="F114" s="327"/>
      <c r="G114" s="327"/>
      <c r="H114" s="327"/>
      <c r="I114" s="327"/>
      <c r="J114" s="327"/>
      <c r="K114" s="327"/>
      <c r="L114" s="327"/>
      <c r="M114" s="327"/>
      <c r="N114" s="327"/>
      <c r="O114" s="327"/>
      <c r="P114" s="327"/>
      <c r="Q114" s="327"/>
      <c r="R114" s="328"/>
      <c r="S114" s="327"/>
      <c r="T114" s="327"/>
      <c r="U114" s="327"/>
      <c r="V114" s="327"/>
      <c r="W114" s="327"/>
      <c r="X114" s="327"/>
    </row>
    <row r="115" spans="1:24" s="279" customFormat="1">
      <c r="A115" s="326"/>
      <c r="B115" s="328"/>
      <c r="C115" s="328"/>
      <c r="D115" s="328"/>
      <c r="E115" s="328"/>
      <c r="F115" s="327"/>
      <c r="G115" s="327"/>
      <c r="H115" s="327"/>
      <c r="I115" s="327"/>
      <c r="J115" s="327"/>
      <c r="K115" s="327"/>
      <c r="L115" s="327"/>
      <c r="M115" s="327"/>
      <c r="N115" s="327"/>
      <c r="O115" s="327"/>
      <c r="P115" s="327"/>
      <c r="Q115" s="327"/>
      <c r="R115" s="328"/>
      <c r="S115" s="327"/>
      <c r="T115" s="327"/>
      <c r="U115" s="327"/>
      <c r="V115" s="327"/>
      <c r="W115" s="327"/>
      <c r="X115" s="327"/>
    </row>
    <row r="116" spans="1:24" s="279" customFormat="1">
      <c r="A116" s="326"/>
      <c r="B116" s="328"/>
      <c r="C116" s="328"/>
      <c r="D116" s="328"/>
      <c r="E116" s="328"/>
      <c r="F116" s="327"/>
      <c r="G116" s="327"/>
      <c r="H116" s="327"/>
      <c r="I116" s="327"/>
      <c r="J116" s="327"/>
      <c r="K116" s="327"/>
      <c r="L116" s="327"/>
      <c r="M116" s="327"/>
      <c r="N116" s="327"/>
      <c r="O116" s="327"/>
      <c r="P116" s="327"/>
      <c r="Q116" s="327"/>
      <c r="R116" s="328"/>
      <c r="S116" s="327"/>
      <c r="T116" s="327"/>
      <c r="U116" s="327"/>
      <c r="V116" s="327"/>
      <c r="W116" s="327"/>
      <c r="X116" s="327"/>
    </row>
    <row r="117" spans="1:24" s="279" customFormat="1">
      <c r="A117" s="326"/>
      <c r="B117" s="328"/>
      <c r="C117" s="328"/>
      <c r="D117" s="328"/>
      <c r="E117" s="328"/>
      <c r="F117" s="327"/>
      <c r="G117" s="327"/>
      <c r="H117" s="327"/>
      <c r="I117" s="327"/>
      <c r="J117" s="327"/>
      <c r="K117" s="327"/>
      <c r="L117" s="327"/>
      <c r="M117" s="327"/>
      <c r="N117" s="327"/>
      <c r="O117" s="327"/>
      <c r="P117" s="327"/>
      <c r="Q117" s="327"/>
      <c r="R117" s="328"/>
      <c r="S117" s="327"/>
      <c r="T117" s="327"/>
      <c r="U117" s="327"/>
      <c r="V117" s="327"/>
      <c r="W117" s="327"/>
      <c r="X117" s="327"/>
    </row>
    <row r="118" spans="1:24" s="279" customFormat="1">
      <c r="A118" s="326"/>
      <c r="B118" s="328"/>
      <c r="C118" s="328"/>
      <c r="D118" s="328"/>
      <c r="E118" s="328"/>
      <c r="F118" s="327"/>
      <c r="G118" s="327"/>
      <c r="H118" s="327"/>
      <c r="I118" s="327"/>
      <c r="J118" s="327"/>
      <c r="K118" s="327"/>
      <c r="L118" s="327"/>
      <c r="M118" s="327"/>
      <c r="N118" s="327"/>
      <c r="O118" s="327"/>
      <c r="P118" s="327"/>
      <c r="Q118" s="327"/>
      <c r="R118" s="328"/>
      <c r="S118" s="327"/>
      <c r="T118" s="327"/>
      <c r="U118" s="327"/>
      <c r="V118" s="327"/>
      <c r="W118" s="327"/>
      <c r="X118" s="327"/>
    </row>
    <row r="119" spans="1:24" s="279" customFormat="1">
      <c r="A119" s="326"/>
      <c r="B119" s="328"/>
      <c r="C119" s="328"/>
      <c r="D119" s="328"/>
      <c r="E119" s="328"/>
      <c r="F119" s="327"/>
      <c r="G119" s="327"/>
      <c r="H119" s="327"/>
      <c r="I119" s="327"/>
      <c r="J119" s="327"/>
      <c r="K119" s="327"/>
      <c r="L119" s="327"/>
      <c r="M119" s="327"/>
      <c r="N119" s="327"/>
      <c r="O119" s="327"/>
      <c r="P119" s="327"/>
      <c r="Q119" s="327"/>
      <c r="R119" s="328"/>
      <c r="S119" s="327"/>
      <c r="T119" s="327"/>
      <c r="U119" s="327"/>
      <c r="V119" s="327"/>
      <c r="W119" s="327"/>
      <c r="X119" s="327"/>
    </row>
    <row r="120" spans="1:24" s="279" customFormat="1">
      <c r="A120" s="326"/>
      <c r="B120" s="328"/>
      <c r="C120" s="328"/>
      <c r="D120" s="328"/>
      <c r="E120" s="328"/>
      <c r="F120" s="327"/>
      <c r="G120" s="327"/>
      <c r="H120" s="327"/>
      <c r="I120" s="327"/>
      <c r="J120" s="327"/>
      <c r="K120" s="327"/>
      <c r="L120" s="327"/>
      <c r="M120" s="327"/>
      <c r="N120" s="327"/>
      <c r="O120" s="327"/>
      <c r="P120" s="327"/>
      <c r="Q120" s="327"/>
      <c r="R120" s="328"/>
      <c r="S120" s="327"/>
      <c r="T120" s="327"/>
      <c r="U120" s="327"/>
      <c r="V120" s="327"/>
      <c r="W120" s="327"/>
      <c r="X120" s="327"/>
    </row>
    <row r="121" spans="1:24" s="279" customFormat="1">
      <c r="A121" s="326"/>
      <c r="B121" s="328"/>
      <c r="C121" s="328"/>
      <c r="D121" s="328"/>
      <c r="E121" s="328"/>
      <c r="F121" s="327"/>
      <c r="G121" s="327"/>
      <c r="H121" s="327"/>
      <c r="I121" s="327"/>
      <c r="J121" s="327"/>
      <c r="K121" s="327"/>
      <c r="L121" s="327"/>
      <c r="M121" s="327"/>
      <c r="N121" s="327"/>
      <c r="O121" s="327"/>
      <c r="P121" s="327"/>
      <c r="Q121" s="327"/>
      <c r="R121" s="328"/>
      <c r="S121" s="327"/>
      <c r="T121" s="327"/>
      <c r="U121" s="327"/>
      <c r="V121" s="327"/>
      <c r="W121" s="327"/>
      <c r="X121" s="327"/>
    </row>
    <row r="122" spans="1:24" s="279" customFormat="1">
      <c r="A122" s="326"/>
      <c r="B122" s="328"/>
      <c r="C122" s="328"/>
      <c r="D122" s="328"/>
      <c r="E122" s="328"/>
      <c r="F122" s="327"/>
      <c r="G122" s="327"/>
      <c r="H122" s="327"/>
      <c r="I122" s="327"/>
      <c r="J122" s="327"/>
      <c r="K122" s="327"/>
      <c r="L122" s="327"/>
      <c r="M122" s="327"/>
      <c r="N122" s="327"/>
      <c r="O122" s="327"/>
      <c r="P122" s="327"/>
      <c r="Q122" s="327"/>
      <c r="R122" s="328"/>
      <c r="S122" s="327"/>
      <c r="T122" s="327"/>
      <c r="U122" s="327"/>
      <c r="V122" s="327"/>
      <c r="W122" s="327"/>
      <c r="X122" s="327"/>
    </row>
    <row r="123" spans="1:24" s="279" customFormat="1">
      <c r="A123" s="326"/>
      <c r="B123" s="328"/>
      <c r="C123" s="328"/>
      <c r="D123" s="328"/>
      <c r="E123" s="328"/>
      <c r="F123" s="327"/>
      <c r="G123" s="327"/>
      <c r="H123" s="327"/>
      <c r="I123" s="327"/>
      <c r="J123" s="327"/>
      <c r="K123" s="327"/>
      <c r="L123" s="327"/>
      <c r="M123" s="327"/>
      <c r="N123" s="327"/>
      <c r="O123" s="327"/>
      <c r="P123" s="327"/>
      <c r="Q123" s="327"/>
      <c r="R123" s="328"/>
      <c r="S123" s="327"/>
      <c r="T123" s="327"/>
      <c r="U123" s="327"/>
      <c r="V123" s="327"/>
      <c r="W123" s="327"/>
      <c r="X123" s="327"/>
    </row>
    <row r="124" spans="1:24" s="279" customFormat="1">
      <c r="A124" s="326"/>
      <c r="B124" s="328"/>
      <c r="C124" s="328"/>
      <c r="D124" s="328"/>
      <c r="E124" s="328"/>
      <c r="F124" s="327"/>
      <c r="G124" s="327"/>
      <c r="H124" s="327"/>
      <c r="I124" s="327"/>
      <c r="J124" s="327"/>
      <c r="K124" s="327"/>
      <c r="L124" s="327"/>
      <c r="M124" s="327"/>
      <c r="N124" s="327"/>
      <c r="O124" s="327"/>
      <c r="P124" s="327"/>
      <c r="Q124" s="327"/>
      <c r="R124" s="328"/>
      <c r="S124" s="327"/>
      <c r="T124" s="327"/>
      <c r="U124" s="327"/>
      <c r="V124" s="327"/>
      <c r="W124" s="327"/>
      <c r="X124" s="327"/>
    </row>
    <row r="125" spans="1:24" s="279" customFormat="1">
      <c r="A125" s="326"/>
      <c r="B125" s="328"/>
      <c r="C125" s="328"/>
      <c r="D125" s="328"/>
      <c r="E125" s="328"/>
      <c r="F125" s="327"/>
      <c r="G125" s="327"/>
      <c r="H125" s="327"/>
      <c r="I125" s="327"/>
      <c r="J125" s="327"/>
      <c r="K125" s="327"/>
      <c r="L125" s="327"/>
      <c r="M125" s="327"/>
      <c r="N125" s="327"/>
      <c r="O125" s="327"/>
      <c r="P125" s="327"/>
      <c r="Q125" s="327"/>
      <c r="R125" s="328"/>
      <c r="S125" s="327"/>
      <c r="T125" s="327"/>
      <c r="U125" s="327"/>
      <c r="V125" s="327"/>
      <c r="W125" s="327"/>
      <c r="X125" s="327"/>
    </row>
    <row r="126" spans="1:24" s="279" customFormat="1">
      <c r="A126" s="326"/>
      <c r="B126" s="328"/>
      <c r="C126" s="328"/>
      <c r="D126" s="328"/>
      <c r="E126" s="328"/>
      <c r="F126" s="327"/>
      <c r="G126" s="327"/>
      <c r="H126" s="327"/>
      <c r="I126" s="327"/>
      <c r="J126" s="327"/>
      <c r="K126" s="327"/>
      <c r="L126" s="327"/>
      <c r="M126" s="327"/>
      <c r="N126" s="327"/>
      <c r="O126" s="327"/>
      <c r="P126" s="327"/>
      <c r="Q126" s="327"/>
      <c r="R126" s="328"/>
      <c r="S126" s="327"/>
      <c r="T126" s="327"/>
      <c r="U126" s="327"/>
      <c r="V126" s="327"/>
      <c r="W126" s="327"/>
      <c r="X126" s="327"/>
    </row>
    <row r="127" spans="1:24" s="279" customFormat="1">
      <c r="A127" s="326"/>
      <c r="B127" s="328"/>
      <c r="C127" s="328"/>
      <c r="D127" s="328"/>
      <c r="E127" s="328"/>
      <c r="F127" s="327"/>
      <c r="G127" s="327"/>
      <c r="H127" s="327"/>
      <c r="I127" s="327"/>
      <c r="J127" s="327"/>
      <c r="K127" s="327"/>
      <c r="L127" s="327"/>
      <c r="M127" s="327"/>
      <c r="N127" s="327"/>
      <c r="O127" s="327"/>
      <c r="P127" s="327"/>
      <c r="Q127" s="327"/>
      <c r="R127" s="328"/>
      <c r="S127" s="327"/>
      <c r="T127" s="327"/>
      <c r="U127" s="327"/>
      <c r="V127" s="327"/>
      <c r="W127" s="327"/>
      <c r="X127" s="327"/>
    </row>
    <row r="128" spans="1:24" s="279" customFormat="1">
      <c r="A128" s="326"/>
      <c r="B128" s="328"/>
      <c r="C128" s="328"/>
      <c r="D128" s="328"/>
      <c r="E128" s="328"/>
      <c r="F128" s="327"/>
      <c r="G128" s="327"/>
      <c r="H128" s="327"/>
      <c r="I128" s="327"/>
      <c r="J128" s="327"/>
      <c r="K128" s="327"/>
      <c r="L128" s="327"/>
      <c r="M128" s="327"/>
      <c r="N128" s="327"/>
      <c r="O128" s="327"/>
      <c r="P128" s="327"/>
      <c r="Q128" s="327"/>
      <c r="R128" s="328"/>
      <c r="S128" s="327"/>
      <c r="T128" s="327"/>
      <c r="U128" s="327"/>
      <c r="V128" s="327"/>
      <c r="W128" s="327"/>
      <c r="X128" s="327"/>
    </row>
    <row r="129" spans="1:24" s="279" customFormat="1">
      <c r="A129" s="326"/>
      <c r="B129" s="328"/>
      <c r="C129" s="328"/>
      <c r="D129" s="328"/>
      <c r="E129" s="328"/>
      <c r="F129" s="327"/>
      <c r="G129" s="327"/>
      <c r="H129" s="327"/>
      <c r="I129" s="327"/>
      <c r="J129" s="327"/>
      <c r="K129" s="327"/>
      <c r="L129" s="327"/>
      <c r="M129" s="327"/>
      <c r="N129" s="327"/>
      <c r="O129" s="327"/>
      <c r="P129" s="327"/>
      <c r="Q129" s="327"/>
      <c r="R129" s="328"/>
      <c r="S129" s="327"/>
      <c r="T129" s="327"/>
      <c r="U129" s="327"/>
      <c r="V129" s="327"/>
      <c r="W129" s="327"/>
      <c r="X129" s="327"/>
    </row>
    <row r="130" spans="1:24" s="279" customFormat="1">
      <c r="A130" s="326"/>
      <c r="B130" s="328"/>
      <c r="C130" s="328"/>
      <c r="D130" s="328"/>
      <c r="E130" s="328"/>
      <c r="F130" s="327"/>
      <c r="G130" s="327"/>
      <c r="H130" s="327"/>
      <c r="I130" s="327"/>
      <c r="J130" s="327"/>
      <c r="K130" s="327"/>
      <c r="L130" s="327"/>
      <c r="M130" s="327"/>
      <c r="N130" s="327"/>
      <c r="O130" s="327"/>
      <c r="P130" s="327"/>
      <c r="Q130" s="327"/>
      <c r="R130" s="328"/>
      <c r="S130" s="327"/>
      <c r="T130" s="327"/>
      <c r="U130" s="327"/>
      <c r="V130" s="327"/>
      <c r="W130" s="327"/>
      <c r="X130" s="327"/>
    </row>
    <row r="131" spans="1:24" s="279" customFormat="1">
      <c r="A131" s="326"/>
      <c r="B131" s="328"/>
      <c r="C131" s="328"/>
      <c r="D131" s="328"/>
      <c r="E131" s="328"/>
      <c r="F131" s="327"/>
      <c r="G131" s="327"/>
      <c r="H131" s="327"/>
      <c r="I131" s="327"/>
      <c r="J131" s="327"/>
      <c r="K131" s="327"/>
      <c r="L131" s="327"/>
      <c r="M131" s="327"/>
      <c r="N131" s="327"/>
      <c r="O131" s="327"/>
      <c r="P131" s="327"/>
      <c r="Q131" s="327"/>
      <c r="R131" s="328"/>
      <c r="S131" s="327"/>
      <c r="T131" s="327"/>
      <c r="U131" s="327"/>
      <c r="V131" s="327"/>
      <c r="W131" s="327"/>
      <c r="X131" s="327"/>
    </row>
    <row r="132" spans="1:24" s="279" customFormat="1">
      <c r="A132" s="326"/>
      <c r="B132" s="328"/>
      <c r="C132" s="328"/>
      <c r="D132" s="328"/>
      <c r="E132" s="328"/>
      <c r="F132" s="327"/>
      <c r="G132" s="327"/>
      <c r="H132" s="327"/>
      <c r="I132" s="327"/>
      <c r="J132" s="327"/>
      <c r="K132" s="327"/>
      <c r="L132" s="327"/>
      <c r="M132" s="327"/>
      <c r="N132" s="327"/>
      <c r="O132" s="327"/>
      <c r="P132" s="327"/>
      <c r="Q132" s="327"/>
      <c r="R132" s="328"/>
      <c r="S132" s="327"/>
      <c r="T132" s="327"/>
      <c r="U132" s="327"/>
      <c r="V132" s="327"/>
      <c r="W132" s="327"/>
      <c r="X132" s="327"/>
    </row>
    <row r="133" spans="1:24" s="279" customFormat="1">
      <c r="A133" s="326"/>
      <c r="B133" s="328"/>
      <c r="C133" s="328"/>
      <c r="D133" s="328"/>
      <c r="E133" s="328"/>
      <c r="F133" s="327"/>
      <c r="G133" s="327"/>
      <c r="H133" s="327"/>
      <c r="I133" s="327"/>
      <c r="J133" s="327"/>
      <c r="K133" s="327"/>
      <c r="L133" s="327"/>
      <c r="M133" s="327"/>
      <c r="N133" s="327"/>
      <c r="O133" s="327"/>
      <c r="P133" s="327"/>
      <c r="Q133" s="327"/>
      <c r="R133" s="328"/>
      <c r="S133" s="327"/>
      <c r="T133" s="327"/>
      <c r="U133" s="327"/>
      <c r="V133" s="327"/>
      <c r="W133" s="327"/>
      <c r="X133" s="327"/>
    </row>
    <row r="134" spans="1:24" s="279" customFormat="1">
      <c r="A134" s="326"/>
      <c r="B134" s="328"/>
      <c r="C134" s="328"/>
      <c r="D134" s="328"/>
      <c r="E134" s="328"/>
      <c r="F134" s="327"/>
      <c r="G134" s="327"/>
      <c r="H134" s="327"/>
      <c r="I134" s="327"/>
      <c r="J134" s="327"/>
      <c r="K134" s="327"/>
      <c r="L134" s="327"/>
      <c r="M134" s="327"/>
      <c r="N134" s="327"/>
      <c r="O134" s="327"/>
      <c r="P134" s="327"/>
      <c r="Q134" s="327"/>
      <c r="R134" s="328"/>
      <c r="S134" s="327"/>
      <c r="T134" s="327"/>
      <c r="U134" s="327"/>
      <c r="V134" s="327"/>
      <c r="W134" s="327"/>
      <c r="X134" s="327"/>
    </row>
    <row r="135" spans="1:24" s="279" customFormat="1">
      <c r="A135" s="326"/>
      <c r="B135" s="328"/>
      <c r="C135" s="328"/>
      <c r="D135" s="328"/>
      <c r="E135" s="328"/>
      <c r="F135" s="327"/>
      <c r="G135" s="327"/>
      <c r="H135" s="327"/>
      <c r="I135" s="327"/>
      <c r="J135" s="327"/>
      <c r="K135" s="327"/>
      <c r="L135" s="327"/>
      <c r="M135" s="327"/>
      <c r="N135" s="327"/>
      <c r="O135" s="327"/>
      <c r="P135" s="327"/>
      <c r="Q135" s="327"/>
      <c r="R135" s="328"/>
      <c r="S135" s="327"/>
      <c r="T135" s="327"/>
      <c r="U135" s="327"/>
      <c r="V135" s="327"/>
      <c r="W135" s="327"/>
      <c r="X135" s="327"/>
    </row>
    <row r="136" spans="1:24" s="279" customFormat="1">
      <c r="A136" s="326"/>
      <c r="B136" s="328"/>
      <c r="C136" s="328"/>
      <c r="D136" s="328"/>
      <c r="E136" s="328"/>
      <c r="F136" s="327"/>
      <c r="G136" s="327"/>
      <c r="H136" s="327"/>
      <c r="I136" s="327"/>
      <c r="J136" s="327"/>
      <c r="K136" s="327"/>
      <c r="L136" s="327"/>
      <c r="M136" s="327"/>
      <c r="N136" s="327"/>
      <c r="O136" s="327"/>
      <c r="P136" s="327"/>
      <c r="Q136" s="327"/>
      <c r="R136" s="328"/>
      <c r="S136" s="327"/>
      <c r="T136" s="327"/>
      <c r="U136" s="327"/>
      <c r="V136" s="327"/>
      <c r="W136" s="327"/>
      <c r="X136" s="327"/>
    </row>
    <row r="137" spans="1:24" s="279" customFormat="1">
      <c r="A137" s="326"/>
      <c r="B137" s="328"/>
      <c r="C137" s="328"/>
      <c r="D137" s="328"/>
      <c r="E137" s="328"/>
      <c r="F137" s="327"/>
      <c r="G137" s="327"/>
      <c r="H137" s="327"/>
      <c r="I137" s="327"/>
      <c r="J137" s="327"/>
      <c r="K137" s="327"/>
      <c r="L137" s="327"/>
      <c r="M137" s="327"/>
      <c r="N137" s="327"/>
      <c r="O137" s="327"/>
      <c r="P137" s="327"/>
      <c r="Q137" s="327"/>
      <c r="R137" s="328"/>
      <c r="S137" s="327"/>
      <c r="T137" s="327"/>
      <c r="U137" s="327"/>
      <c r="V137" s="327"/>
      <c r="W137" s="327"/>
      <c r="X137" s="327"/>
    </row>
    <row r="138" spans="1:24" s="279" customFormat="1">
      <c r="A138" s="326"/>
      <c r="B138" s="328"/>
      <c r="C138" s="328"/>
      <c r="D138" s="328"/>
      <c r="E138" s="328"/>
      <c r="F138" s="327"/>
      <c r="G138" s="327"/>
      <c r="H138" s="327"/>
      <c r="I138" s="327"/>
      <c r="J138" s="327"/>
      <c r="K138" s="327"/>
      <c r="L138" s="327"/>
      <c r="M138" s="327"/>
      <c r="N138" s="327"/>
      <c r="O138" s="327"/>
      <c r="P138" s="327"/>
      <c r="Q138" s="327"/>
      <c r="R138" s="328"/>
      <c r="S138" s="327"/>
      <c r="T138" s="327"/>
      <c r="U138" s="327"/>
      <c r="V138" s="327"/>
      <c r="W138" s="327"/>
      <c r="X138" s="327"/>
    </row>
    <row r="139" spans="1:24" s="279" customFormat="1">
      <c r="A139" s="326"/>
      <c r="B139" s="328"/>
      <c r="C139" s="328"/>
      <c r="D139" s="328"/>
      <c r="E139" s="328"/>
      <c r="F139" s="327"/>
      <c r="G139" s="327"/>
      <c r="H139" s="327"/>
      <c r="I139" s="327"/>
      <c r="J139" s="327"/>
      <c r="K139" s="327"/>
      <c r="L139" s="327"/>
      <c r="M139" s="327"/>
      <c r="N139" s="327"/>
      <c r="O139" s="327"/>
      <c r="P139" s="327"/>
      <c r="Q139" s="327"/>
      <c r="R139" s="328"/>
      <c r="S139" s="327"/>
      <c r="T139" s="327"/>
      <c r="U139" s="327"/>
      <c r="V139" s="327"/>
      <c r="W139" s="327"/>
      <c r="X139" s="327"/>
    </row>
    <row r="140" spans="1:24" s="279" customFormat="1">
      <c r="A140" s="326"/>
      <c r="B140" s="328"/>
      <c r="C140" s="328"/>
      <c r="D140" s="328"/>
      <c r="E140" s="328"/>
      <c r="F140" s="327"/>
      <c r="G140" s="327"/>
      <c r="H140" s="327"/>
      <c r="I140" s="327"/>
      <c r="J140" s="327"/>
      <c r="K140" s="327"/>
      <c r="L140" s="327"/>
      <c r="M140" s="327"/>
      <c r="N140" s="327"/>
      <c r="O140" s="327"/>
      <c r="P140" s="327"/>
      <c r="Q140" s="327"/>
      <c r="R140" s="328"/>
      <c r="S140" s="327"/>
      <c r="T140" s="327"/>
      <c r="U140" s="327"/>
      <c r="V140" s="327"/>
      <c r="W140" s="327"/>
      <c r="X140" s="327"/>
    </row>
    <row r="141" spans="1:24" s="279" customFormat="1">
      <c r="A141" s="326"/>
      <c r="B141" s="328"/>
      <c r="C141" s="328"/>
      <c r="D141" s="328"/>
      <c r="E141" s="328"/>
      <c r="F141" s="327"/>
      <c r="G141" s="327"/>
      <c r="H141" s="327"/>
      <c r="I141" s="327"/>
      <c r="J141" s="327"/>
      <c r="K141" s="327"/>
      <c r="L141" s="327"/>
      <c r="M141" s="327"/>
      <c r="N141" s="327"/>
      <c r="O141" s="327"/>
      <c r="P141" s="327"/>
      <c r="Q141" s="327"/>
      <c r="R141" s="328"/>
      <c r="S141" s="327"/>
      <c r="T141" s="327"/>
      <c r="U141" s="327"/>
      <c r="V141" s="327"/>
      <c r="W141" s="327"/>
      <c r="X141" s="327"/>
    </row>
    <row r="142" spans="1:24" s="279" customFormat="1">
      <c r="A142" s="326"/>
      <c r="B142" s="328"/>
      <c r="C142" s="328"/>
      <c r="D142" s="328"/>
      <c r="E142" s="328"/>
      <c r="F142" s="327"/>
      <c r="G142" s="327"/>
      <c r="H142" s="327"/>
      <c r="I142" s="327"/>
      <c r="J142" s="327"/>
      <c r="K142" s="327"/>
      <c r="L142" s="327"/>
      <c r="M142" s="327"/>
      <c r="N142" s="327"/>
      <c r="O142" s="327"/>
      <c r="P142" s="327"/>
      <c r="Q142" s="327"/>
      <c r="R142" s="328"/>
      <c r="S142" s="327"/>
      <c r="T142" s="327"/>
      <c r="U142" s="327"/>
      <c r="V142" s="327"/>
      <c r="W142" s="327"/>
      <c r="X142" s="327"/>
    </row>
    <row r="143" spans="1:24" s="279" customFormat="1">
      <c r="A143" s="326"/>
      <c r="B143" s="328"/>
      <c r="C143" s="328"/>
      <c r="D143" s="328"/>
      <c r="E143" s="328"/>
      <c r="F143" s="327"/>
      <c r="G143" s="327"/>
      <c r="H143" s="327"/>
      <c r="I143" s="327"/>
      <c r="J143" s="327"/>
      <c r="K143" s="327"/>
      <c r="L143" s="327"/>
      <c r="M143" s="327"/>
      <c r="N143" s="327"/>
      <c r="O143" s="327"/>
      <c r="P143" s="327"/>
      <c r="Q143" s="327"/>
      <c r="R143" s="328"/>
      <c r="S143" s="327"/>
      <c r="T143" s="327"/>
      <c r="U143" s="327"/>
      <c r="V143" s="327"/>
      <c r="W143" s="327"/>
      <c r="X143" s="327"/>
    </row>
    <row r="144" spans="1:24" s="279" customFormat="1">
      <c r="A144" s="326"/>
      <c r="B144" s="328"/>
      <c r="C144" s="328"/>
      <c r="D144" s="328"/>
      <c r="E144" s="328"/>
      <c r="F144" s="327"/>
      <c r="G144" s="327"/>
      <c r="H144" s="327"/>
      <c r="I144" s="327"/>
      <c r="J144" s="327"/>
      <c r="K144" s="327"/>
      <c r="L144" s="327"/>
      <c r="M144" s="327"/>
      <c r="N144" s="327"/>
      <c r="O144" s="327"/>
      <c r="P144" s="327"/>
      <c r="Q144" s="327"/>
      <c r="R144" s="328"/>
      <c r="S144" s="327"/>
      <c r="T144" s="327"/>
      <c r="U144" s="327"/>
      <c r="V144" s="327"/>
      <c r="W144" s="327"/>
      <c r="X144" s="327"/>
    </row>
    <row r="145" spans="1:24" s="279" customFormat="1">
      <c r="A145" s="326"/>
      <c r="B145" s="328"/>
      <c r="C145" s="328"/>
      <c r="D145" s="328"/>
      <c r="E145" s="328"/>
      <c r="F145" s="327"/>
      <c r="G145" s="327"/>
      <c r="H145" s="327"/>
      <c r="I145" s="327"/>
      <c r="J145" s="327"/>
      <c r="K145" s="327"/>
      <c r="L145" s="327"/>
      <c r="M145" s="327"/>
      <c r="N145" s="327"/>
      <c r="O145" s="327"/>
      <c r="P145" s="327"/>
      <c r="Q145" s="327"/>
      <c r="R145" s="328"/>
      <c r="S145" s="327"/>
      <c r="T145" s="327"/>
      <c r="U145" s="327"/>
      <c r="V145" s="327"/>
      <c r="W145" s="327"/>
      <c r="X145" s="327"/>
    </row>
    <row r="146" spans="1:24" s="279" customFormat="1">
      <c r="A146" s="326"/>
      <c r="B146" s="328"/>
      <c r="C146" s="328"/>
      <c r="D146" s="328"/>
      <c r="E146" s="328"/>
      <c r="F146" s="327"/>
      <c r="G146" s="327"/>
      <c r="H146" s="327"/>
      <c r="I146" s="327"/>
      <c r="J146" s="327"/>
      <c r="K146" s="327"/>
      <c r="L146" s="327"/>
      <c r="M146" s="327"/>
      <c r="N146" s="327"/>
      <c r="O146" s="327"/>
      <c r="P146" s="327"/>
      <c r="Q146" s="327"/>
      <c r="R146" s="328"/>
      <c r="S146" s="327"/>
      <c r="T146" s="327"/>
      <c r="U146" s="327"/>
      <c r="V146" s="327"/>
      <c r="W146" s="327"/>
      <c r="X146" s="327"/>
    </row>
    <row r="147" spans="1:24" s="279" customFormat="1">
      <c r="A147" s="326"/>
      <c r="B147" s="328"/>
      <c r="C147" s="328"/>
      <c r="D147" s="328"/>
      <c r="E147" s="328"/>
      <c r="F147" s="327"/>
      <c r="G147" s="327"/>
      <c r="H147" s="327"/>
      <c r="I147" s="327"/>
      <c r="J147" s="327"/>
      <c r="K147" s="327"/>
      <c r="L147" s="327"/>
      <c r="M147" s="327"/>
      <c r="N147" s="327"/>
      <c r="O147" s="327"/>
      <c r="P147" s="327"/>
      <c r="Q147" s="327"/>
      <c r="R147" s="328"/>
      <c r="S147" s="327"/>
      <c r="T147" s="327"/>
      <c r="U147" s="327"/>
      <c r="V147" s="327"/>
      <c r="W147" s="327"/>
      <c r="X147" s="327"/>
    </row>
    <row r="148" spans="1:24" s="279" customFormat="1">
      <c r="A148" s="326"/>
      <c r="B148" s="328"/>
      <c r="C148" s="328"/>
      <c r="D148" s="328"/>
      <c r="E148" s="328"/>
      <c r="F148" s="327"/>
      <c r="G148" s="327"/>
      <c r="H148" s="327"/>
      <c r="I148" s="327"/>
      <c r="J148" s="327"/>
      <c r="K148" s="327"/>
      <c r="L148" s="327"/>
      <c r="M148" s="327"/>
      <c r="N148" s="327"/>
      <c r="O148" s="327"/>
      <c r="P148" s="327"/>
      <c r="Q148" s="327"/>
      <c r="R148" s="328"/>
      <c r="S148" s="327"/>
      <c r="T148" s="327"/>
      <c r="U148" s="327"/>
      <c r="V148" s="327"/>
      <c r="W148" s="327"/>
      <c r="X148" s="327"/>
    </row>
    <row r="149" spans="1:24" s="279" customFormat="1">
      <c r="A149" s="326"/>
      <c r="B149" s="328"/>
      <c r="C149" s="328"/>
      <c r="D149" s="328"/>
      <c r="E149" s="328"/>
      <c r="F149" s="327"/>
      <c r="G149" s="327"/>
      <c r="H149" s="327"/>
      <c r="I149" s="327"/>
      <c r="J149" s="327"/>
      <c r="K149" s="327"/>
      <c r="L149" s="327"/>
      <c r="M149" s="327"/>
      <c r="N149" s="327"/>
      <c r="O149" s="327"/>
      <c r="P149" s="327"/>
      <c r="Q149" s="327"/>
      <c r="R149" s="328"/>
      <c r="S149" s="327"/>
      <c r="T149" s="327"/>
      <c r="U149" s="327"/>
      <c r="V149" s="327"/>
      <c r="W149" s="327"/>
      <c r="X149" s="327"/>
    </row>
    <row r="150" spans="1:24" s="279" customFormat="1">
      <c r="A150" s="326"/>
      <c r="B150" s="328"/>
      <c r="C150" s="328"/>
      <c r="D150" s="328"/>
      <c r="E150" s="328"/>
      <c r="F150" s="327"/>
      <c r="G150" s="327"/>
      <c r="H150" s="327"/>
      <c r="I150" s="327"/>
      <c r="J150" s="327"/>
      <c r="K150" s="327"/>
      <c r="L150" s="327"/>
      <c r="M150" s="327"/>
      <c r="N150" s="327"/>
      <c r="O150" s="327"/>
      <c r="P150" s="327"/>
      <c r="Q150" s="327"/>
      <c r="R150" s="328"/>
      <c r="S150" s="327"/>
      <c r="T150" s="327"/>
      <c r="U150" s="327"/>
      <c r="V150" s="327"/>
      <c r="W150" s="327"/>
      <c r="X150" s="327"/>
    </row>
    <row r="151" spans="1:24" s="279" customFormat="1">
      <c r="A151" s="326"/>
      <c r="B151" s="328"/>
      <c r="C151" s="328"/>
      <c r="D151" s="328"/>
      <c r="E151" s="328"/>
      <c r="F151" s="327"/>
      <c r="G151" s="327"/>
      <c r="H151" s="327"/>
      <c r="I151" s="327"/>
      <c r="J151" s="327"/>
      <c r="K151" s="327"/>
      <c r="L151" s="327"/>
      <c r="M151" s="327"/>
      <c r="N151" s="327"/>
      <c r="O151" s="327"/>
      <c r="P151" s="327"/>
      <c r="Q151" s="327"/>
      <c r="R151" s="328"/>
      <c r="S151" s="327"/>
      <c r="T151" s="327"/>
      <c r="U151" s="327"/>
      <c r="V151" s="327"/>
      <c r="W151" s="327"/>
      <c r="X151" s="327"/>
    </row>
    <row r="152" spans="1:24" s="279" customFormat="1">
      <c r="A152" s="326"/>
      <c r="B152" s="328"/>
      <c r="C152" s="328"/>
      <c r="D152" s="328"/>
      <c r="E152" s="328"/>
      <c r="F152" s="327"/>
      <c r="G152" s="327"/>
      <c r="H152" s="327"/>
      <c r="I152" s="327"/>
      <c r="J152" s="327"/>
      <c r="K152" s="327"/>
      <c r="L152" s="327"/>
      <c r="M152" s="327"/>
      <c r="N152" s="327"/>
      <c r="O152" s="327"/>
      <c r="P152" s="327"/>
      <c r="Q152" s="327"/>
      <c r="R152" s="328"/>
      <c r="S152" s="327"/>
      <c r="T152" s="327"/>
      <c r="U152" s="327"/>
      <c r="V152" s="327"/>
      <c r="W152" s="327"/>
      <c r="X152" s="327"/>
    </row>
    <row r="153" spans="1:24" s="279" customFormat="1">
      <c r="A153" s="326"/>
      <c r="B153" s="328"/>
      <c r="C153" s="328"/>
      <c r="D153" s="328"/>
      <c r="E153" s="328"/>
      <c r="F153" s="327"/>
      <c r="G153" s="327"/>
      <c r="H153" s="327"/>
      <c r="I153" s="327"/>
      <c r="J153" s="327"/>
      <c r="K153" s="327"/>
      <c r="L153" s="327"/>
      <c r="M153" s="327"/>
      <c r="N153" s="327"/>
      <c r="O153" s="327"/>
      <c r="P153" s="327"/>
      <c r="Q153" s="327"/>
      <c r="R153" s="328"/>
      <c r="S153" s="327"/>
      <c r="T153" s="327"/>
      <c r="U153" s="327"/>
      <c r="V153" s="327"/>
      <c r="W153" s="327"/>
      <c r="X153" s="327"/>
    </row>
    <row r="154" spans="1:24" s="279" customFormat="1">
      <c r="A154" s="326"/>
      <c r="B154" s="328"/>
      <c r="C154" s="328"/>
      <c r="D154" s="328"/>
      <c r="E154" s="328"/>
      <c r="F154" s="327"/>
      <c r="G154" s="327"/>
      <c r="H154" s="327"/>
      <c r="I154" s="327"/>
      <c r="J154" s="327"/>
      <c r="K154" s="327"/>
      <c r="L154" s="327"/>
      <c r="M154" s="327"/>
      <c r="N154" s="327"/>
      <c r="O154" s="327"/>
      <c r="P154" s="327"/>
      <c r="Q154" s="327"/>
      <c r="R154" s="328"/>
      <c r="S154" s="327"/>
      <c r="T154" s="327"/>
      <c r="U154" s="327"/>
      <c r="V154" s="327"/>
      <c r="W154" s="327"/>
      <c r="X154" s="327"/>
    </row>
    <row r="155" spans="1:24" s="279" customFormat="1">
      <c r="A155" s="326"/>
      <c r="B155" s="328"/>
      <c r="C155" s="328"/>
      <c r="D155" s="328"/>
      <c r="E155" s="328"/>
      <c r="F155" s="327"/>
      <c r="G155" s="327"/>
      <c r="H155" s="327"/>
      <c r="I155" s="327"/>
      <c r="J155" s="327"/>
      <c r="K155" s="327"/>
      <c r="L155" s="327"/>
      <c r="M155" s="327"/>
      <c r="N155" s="327"/>
      <c r="O155" s="327"/>
      <c r="P155" s="327"/>
      <c r="Q155" s="327"/>
      <c r="R155" s="328"/>
      <c r="S155" s="327"/>
      <c r="T155" s="327"/>
      <c r="U155" s="327"/>
      <c r="V155" s="327"/>
      <c r="W155" s="327"/>
      <c r="X155" s="327"/>
    </row>
    <row r="156" spans="1:24" s="279" customFormat="1">
      <c r="A156" s="326"/>
      <c r="B156" s="328"/>
      <c r="C156" s="328"/>
      <c r="D156" s="328"/>
      <c r="E156" s="328"/>
      <c r="F156" s="327"/>
      <c r="G156" s="327"/>
      <c r="H156" s="327"/>
      <c r="I156" s="327"/>
      <c r="J156" s="327"/>
      <c r="K156" s="327"/>
      <c r="L156" s="327"/>
      <c r="M156" s="327"/>
      <c r="N156" s="327"/>
      <c r="O156" s="327"/>
      <c r="P156" s="327"/>
      <c r="Q156" s="327"/>
      <c r="R156" s="328"/>
      <c r="S156" s="327"/>
      <c r="T156" s="327"/>
      <c r="U156" s="327"/>
      <c r="V156" s="327"/>
      <c r="W156" s="327"/>
      <c r="X156" s="327"/>
    </row>
    <row r="157" spans="1:24" s="279" customFormat="1">
      <c r="A157" s="326"/>
      <c r="B157" s="328"/>
      <c r="C157" s="328"/>
      <c r="D157" s="328"/>
      <c r="E157" s="328"/>
      <c r="F157" s="327"/>
      <c r="G157" s="327"/>
      <c r="H157" s="327"/>
      <c r="I157" s="327"/>
      <c r="J157" s="327"/>
      <c r="K157" s="327"/>
      <c r="L157" s="327"/>
      <c r="M157" s="327"/>
      <c r="N157" s="327"/>
      <c r="O157" s="327"/>
      <c r="P157" s="327"/>
      <c r="Q157" s="327"/>
      <c r="R157" s="328"/>
      <c r="S157" s="327"/>
      <c r="T157" s="327"/>
      <c r="U157" s="327"/>
      <c r="V157" s="327"/>
      <c r="W157" s="327"/>
      <c r="X157" s="327"/>
    </row>
    <row r="158" spans="1:24" s="279" customFormat="1">
      <c r="A158" s="326"/>
      <c r="B158" s="328"/>
      <c r="C158" s="328"/>
      <c r="D158" s="328"/>
      <c r="E158" s="328"/>
      <c r="F158" s="327"/>
      <c r="G158" s="327"/>
      <c r="H158" s="327"/>
      <c r="I158" s="327"/>
      <c r="J158" s="327"/>
      <c r="K158" s="327"/>
      <c r="L158" s="327"/>
      <c r="M158" s="327"/>
      <c r="N158" s="327"/>
      <c r="O158" s="327"/>
      <c r="P158" s="327"/>
      <c r="Q158" s="327"/>
      <c r="R158" s="328"/>
      <c r="S158" s="327"/>
      <c r="T158" s="327"/>
      <c r="U158" s="327"/>
      <c r="V158" s="327"/>
      <c r="W158" s="327"/>
      <c r="X158" s="327"/>
    </row>
    <row r="159" spans="1:24" s="279" customFormat="1">
      <c r="A159" s="326"/>
      <c r="B159" s="328"/>
      <c r="C159" s="328"/>
      <c r="D159" s="328"/>
      <c r="E159" s="328"/>
      <c r="F159" s="327"/>
      <c r="G159" s="327"/>
      <c r="H159" s="327"/>
      <c r="I159" s="327"/>
      <c r="J159" s="327"/>
      <c r="K159" s="327"/>
      <c r="L159" s="327"/>
      <c r="M159" s="327"/>
      <c r="N159" s="327"/>
      <c r="O159" s="327"/>
      <c r="P159" s="327"/>
      <c r="Q159" s="327"/>
      <c r="R159" s="328"/>
      <c r="S159" s="327"/>
      <c r="T159" s="327"/>
      <c r="U159" s="327"/>
      <c r="V159" s="327"/>
      <c r="W159" s="327"/>
      <c r="X159" s="327"/>
    </row>
    <row r="160" spans="1:24" s="279" customFormat="1">
      <c r="A160" s="326"/>
      <c r="B160" s="328"/>
      <c r="C160" s="328"/>
      <c r="D160" s="328"/>
      <c r="E160" s="328"/>
      <c r="F160" s="327"/>
      <c r="G160" s="327"/>
      <c r="H160" s="327"/>
      <c r="I160" s="327"/>
      <c r="J160" s="327"/>
      <c r="K160" s="327"/>
      <c r="L160" s="327"/>
      <c r="M160" s="327"/>
      <c r="N160" s="327"/>
      <c r="O160" s="327"/>
      <c r="P160" s="327"/>
      <c r="Q160" s="327"/>
      <c r="R160" s="328"/>
      <c r="S160" s="327"/>
      <c r="T160" s="327"/>
      <c r="U160" s="327"/>
      <c r="V160" s="327"/>
      <c r="W160" s="327"/>
      <c r="X160" s="327"/>
    </row>
    <row r="161" spans="1:24" s="279" customFormat="1">
      <c r="A161" s="326"/>
      <c r="B161" s="328"/>
      <c r="C161" s="328"/>
      <c r="D161" s="328"/>
      <c r="E161" s="328"/>
      <c r="F161" s="327"/>
      <c r="G161" s="327"/>
      <c r="H161" s="327"/>
      <c r="I161" s="327"/>
      <c r="J161" s="327"/>
      <c r="K161" s="327"/>
      <c r="L161" s="327"/>
      <c r="M161" s="327"/>
      <c r="N161" s="327"/>
      <c r="O161" s="327"/>
      <c r="P161" s="327"/>
      <c r="Q161" s="327"/>
      <c r="R161" s="328"/>
      <c r="S161" s="327"/>
      <c r="T161" s="327"/>
      <c r="U161" s="327"/>
      <c r="V161" s="327"/>
      <c r="W161" s="327"/>
      <c r="X161" s="327"/>
    </row>
    <row r="162" spans="1:24" s="279" customFormat="1">
      <c r="A162" s="326"/>
      <c r="B162" s="328"/>
      <c r="C162" s="328"/>
      <c r="D162" s="328"/>
      <c r="E162" s="328"/>
      <c r="F162" s="327"/>
      <c r="G162" s="327"/>
      <c r="H162" s="327"/>
      <c r="I162" s="327"/>
      <c r="J162" s="327"/>
      <c r="K162" s="327"/>
      <c r="L162" s="327"/>
      <c r="M162" s="327"/>
      <c r="N162" s="327"/>
      <c r="O162" s="327"/>
      <c r="P162" s="327"/>
      <c r="Q162" s="327"/>
      <c r="R162" s="328"/>
      <c r="S162" s="327"/>
      <c r="T162" s="327"/>
      <c r="U162" s="327"/>
      <c r="V162" s="327"/>
      <c r="W162" s="327"/>
      <c r="X162" s="327"/>
    </row>
    <row r="163" spans="1:24" s="279" customFormat="1">
      <c r="A163" s="326"/>
      <c r="B163" s="328"/>
      <c r="C163" s="328"/>
      <c r="D163" s="328"/>
      <c r="E163" s="328"/>
      <c r="F163" s="327"/>
      <c r="G163" s="327"/>
      <c r="H163" s="327"/>
      <c r="I163" s="327"/>
      <c r="J163" s="327"/>
      <c r="K163" s="327"/>
      <c r="L163" s="327"/>
      <c r="M163" s="327"/>
      <c r="N163" s="327"/>
      <c r="O163" s="327"/>
      <c r="P163" s="327"/>
      <c r="Q163" s="327"/>
      <c r="R163" s="328"/>
      <c r="S163" s="327"/>
      <c r="T163" s="327"/>
      <c r="U163" s="327"/>
      <c r="V163" s="327"/>
      <c r="W163" s="327"/>
      <c r="X163" s="327"/>
    </row>
    <row r="164" spans="1:24" s="279" customFormat="1">
      <c r="A164" s="326"/>
      <c r="B164" s="328"/>
      <c r="C164" s="328"/>
      <c r="D164" s="328"/>
      <c r="E164" s="328"/>
      <c r="F164" s="327"/>
      <c r="G164" s="327"/>
      <c r="H164" s="327"/>
      <c r="I164" s="327"/>
      <c r="J164" s="327"/>
      <c r="K164" s="327"/>
      <c r="L164" s="327"/>
      <c r="M164" s="327"/>
      <c r="N164" s="327"/>
      <c r="O164" s="327"/>
      <c r="P164" s="327"/>
      <c r="Q164" s="327"/>
      <c r="R164" s="328"/>
      <c r="S164" s="327"/>
      <c r="T164" s="327"/>
      <c r="U164" s="327"/>
      <c r="V164" s="327"/>
      <c r="W164" s="327"/>
      <c r="X164" s="327"/>
    </row>
    <row r="165" spans="1:24" s="279" customFormat="1">
      <c r="A165" s="326"/>
      <c r="B165" s="328"/>
      <c r="C165" s="328"/>
      <c r="D165" s="328"/>
      <c r="E165" s="328"/>
      <c r="F165" s="327"/>
      <c r="G165" s="327"/>
      <c r="H165" s="327"/>
      <c r="I165" s="327"/>
      <c r="J165" s="327"/>
      <c r="K165" s="327"/>
      <c r="L165" s="327"/>
      <c r="M165" s="327"/>
      <c r="N165" s="327"/>
      <c r="O165" s="327"/>
      <c r="P165" s="327"/>
      <c r="Q165" s="327"/>
      <c r="R165" s="328"/>
      <c r="S165" s="327"/>
      <c r="T165" s="327"/>
      <c r="U165" s="327"/>
      <c r="V165" s="327"/>
      <c r="W165" s="327"/>
      <c r="X165" s="327"/>
    </row>
    <row r="166" spans="1:24" s="279" customFormat="1">
      <c r="A166" s="326"/>
      <c r="B166" s="328"/>
      <c r="C166" s="328"/>
      <c r="D166" s="328"/>
      <c r="E166" s="328"/>
      <c r="F166" s="327"/>
      <c r="G166" s="327"/>
      <c r="H166" s="327"/>
      <c r="I166" s="327"/>
      <c r="J166" s="327"/>
      <c r="K166" s="327"/>
      <c r="L166" s="327"/>
      <c r="M166" s="327"/>
      <c r="N166" s="327"/>
      <c r="O166" s="327"/>
      <c r="P166" s="327"/>
      <c r="Q166" s="327"/>
      <c r="R166" s="328"/>
      <c r="S166" s="327"/>
      <c r="T166" s="327"/>
      <c r="U166" s="327"/>
      <c r="V166" s="327"/>
      <c r="W166" s="327"/>
      <c r="X166" s="327"/>
    </row>
    <row r="167" spans="1:24" s="279" customFormat="1">
      <c r="A167" s="326"/>
      <c r="B167" s="328"/>
      <c r="C167" s="328"/>
      <c r="D167" s="328"/>
      <c r="E167" s="328"/>
      <c r="F167" s="327"/>
      <c r="G167" s="327"/>
      <c r="H167" s="327"/>
      <c r="I167" s="327"/>
      <c r="J167" s="327"/>
      <c r="K167" s="327"/>
      <c r="L167" s="327"/>
      <c r="M167" s="327"/>
      <c r="N167" s="327"/>
      <c r="O167" s="327"/>
      <c r="P167" s="327"/>
      <c r="Q167" s="327"/>
      <c r="R167" s="328"/>
      <c r="S167" s="327"/>
      <c r="T167" s="327"/>
      <c r="U167" s="327"/>
      <c r="V167" s="327"/>
      <c r="W167" s="327"/>
      <c r="X167" s="327"/>
    </row>
    <row r="168" spans="1:24" s="279" customFormat="1">
      <c r="A168" s="326"/>
      <c r="B168" s="328"/>
      <c r="C168" s="328"/>
      <c r="D168" s="328"/>
      <c r="E168" s="328"/>
      <c r="F168" s="327"/>
      <c r="G168" s="327"/>
      <c r="H168" s="327"/>
      <c r="I168" s="327"/>
      <c r="J168" s="327"/>
      <c r="K168" s="327"/>
      <c r="L168" s="327"/>
      <c r="M168" s="327"/>
      <c r="N168" s="327"/>
      <c r="O168" s="327"/>
      <c r="P168" s="327"/>
      <c r="Q168" s="327"/>
      <c r="R168" s="328"/>
      <c r="S168" s="327"/>
      <c r="T168" s="327"/>
      <c r="U168" s="327"/>
      <c r="V168" s="327"/>
      <c r="W168" s="327"/>
      <c r="X168" s="327"/>
    </row>
    <row r="169" spans="1:24" s="279" customFormat="1">
      <c r="A169" s="326"/>
      <c r="B169" s="328"/>
      <c r="C169" s="328"/>
      <c r="D169" s="328"/>
      <c r="E169" s="328"/>
      <c r="F169" s="327"/>
      <c r="G169" s="327"/>
      <c r="H169" s="327"/>
      <c r="I169" s="327"/>
      <c r="J169" s="327"/>
      <c r="K169" s="327"/>
      <c r="L169" s="327"/>
      <c r="M169" s="327"/>
      <c r="N169" s="327"/>
      <c r="O169" s="327"/>
      <c r="P169" s="327"/>
      <c r="Q169" s="327"/>
      <c r="R169" s="328"/>
      <c r="S169" s="327"/>
      <c r="T169" s="327"/>
      <c r="U169" s="327"/>
      <c r="V169" s="327"/>
      <c r="W169" s="327"/>
      <c r="X169" s="327"/>
    </row>
    <row r="170" spans="1:24" s="279" customFormat="1">
      <c r="A170" s="326"/>
      <c r="B170" s="328"/>
      <c r="C170" s="328"/>
      <c r="D170" s="328"/>
      <c r="E170" s="328"/>
      <c r="F170" s="327"/>
      <c r="G170" s="327"/>
      <c r="H170" s="327"/>
      <c r="I170" s="327"/>
      <c r="J170" s="327"/>
      <c r="K170" s="327"/>
      <c r="L170" s="327"/>
      <c r="M170" s="327"/>
      <c r="N170" s="327"/>
      <c r="O170" s="327"/>
      <c r="P170" s="327"/>
      <c r="Q170" s="327"/>
      <c r="R170" s="328"/>
      <c r="S170" s="327"/>
      <c r="T170" s="327"/>
      <c r="U170" s="327"/>
      <c r="V170" s="327"/>
      <c r="W170" s="327"/>
      <c r="X170" s="327"/>
    </row>
    <row r="171" spans="1:24" s="279" customFormat="1">
      <c r="A171" s="326"/>
      <c r="B171" s="328"/>
      <c r="C171" s="328"/>
      <c r="D171" s="328"/>
      <c r="E171" s="328"/>
      <c r="F171" s="327"/>
      <c r="G171" s="327"/>
      <c r="H171" s="327"/>
      <c r="I171" s="327"/>
      <c r="J171" s="327"/>
      <c r="K171" s="327"/>
      <c r="L171" s="327"/>
      <c r="M171" s="327"/>
      <c r="N171" s="327"/>
      <c r="O171" s="327"/>
      <c r="P171" s="327"/>
      <c r="Q171" s="327"/>
      <c r="R171" s="328"/>
      <c r="S171" s="327"/>
      <c r="T171" s="327"/>
      <c r="U171" s="327"/>
      <c r="V171" s="327"/>
      <c r="W171" s="327"/>
      <c r="X171" s="327"/>
    </row>
    <row r="172" spans="1:24" s="279" customFormat="1">
      <c r="A172" s="326"/>
      <c r="B172" s="328"/>
      <c r="C172" s="328"/>
      <c r="D172" s="328"/>
      <c r="E172" s="328"/>
      <c r="F172" s="327"/>
      <c r="G172" s="327"/>
      <c r="H172" s="327"/>
      <c r="I172" s="327"/>
      <c r="J172" s="327"/>
      <c r="K172" s="327"/>
      <c r="L172" s="327"/>
      <c r="M172" s="327"/>
      <c r="N172" s="327"/>
      <c r="O172" s="327"/>
      <c r="P172" s="327"/>
      <c r="Q172" s="327"/>
      <c r="R172" s="328"/>
      <c r="S172" s="327"/>
      <c r="T172" s="327"/>
      <c r="U172" s="327"/>
      <c r="V172" s="327"/>
      <c r="W172" s="327"/>
      <c r="X172" s="327"/>
    </row>
    <row r="173" spans="1:24" s="279" customFormat="1">
      <c r="A173" s="326"/>
      <c r="B173" s="328"/>
      <c r="C173" s="328"/>
      <c r="D173" s="328"/>
      <c r="E173" s="328"/>
      <c r="F173" s="327"/>
      <c r="G173" s="327"/>
      <c r="H173" s="327"/>
      <c r="I173" s="327"/>
      <c r="J173" s="327"/>
      <c r="K173" s="327"/>
      <c r="L173" s="327"/>
      <c r="M173" s="327"/>
      <c r="N173" s="327"/>
      <c r="O173" s="327"/>
      <c r="P173" s="327"/>
      <c r="Q173" s="327"/>
      <c r="R173" s="328"/>
      <c r="S173" s="327"/>
      <c r="T173" s="327"/>
      <c r="U173" s="327"/>
      <c r="V173" s="327"/>
      <c r="W173" s="327"/>
      <c r="X173" s="327"/>
    </row>
    <row r="174" spans="1:24" s="279" customFormat="1">
      <c r="A174" s="326"/>
      <c r="B174" s="328"/>
      <c r="C174" s="328"/>
      <c r="D174" s="328"/>
      <c r="E174" s="328"/>
      <c r="F174" s="327"/>
      <c r="G174" s="327"/>
      <c r="H174" s="327"/>
      <c r="I174" s="327"/>
      <c r="J174" s="327"/>
      <c r="K174" s="327"/>
      <c r="L174" s="327"/>
      <c r="M174" s="327"/>
      <c r="N174" s="327"/>
      <c r="O174" s="327"/>
      <c r="P174" s="327"/>
      <c r="Q174" s="327"/>
      <c r="R174" s="328"/>
      <c r="S174" s="327"/>
      <c r="T174" s="327"/>
      <c r="U174" s="327"/>
      <c r="V174" s="327"/>
      <c r="W174" s="327"/>
      <c r="X174" s="327"/>
    </row>
    <row r="175" spans="1:24" s="279" customFormat="1">
      <c r="A175" s="326"/>
      <c r="B175" s="328"/>
      <c r="C175" s="328"/>
      <c r="D175" s="328"/>
      <c r="E175" s="328"/>
      <c r="F175" s="327"/>
      <c r="G175" s="327"/>
      <c r="H175" s="327"/>
      <c r="I175" s="327"/>
      <c r="J175" s="327"/>
      <c r="K175" s="327"/>
      <c r="L175" s="327"/>
      <c r="M175" s="327"/>
      <c r="N175" s="327"/>
      <c r="O175" s="327"/>
      <c r="P175" s="327"/>
      <c r="Q175" s="327"/>
      <c r="R175" s="328"/>
      <c r="S175" s="327"/>
      <c r="T175" s="327"/>
      <c r="U175" s="327"/>
      <c r="V175" s="327"/>
      <c r="W175" s="327"/>
      <c r="X175" s="327"/>
    </row>
    <row r="176" spans="1:24" s="279" customFormat="1">
      <c r="A176" s="326"/>
      <c r="B176" s="328"/>
      <c r="C176" s="328"/>
      <c r="D176" s="328"/>
      <c r="E176" s="328"/>
      <c r="F176" s="327"/>
      <c r="G176" s="327"/>
      <c r="H176" s="327"/>
      <c r="I176" s="327"/>
      <c r="J176" s="327"/>
      <c r="K176" s="327"/>
      <c r="L176" s="327"/>
      <c r="M176" s="327"/>
      <c r="N176" s="327"/>
      <c r="O176" s="327"/>
      <c r="P176" s="327"/>
      <c r="Q176" s="327"/>
      <c r="R176" s="328"/>
      <c r="S176" s="327"/>
      <c r="T176" s="327"/>
      <c r="U176" s="327"/>
      <c r="V176" s="327"/>
      <c r="W176" s="327"/>
      <c r="X176" s="327"/>
    </row>
    <row r="177" spans="1:24" s="279" customFormat="1">
      <c r="A177" s="326"/>
      <c r="B177" s="328"/>
      <c r="C177" s="328"/>
      <c r="D177" s="328"/>
      <c r="E177" s="328"/>
      <c r="F177" s="327"/>
      <c r="G177" s="327"/>
      <c r="H177" s="327"/>
      <c r="I177" s="327"/>
      <c r="J177" s="327"/>
      <c r="K177" s="327"/>
      <c r="L177" s="327"/>
      <c r="M177" s="327"/>
      <c r="N177" s="327"/>
      <c r="O177" s="327"/>
      <c r="P177" s="327"/>
      <c r="Q177" s="327"/>
      <c r="R177" s="328"/>
      <c r="S177" s="327"/>
      <c r="T177" s="327"/>
      <c r="U177" s="327"/>
      <c r="V177" s="327"/>
      <c r="W177" s="327"/>
      <c r="X177" s="327"/>
    </row>
    <row r="178" spans="1:24" s="279" customFormat="1">
      <c r="A178" s="326"/>
      <c r="B178" s="328"/>
      <c r="C178" s="328"/>
      <c r="D178" s="328"/>
      <c r="E178" s="328"/>
      <c r="F178" s="327"/>
      <c r="G178" s="327"/>
      <c r="H178" s="327"/>
      <c r="I178" s="327"/>
      <c r="J178" s="327"/>
      <c r="K178" s="327"/>
      <c r="L178" s="327"/>
      <c r="M178" s="327"/>
      <c r="N178" s="327"/>
      <c r="O178" s="327"/>
      <c r="P178" s="327"/>
      <c r="Q178" s="327"/>
      <c r="R178" s="328"/>
      <c r="S178" s="327"/>
      <c r="T178" s="327"/>
      <c r="U178" s="327"/>
      <c r="V178" s="327"/>
      <c r="W178" s="327"/>
      <c r="X178" s="327"/>
    </row>
    <row r="179" spans="1:24" s="279" customFormat="1">
      <c r="A179" s="326"/>
      <c r="B179" s="328"/>
      <c r="C179" s="328"/>
      <c r="D179" s="328"/>
      <c r="E179" s="328"/>
      <c r="F179" s="327"/>
      <c r="G179" s="327"/>
      <c r="H179" s="327"/>
      <c r="I179" s="327"/>
      <c r="J179" s="327"/>
      <c r="K179" s="327"/>
      <c r="L179" s="327"/>
      <c r="M179" s="327"/>
      <c r="N179" s="327"/>
      <c r="O179" s="327"/>
      <c r="P179" s="327"/>
      <c r="Q179" s="327"/>
      <c r="R179" s="328"/>
      <c r="S179" s="327"/>
      <c r="T179" s="327"/>
      <c r="U179" s="327"/>
      <c r="V179" s="327"/>
      <c r="W179" s="327"/>
      <c r="X179" s="327"/>
    </row>
    <row r="180" spans="1:24" s="279" customFormat="1">
      <c r="A180" s="326"/>
      <c r="B180" s="328"/>
      <c r="C180" s="328"/>
      <c r="D180" s="328"/>
      <c r="E180" s="328"/>
      <c r="F180" s="327"/>
      <c r="G180" s="327"/>
      <c r="H180" s="327"/>
      <c r="I180" s="327"/>
      <c r="J180" s="327"/>
      <c r="K180" s="327"/>
      <c r="L180" s="327"/>
      <c r="M180" s="327"/>
      <c r="N180" s="327"/>
      <c r="O180" s="327"/>
      <c r="P180" s="327"/>
      <c r="Q180" s="327"/>
      <c r="R180" s="328"/>
      <c r="S180" s="327"/>
      <c r="T180" s="327"/>
      <c r="U180" s="327"/>
      <c r="V180" s="327"/>
      <c r="W180" s="327"/>
      <c r="X180" s="327"/>
    </row>
    <row r="181" spans="1:24" s="279" customFormat="1">
      <c r="A181" s="326"/>
      <c r="B181" s="328"/>
      <c r="C181" s="328"/>
      <c r="D181" s="328"/>
      <c r="E181" s="328"/>
      <c r="F181" s="327"/>
      <c r="G181" s="327"/>
      <c r="H181" s="327"/>
      <c r="I181" s="327"/>
      <c r="J181" s="327"/>
      <c r="K181" s="327"/>
      <c r="L181" s="327"/>
      <c r="M181" s="327"/>
      <c r="N181" s="327"/>
      <c r="O181" s="327"/>
      <c r="P181" s="327"/>
      <c r="Q181" s="327"/>
      <c r="R181" s="328"/>
      <c r="S181" s="327"/>
      <c r="T181" s="327"/>
      <c r="U181" s="327"/>
      <c r="V181" s="327"/>
      <c r="W181" s="327"/>
      <c r="X181" s="327"/>
    </row>
    <row r="182" spans="1:24" s="279" customFormat="1">
      <c r="A182" s="326"/>
      <c r="B182" s="328"/>
      <c r="C182" s="328"/>
      <c r="D182" s="328"/>
      <c r="E182" s="328"/>
      <c r="F182" s="327"/>
      <c r="G182" s="327"/>
      <c r="H182" s="327"/>
      <c r="I182" s="327"/>
      <c r="J182" s="327"/>
      <c r="K182" s="327"/>
      <c r="L182" s="327"/>
      <c r="M182" s="327"/>
      <c r="N182" s="327"/>
      <c r="O182" s="327"/>
      <c r="P182" s="327"/>
      <c r="Q182" s="327"/>
      <c r="R182" s="328"/>
      <c r="S182" s="327"/>
      <c r="T182" s="327"/>
      <c r="U182" s="327"/>
      <c r="V182" s="327"/>
      <c r="W182" s="327"/>
      <c r="X182" s="327"/>
    </row>
    <row r="183" spans="1:24" s="279" customFormat="1">
      <c r="A183" s="326"/>
      <c r="B183" s="328"/>
      <c r="C183" s="328"/>
      <c r="D183" s="328"/>
      <c r="E183" s="328"/>
      <c r="F183" s="327"/>
      <c r="G183" s="327"/>
      <c r="H183" s="327"/>
      <c r="I183" s="327"/>
      <c r="J183" s="327"/>
      <c r="K183" s="327"/>
      <c r="L183" s="327"/>
      <c r="M183" s="327"/>
      <c r="N183" s="327"/>
      <c r="O183" s="327"/>
      <c r="P183" s="327"/>
      <c r="Q183" s="327"/>
      <c r="R183" s="328"/>
      <c r="S183" s="327"/>
      <c r="T183" s="327"/>
      <c r="U183" s="327"/>
      <c r="V183" s="327"/>
      <c r="W183" s="327"/>
      <c r="X183" s="327"/>
    </row>
    <row r="184" spans="1:24" s="279" customFormat="1">
      <c r="A184" s="326"/>
      <c r="B184" s="328"/>
      <c r="C184" s="328"/>
      <c r="D184" s="328"/>
      <c r="E184" s="328"/>
      <c r="F184" s="327"/>
      <c r="G184" s="327"/>
      <c r="H184" s="327"/>
      <c r="I184" s="327"/>
      <c r="J184" s="327"/>
      <c r="K184" s="327"/>
      <c r="L184" s="327"/>
      <c r="M184" s="327"/>
      <c r="N184" s="327"/>
      <c r="O184" s="327"/>
      <c r="P184" s="327"/>
      <c r="Q184" s="327"/>
      <c r="R184" s="328"/>
      <c r="S184" s="327"/>
      <c r="T184" s="327"/>
      <c r="U184" s="327"/>
      <c r="V184" s="327"/>
      <c r="W184" s="327"/>
      <c r="X184" s="327"/>
    </row>
    <row r="185" spans="1:24" s="279" customFormat="1">
      <c r="A185" s="326"/>
      <c r="B185" s="328"/>
      <c r="C185" s="328"/>
      <c r="D185" s="328"/>
      <c r="E185" s="328"/>
      <c r="F185" s="327"/>
      <c r="G185" s="327"/>
      <c r="H185" s="327"/>
      <c r="I185" s="327"/>
      <c r="J185" s="327"/>
      <c r="K185" s="327"/>
      <c r="L185" s="327"/>
      <c r="M185" s="327"/>
      <c r="N185" s="327"/>
      <c r="O185" s="327"/>
      <c r="P185" s="327"/>
      <c r="Q185" s="327"/>
      <c r="R185" s="328"/>
      <c r="S185" s="327"/>
      <c r="T185" s="327"/>
      <c r="U185" s="327"/>
      <c r="V185" s="327"/>
      <c r="W185" s="327"/>
      <c r="X185" s="327"/>
    </row>
    <row r="186" spans="1:24" s="279" customFormat="1">
      <c r="A186" s="326"/>
      <c r="B186" s="328"/>
      <c r="C186" s="328"/>
      <c r="D186" s="328"/>
      <c r="E186" s="328"/>
      <c r="F186" s="327"/>
      <c r="G186" s="327"/>
      <c r="H186" s="327"/>
      <c r="I186" s="327"/>
      <c r="J186" s="327"/>
      <c r="K186" s="327"/>
      <c r="L186" s="327"/>
      <c r="M186" s="327"/>
      <c r="N186" s="327"/>
      <c r="O186" s="327"/>
      <c r="P186" s="327"/>
      <c r="Q186" s="327"/>
      <c r="R186" s="328"/>
      <c r="S186" s="327"/>
      <c r="T186" s="327"/>
      <c r="U186" s="327"/>
      <c r="V186" s="327"/>
      <c r="W186" s="327"/>
      <c r="X186" s="327"/>
    </row>
    <row r="187" spans="1:24" s="279" customFormat="1">
      <c r="A187" s="326"/>
      <c r="B187" s="328"/>
      <c r="C187" s="328"/>
      <c r="D187" s="328"/>
      <c r="E187" s="328"/>
      <c r="F187" s="327"/>
      <c r="G187" s="327"/>
      <c r="H187" s="327"/>
      <c r="I187" s="327"/>
      <c r="J187" s="327"/>
      <c r="K187" s="327"/>
      <c r="L187" s="327"/>
      <c r="M187" s="327"/>
      <c r="N187" s="327"/>
      <c r="O187" s="327"/>
      <c r="P187" s="327"/>
      <c r="Q187" s="327"/>
      <c r="R187" s="328"/>
      <c r="S187" s="327"/>
      <c r="T187" s="327"/>
      <c r="U187" s="327"/>
      <c r="V187" s="327"/>
      <c r="W187" s="327"/>
      <c r="X187" s="327"/>
    </row>
    <row r="188" spans="1:24" s="279" customFormat="1">
      <c r="A188" s="326"/>
      <c r="B188" s="328"/>
      <c r="C188" s="328"/>
      <c r="D188" s="328"/>
      <c r="E188" s="328"/>
      <c r="F188" s="327"/>
      <c r="G188" s="327"/>
      <c r="H188" s="327"/>
      <c r="I188" s="327"/>
      <c r="J188" s="327"/>
      <c r="K188" s="327"/>
      <c r="L188" s="327"/>
      <c r="M188" s="327"/>
      <c r="N188" s="327"/>
      <c r="O188" s="327"/>
      <c r="P188" s="327"/>
      <c r="Q188" s="327"/>
      <c r="R188" s="328"/>
      <c r="S188" s="327"/>
      <c r="T188" s="327"/>
      <c r="U188" s="327"/>
      <c r="V188" s="327"/>
      <c r="W188" s="327"/>
      <c r="X188" s="327"/>
    </row>
    <row r="189" spans="1:24" s="279" customFormat="1">
      <c r="A189" s="326"/>
      <c r="B189" s="328"/>
      <c r="C189" s="328"/>
      <c r="D189" s="328"/>
      <c r="E189" s="328"/>
      <c r="F189" s="327"/>
      <c r="G189" s="327"/>
      <c r="H189" s="327"/>
      <c r="I189" s="327"/>
      <c r="J189" s="327"/>
      <c r="K189" s="327"/>
      <c r="L189" s="327"/>
      <c r="M189" s="327"/>
      <c r="N189" s="327"/>
      <c r="O189" s="327"/>
      <c r="P189" s="327"/>
      <c r="Q189" s="327"/>
      <c r="R189" s="328"/>
      <c r="S189" s="327"/>
      <c r="T189" s="327"/>
      <c r="U189" s="327"/>
      <c r="V189" s="327"/>
      <c r="W189" s="327"/>
      <c r="X189" s="327"/>
    </row>
    <row r="190" spans="1:24" s="279" customFormat="1">
      <c r="A190" s="326"/>
      <c r="B190" s="328"/>
      <c r="C190" s="328"/>
      <c r="D190" s="328"/>
      <c r="E190" s="328"/>
      <c r="F190" s="327"/>
      <c r="G190" s="327"/>
      <c r="H190" s="327"/>
      <c r="I190" s="327"/>
      <c r="J190" s="327"/>
      <c r="K190" s="327"/>
      <c r="L190" s="327"/>
      <c r="M190" s="327"/>
      <c r="N190" s="327"/>
      <c r="O190" s="327"/>
      <c r="P190" s="327"/>
      <c r="Q190" s="327"/>
      <c r="R190" s="328"/>
      <c r="S190" s="327"/>
      <c r="T190" s="327"/>
      <c r="U190" s="327"/>
      <c r="V190" s="327"/>
      <c r="W190" s="327"/>
      <c r="X190" s="327"/>
    </row>
    <row r="191" spans="1:24" s="279" customFormat="1">
      <c r="A191" s="326"/>
      <c r="B191" s="328"/>
      <c r="C191" s="328"/>
      <c r="D191" s="328"/>
      <c r="E191" s="328"/>
      <c r="F191" s="327"/>
      <c r="G191" s="327"/>
      <c r="H191" s="327"/>
      <c r="I191" s="327"/>
      <c r="J191" s="327"/>
      <c r="K191" s="327"/>
      <c r="L191" s="327"/>
      <c r="M191" s="327"/>
      <c r="N191" s="327"/>
      <c r="O191" s="327"/>
      <c r="P191" s="327"/>
      <c r="Q191" s="327"/>
      <c r="R191" s="328"/>
      <c r="S191" s="327"/>
      <c r="T191" s="327"/>
      <c r="U191" s="327"/>
      <c r="V191" s="327"/>
      <c r="W191" s="327"/>
      <c r="X191" s="327"/>
    </row>
    <row r="192" spans="1:24" s="279" customFormat="1">
      <c r="A192" s="326"/>
      <c r="B192" s="328"/>
      <c r="C192" s="328"/>
      <c r="D192" s="328"/>
      <c r="E192" s="328"/>
      <c r="F192" s="327"/>
      <c r="G192" s="327"/>
      <c r="H192" s="327"/>
      <c r="I192" s="327"/>
      <c r="J192" s="327"/>
      <c r="K192" s="327"/>
      <c r="L192" s="327"/>
      <c r="M192" s="327"/>
      <c r="N192" s="327"/>
      <c r="O192" s="327"/>
      <c r="P192" s="327"/>
      <c r="Q192" s="327"/>
      <c r="R192" s="328"/>
      <c r="S192" s="327"/>
      <c r="T192" s="327"/>
      <c r="U192" s="327"/>
      <c r="V192" s="327"/>
      <c r="W192" s="327"/>
      <c r="X192" s="327"/>
    </row>
    <row r="193" spans="1:24" s="279" customFormat="1">
      <c r="A193" s="326"/>
      <c r="B193" s="328"/>
      <c r="C193" s="328"/>
      <c r="D193" s="328"/>
      <c r="E193" s="328"/>
      <c r="F193" s="327"/>
      <c r="G193" s="327"/>
      <c r="H193" s="327"/>
      <c r="I193" s="327"/>
      <c r="J193" s="327"/>
      <c r="K193" s="327"/>
      <c r="L193" s="327"/>
      <c r="M193" s="327"/>
      <c r="N193" s="327"/>
      <c r="O193" s="327"/>
      <c r="P193" s="327"/>
      <c r="Q193" s="327"/>
      <c r="R193" s="328"/>
      <c r="S193" s="327"/>
      <c r="T193" s="327"/>
      <c r="U193" s="327"/>
      <c r="V193" s="327"/>
      <c r="W193" s="327"/>
      <c r="X193" s="327"/>
    </row>
    <row r="194" spans="1:24" s="279" customFormat="1">
      <c r="A194" s="326"/>
      <c r="B194" s="328"/>
      <c r="C194" s="328"/>
      <c r="D194" s="328"/>
      <c r="E194" s="328"/>
      <c r="F194" s="327"/>
      <c r="G194" s="327"/>
      <c r="H194" s="327"/>
      <c r="I194" s="327"/>
      <c r="J194" s="327"/>
      <c r="K194" s="327"/>
      <c r="L194" s="327"/>
      <c r="M194" s="327"/>
      <c r="N194" s="327"/>
      <c r="O194" s="327"/>
      <c r="P194" s="327"/>
      <c r="Q194" s="327"/>
      <c r="R194" s="328"/>
      <c r="S194" s="327"/>
      <c r="T194" s="327"/>
      <c r="U194" s="327"/>
      <c r="V194" s="327"/>
      <c r="W194" s="327"/>
      <c r="X194" s="327"/>
    </row>
    <row r="195" spans="1:24" s="279" customFormat="1">
      <c r="A195" s="326"/>
      <c r="B195" s="328"/>
      <c r="C195" s="328"/>
      <c r="D195" s="328"/>
      <c r="E195" s="328"/>
      <c r="F195" s="327"/>
      <c r="G195" s="327"/>
      <c r="H195" s="327"/>
      <c r="I195" s="327"/>
      <c r="J195" s="327"/>
      <c r="K195" s="327"/>
      <c r="L195" s="327"/>
      <c r="M195" s="327"/>
      <c r="N195" s="327"/>
      <c r="O195" s="327"/>
      <c r="P195" s="327"/>
      <c r="Q195" s="327"/>
      <c r="R195" s="328"/>
      <c r="S195" s="327"/>
      <c r="T195" s="327"/>
      <c r="U195" s="327"/>
      <c r="V195" s="327"/>
      <c r="W195" s="327"/>
      <c r="X195" s="327"/>
    </row>
    <row r="196" spans="1:24" s="279" customFormat="1">
      <c r="A196" s="326"/>
      <c r="B196" s="328"/>
      <c r="C196" s="328"/>
      <c r="D196" s="328"/>
      <c r="E196" s="328"/>
      <c r="F196" s="327"/>
      <c r="G196" s="327"/>
      <c r="H196" s="327"/>
      <c r="I196" s="327"/>
      <c r="J196" s="327"/>
      <c r="K196" s="327"/>
      <c r="L196" s="327"/>
      <c r="M196" s="327"/>
      <c r="N196" s="327"/>
      <c r="O196" s="327"/>
      <c r="P196" s="327"/>
      <c r="Q196" s="327"/>
      <c r="R196" s="328"/>
      <c r="S196" s="327"/>
      <c r="T196" s="327"/>
      <c r="U196" s="327"/>
      <c r="V196" s="327"/>
      <c r="W196" s="327"/>
      <c r="X196" s="327"/>
    </row>
    <row r="197" spans="1:24" s="279" customFormat="1">
      <c r="A197" s="326"/>
      <c r="B197" s="328"/>
      <c r="C197" s="328"/>
      <c r="D197" s="328"/>
      <c r="E197" s="328"/>
      <c r="F197" s="327"/>
      <c r="G197" s="327"/>
      <c r="H197" s="327"/>
      <c r="I197" s="327"/>
      <c r="J197" s="327"/>
      <c r="K197" s="327"/>
      <c r="L197" s="327"/>
      <c r="M197" s="327"/>
      <c r="N197" s="327"/>
      <c r="O197" s="327"/>
      <c r="P197" s="327"/>
      <c r="Q197" s="327"/>
      <c r="R197" s="328"/>
      <c r="S197" s="327"/>
      <c r="T197" s="327"/>
      <c r="U197" s="327"/>
      <c r="V197" s="327"/>
      <c r="W197" s="327"/>
      <c r="X197" s="327"/>
    </row>
    <row r="198" spans="1:24" s="279" customFormat="1">
      <c r="A198" s="326"/>
      <c r="B198" s="328"/>
      <c r="C198" s="328"/>
      <c r="D198" s="328"/>
      <c r="E198" s="328"/>
      <c r="F198" s="327"/>
      <c r="G198" s="327"/>
      <c r="H198" s="327"/>
      <c r="I198" s="327"/>
      <c r="J198" s="327"/>
      <c r="K198" s="327"/>
      <c r="L198" s="327"/>
      <c r="M198" s="327"/>
      <c r="N198" s="327"/>
      <c r="O198" s="327"/>
      <c r="P198" s="327"/>
      <c r="Q198" s="327"/>
      <c r="R198" s="328"/>
      <c r="S198" s="327"/>
      <c r="T198" s="327"/>
      <c r="U198" s="327"/>
      <c r="V198" s="327"/>
      <c r="W198" s="327"/>
      <c r="X198" s="327"/>
    </row>
    <row r="199" spans="1:24" s="279" customFormat="1">
      <c r="A199" s="326"/>
      <c r="B199" s="328"/>
      <c r="C199" s="328"/>
      <c r="D199" s="328"/>
      <c r="E199" s="328"/>
      <c r="F199" s="327"/>
      <c r="G199" s="327"/>
      <c r="H199" s="327"/>
      <c r="I199" s="327"/>
      <c r="J199" s="327"/>
      <c r="K199" s="327"/>
      <c r="L199" s="327"/>
      <c r="M199" s="327"/>
      <c r="N199" s="327"/>
      <c r="O199" s="327"/>
      <c r="P199" s="327"/>
      <c r="Q199" s="327"/>
      <c r="R199" s="328"/>
      <c r="S199" s="327"/>
      <c r="T199" s="327"/>
      <c r="U199" s="327"/>
      <c r="V199" s="327"/>
      <c r="W199" s="327"/>
      <c r="X199" s="327"/>
    </row>
    <row r="200" spans="1:24" s="279" customFormat="1">
      <c r="A200" s="326"/>
      <c r="B200" s="328"/>
      <c r="C200" s="328"/>
      <c r="D200" s="328"/>
      <c r="E200" s="328"/>
      <c r="F200" s="327"/>
      <c r="G200" s="327"/>
      <c r="H200" s="327"/>
      <c r="I200" s="327"/>
      <c r="J200" s="327"/>
      <c r="K200" s="327"/>
      <c r="L200" s="327"/>
      <c r="M200" s="327"/>
      <c r="N200" s="327"/>
      <c r="O200" s="327"/>
      <c r="P200" s="327"/>
      <c r="Q200" s="327"/>
      <c r="R200" s="328"/>
      <c r="S200" s="327"/>
      <c r="T200" s="327"/>
      <c r="U200" s="327"/>
      <c r="V200" s="327"/>
      <c r="W200" s="327"/>
      <c r="X200" s="327"/>
    </row>
    <row r="201" spans="1:24" s="279" customFormat="1">
      <c r="A201" s="326"/>
      <c r="B201" s="328"/>
      <c r="C201" s="328"/>
      <c r="D201" s="328"/>
      <c r="E201" s="328"/>
      <c r="F201" s="327"/>
      <c r="G201" s="327"/>
      <c r="H201" s="327"/>
      <c r="I201" s="327"/>
      <c r="J201" s="327"/>
      <c r="K201" s="327"/>
      <c r="L201" s="327"/>
      <c r="M201" s="327"/>
      <c r="N201" s="327"/>
      <c r="O201" s="327"/>
      <c r="P201" s="327"/>
      <c r="Q201" s="327"/>
      <c r="R201" s="328"/>
      <c r="S201" s="327"/>
      <c r="T201" s="327"/>
      <c r="U201" s="327"/>
      <c r="V201" s="327"/>
      <c r="W201" s="327"/>
      <c r="X201" s="327"/>
    </row>
    <row r="202" spans="1:24" s="279" customFormat="1">
      <c r="A202" s="326"/>
      <c r="B202" s="328"/>
      <c r="C202" s="328"/>
      <c r="D202" s="328"/>
      <c r="E202" s="328"/>
      <c r="F202" s="327"/>
      <c r="G202" s="327"/>
      <c r="H202" s="327"/>
      <c r="I202" s="327"/>
      <c r="J202" s="327"/>
      <c r="K202" s="327"/>
      <c r="L202" s="327"/>
      <c r="M202" s="327"/>
      <c r="N202" s="327"/>
      <c r="O202" s="327"/>
      <c r="P202" s="327"/>
      <c r="Q202" s="327"/>
      <c r="R202" s="328"/>
      <c r="S202" s="327"/>
      <c r="T202" s="327"/>
      <c r="U202" s="327"/>
      <c r="V202" s="327"/>
      <c r="W202" s="327"/>
      <c r="X202" s="327"/>
    </row>
    <row r="203" spans="1:24" s="279" customFormat="1">
      <c r="A203" s="326"/>
      <c r="B203" s="328"/>
      <c r="C203" s="328"/>
      <c r="D203" s="328"/>
      <c r="E203" s="328"/>
      <c r="F203" s="327"/>
      <c r="G203" s="327"/>
      <c r="H203" s="327"/>
      <c r="I203" s="327"/>
      <c r="J203" s="327"/>
      <c r="K203" s="327"/>
      <c r="L203" s="327"/>
      <c r="M203" s="327"/>
      <c r="N203" s="327"/>
      <c r="O203" s="327"/>
      <c r="P203" s="327"/>
      <c r="Q203" s="327"/>
      <c r="R203" s="328"/>
      <c r="S203" s="327"/>
      <c r="T203" s="327"/>
      <c r="U203" s="327"/>
      <c r="V203" s="327"/>
      <c r="W203" s="327"/>
      <c r="X203" s="327"/>
    </row>
    <row r="204" spans="1:24" s="279" customFormat="1">
      <c r="A204" s="326"/>
      <c r="B204" s="328"/>
      <c r="C204" s="328"/>
      <c r="D204" s="328"/>
      <c r="E204" s="328"/>
      <c r="F204" s="327"/>
      <c r="G204" s="327"/>
      <c r="H204" s="327"/>
      <c r="I204" s="327"/>
      <c r="J204" s="327"/>
      <c r="K204" s="327"/>
      <c r="L204" s="327"/>
      <c r="M204" s="327"/>
      <c r="N204" s="327"/>
      <c r="O204" s="327"/>
      <c r="P204" s="327"/>
      <c r="Q204" s="327"/>
      <c r="R204" s="328"/>
      <c r="S204" s="327"/>
      <c r="T204" s="327"/>
      <c r="U204" s="327"/>
      <c r="V204" s="327"/>
      <c r="W204" s="327"/>
      <c r="X204" s="327"/>
    </row>
    <row r="205" spans="1:24" s="279" customFormat="1">
      <c r="A205" s="326"/>
      <c r="B205" s="328"/>
      <c r="C205" s="328"/>
      <c r="D205" s="328"/>
      <c r="E205" s="328"/>
      <c r="F205" s="327"/>
      <c r="G205" s="327"/>
      <c r="H205" s="327"/>
      <c r="I205" s="327"/>
      <c r="J205" s="327"/>
      <c r="K205" s="327"/>
      <c r="L205" s="327"/>
      <c r="M205" s="327"/>
      <c r="N205" s="327"/>
      <c r="O205" s="327"/>
      <c r="P205" s="327"/>
      <c r="Q205" s="327"/>
      <c r="R205" s="328"/>
      <c r="S205" s="327"/>
      <c r="T205" s="327"/>
      <c r="U205" s="327"/>
      <c r="V205" s="327"/>
      <c r="W205" s="327"/>
      <c r="X205" s="327"/>
    </row>
    <row r="206" spans="1:24" s="279" customFormat="1">
      <c r="A206" s="326"/>
      <c r="B206" s="328"/>
      <c r="C206" s="328"/>
      <c r="D206" s="328"/>
      <c r="E206" s="328"/>
      <c r="F206" s="327"/>
      <c r="G206" s="327"/>
      <c r="H206" s="327"/>
      <c r="I206" s="327"/>
      <c r="J206" s="327"/>
      <c r="K206" s="327"/>
      <c r="L206" s="327"/>
      <c r="M206" s="327"/>
      <c r="N206" s="327"/>
      <c r="O206" s="327"/>
      <c r="P206" s="327"/>
      <c r="Q206" s="327"/>
      <c r="R206" s="328"/>
      <c r="S206" s="327"/>
      <c r="T206" s="327"/>
      <c r="U206" s="327"/>
      <c r="V206" s="327"/>
      <c r="W206" s="327"/>
      <c r="X206" s="327"/>
    </row>
    <row r="207" spans="1:24" s="279" customFormat="1">
      <c r="A207" s="326"/>
      <c r="B207" s="328"/>
      <c r="C207" s="328"/>
      <c r="D207" s="328"/>
      <c r="E207" s="328"/>
      <c r="F207" s="327"/>
      <c r="G207" s="327"/>
      <c r="H207" s="327"/>
      <c r="I207" s="327"/>
      <c r="J207" s="327"/>
      <c r="K207" s="327"/>
      <c r="L207" s="327"/>
      <c r="M207" s="327"/>
      <c r="N207" s="327"/>
      <c r="O207" s="327"/>
      <c r="P207" s="327"/>
      <c r="Q207" s="327"/>
      <c r="R207" s="328"/>
      <c r="S207" s="327"/>
      <c r="T207" s="327"/>
      <c r="U207" s="327"/>
      <c r="V207" s="327"/>
      <c r="W207" s="327"/>
      <c r="X207" s="327"/>
    </row>
    <row r="208" spans="1:24" s="279" customFormat="1">
      <c r="A208" s="326"/>
      <c r="B208" s="328"/>
      <c r="C208" s="328"/>
      <c r="D208" s="328"/>
      <c r="E208" s="328"/>
      <c r="F208" s="327"/>
      <c r="G208" s="327"/>
      <c r="H208" s="327"/>
      <c r="I208" s="327"/>
      <c r="J208" s="327"/>
      <c r="K208" s="327"/>
      <c r="L208" s="327"/>
      <c r="M208" s="327"/>
      <c r="N208" s="327"/>
      <c r="O208" s="327"/>
      <c r="P208" s="327"/>
      <c r="Q208" s="327"/>
      <c r="R208" s="328"/>
      <c r="S208" s="327"/>
      <c r="T208" s="327"/>
      <c r="U208" s="327"/>
      <c r="V208" s="327"/>
      <c r="W208" s="327"/>
      <c r="X208" s="327"/>
    </row>
    <row r="209" spans="1:24" s="279" customFormat="1">
      <c r="A209" s="326"/>
      <c r="B209" s="328"/>
      <c r="C209" s="328"/>
      <c r="D209" s="328"/>
      <c r="E209" s="328"/>
      <c r="F209" s="327"/>
      <c r="G209" s="327"/>
      <c r="H209" s="327"/>
      <c r="I209" s="327"/>
      <c r="J209" s="327"/>
      <c r="K209" s="327"/>
      <c r="L209" s="327"/>
      <c r="M209" s="327"/>
      <c r="N209" s="327"/>
      <c r="O209" s="327"/>
      <c r="P209" s="327"/>
      <c r="Q209" s="327"/>
      <c r="R209" s="328"/>
      <c r="S209" s="327"/>
      <c r="T209" s="327"/>
      <c r="U209" s="327"/>
      <c r="V209" s="327"/>
      <c r="W209" s="327"/>
      <c r="X209" s="327"/>
    </row>
    <row r="210" spans="1:24" s="279" customFormat="1">
      <c r="A210" s="326"/>
      <c r="B210" s="328"/>
      <c r="C210" s="328"/>
      <c r="D210" s="328"/>
      <c r="E210" s="328"/>
      <c r="F210" s="327"/>
      <c r="G210" s="327"/>
      <c r="H210" s="327"/>
      <c r="I210" s="327"/>
      <c r="J210" s="327"/>
      <c r="K210" s="327"/>
      <c r="L210" s="327"/>
      <c r="M210" s="327"/>
      <c r="N210" s="327"/>
      <c r="O210" s="327"/>
      <c r="P210" s="327"/>
      <c r="Q210" s="327"/>
      <c r="R210" s="328"/>
      <c r="S210" s="327"/>
      <c r="T210" s="327"/>
      <c r="U210" s="327"/>
      <c r="V210" s="327"/>
      <c r="W210" s="327"/>
      <c r="X210" s="327"/>
    </row>
    <row r="211" spans="1:24" s="279" customFormat="1">
      <c r="A211" s="326"/>
      <c r="B211" s="328"/>
      <c r="C211" s="328"/>
      <c r="D211" s="328"/>
      <c r="E211" s="328"/>
      <c r="F211" s="327"/>
      <c r="G211" s="327"/>
      <c r="H211" s="327"/>
      <c r="I211" s="327"/>
      <c r="J211" s="327"/>
      <c r="K211" s="327"/>
      <c r="L211" s="327"/>
      <c r="M211" s="327"/>
      <c r="N211" s="327"/>
      <c r="O211" s="327"/>
      <c r="P211" s="327"/>
      <c r="Q211" s="327"/>
      <c r="R211" s="328"/>
      <c r="S211" s="327"/>
      <c r="T211" s="327"/>
      <c r="U211" s="327"/>
      <c r="V211" s="327"/>
      <c r="W211" s="327"/>
      <c r="X211" s="327"/>
    </row>
    <row r="212" spans="1:24" s="279" customFormat="1">
      <c r="A212" s="326"/>
      <c r="B212" s="328"/>
      <c r="C212" s="328"/>
      <c r="D212" s="328"/>
      <c r="E212" s="328"/>
      <c r="F212" s="327"/>
      <c r="G212" s="327"/>
      <c r="H212" s="327"/>
      <c r="I212" s="327"/>
      <c r="J212" s="327"/>
      <c r="K212" s="327"/>
      <c r="L212" s="327"/>
      <c r="M212" s="327"/>
      <c r="N212" s="327"/>
      <c r="O212" s="327"/>
      <c r="P212" s="327"/>
      <c r="Q212" s="327"/>
      <c r="R212" s="328"/>
      <c r="S212" s="327"/>
      <c r="T212" s="327"/>
      <c r="U212" s="327"/>
      <c r="V212" s="327"/>
      <c r="W212" s="327"/>
      <c r="X212" s="327"/>
    </row>
    <row r="213" spans="1:24" s="279" customFormat="1">
      <c r="A213" s="326"/>
      <c r="B213" s="328"/>
      <c r="C213" s="328"/>
      <c r="D213" s="328"/>
      <c r="E213" s="328"/>
      <c r="F213" s="327"/>
      <c r="G213" s="327"/>
      <c r="H213" s="327"/>
      <c r="I213" s="327"/>
      <c r="J213" s="327"/>
      <c r="K213" s="327"/>
      <c r="L213" s="327"/>
      <c r="M213" s="327"/>
      <c r="N213" s="327"/>
      <c r="O213" s="327"/>
      <c r="P213" s="327"/>
      <c r="Q213" s="327"/>
      <c r="R213" s="328"/>
      <c r="S213" s="327"/>
      <c r="T213" s="327"/>
      <c r="U213" s="327"/>
      <c r="V213" s="327"/>
      <c r="W213" s="327"/>
      <c r="X213" s="327"/>
    </row>
    <row r="214" spans="1:24" s="279" customFormat="1">
      <c r="A214" s="326"/>
      <c r="B214" s="328"/>
      <c r="C214" s="328"/>
      <c r="D214" s="328"/>
      <c r="E214" s="328"/>
      <c r="F214" s="327"/>
      <c r="G214" s="327"/>
      <c r="H214" s="327"/>
      <c r="I214" s="327"/>
      <c r="J214" s="327"/>
      <c r="K214" s="327"/>
      <c r="L214" s="327"/>
      <c r="M214" s="327"/>
      <c r="N214" s="327"/>
      <c r="O214" s="327"/>
      <c r="P214" s="327"/>
      <c r="Q214" s="327"/>
      <c r="R214" s="328"/>
      <c r="S214" s="327"/>
      <c r="T214" s="327"/>
      <c r="U214" s="327"/>
      <c r="V214" s="327"/>
      <c r="W214" s="327"/>
      <c r="X214" s="327"/>
    </row>
    <row r="215" spans="1:24" s="279" customFormat="1">
      <c r="A215" s="326"/>
      <c r="B215" s="328"/>
      <c r="C215" s="328"/>
      <c r="D215" s="328"/>
      <c r="E215" s="328"/>
      <c r="F215" s="327"/>
      <c r="G215" s="327"/>
      <c r="H215" s="327"/>
      <c r="I215" s="327"/>
      <c r="J215" s="327"/>
      <c r="K215" s="327"/>
      <c r="L215" s="327"/>
      <c r="M215" s="327"/>
      <c r="N215" s="327"/>
      <c r="O215" s="327"/>
      <c r="P215" s="327"/>
      <c r="Q215" s="327"/>
      <c r="R215" s="328"/>
      <c r="S215" s="327"/>
      <c r="T215" s="327"/>
      <c r="U215" s="327"/>
      <c r="V215" s="327"/>
      <c r="W215" s="327"/>
      <c r="X215" s="327"/>
    </row>
    <row r="216" spans="1:24" s="279" customFormat="1">
      <c r="A216" s="326"/>
      <c r="B216" s="328"/>
      <c r="C216" s="328"/>
      <c r="D216" s="328"/>
      <c r="E216" s="328"/>
      <c r="F216" s="327"/>
      <c r="G216" s="327"/>
      <c r="H216" s="327"/>
      <c r="I216" s="327"/>
      <c r="J216" s="327"/>
      <c r="K216" s="327"/>
      <c r="L216" s="327"/>
      <c r="M216" s="327"/>
      <c r="N216" s="327"/>
      <c r="O216" s="327"/>
      <c r="P216" s="327"/>
      <c r="Q216" s="327"/>
      <c r="R216" s="328"/>
      <c r="S216" s="327"/>
      <c r="T216" s="327"/>
      <c r="U216" s="327"/>
      <c r="V216" s="327"/>
      <c r="W216" s="327"/>
      <c r="X216" s="327"/>
    </row>
    <row r="217" spans="1:24" s="279" customFormat="1">
      <c r="A217" s="326"/>
      <c r="B217" s="328"/>
      <c r="C217" s="328"/>
      <c r="D217" s="328"/>
      <c r="E217" s="328"/>
      <c r="F217" s="327"/>
      <c r="G217" s="327"/>
      <c r="H217" s="327"/>
      <c r="I217" s="327"/>
      <c r="J217" s="327"/>
      <c r="K217" s="327"/>
      <c r="L217" s="327"/>
      <c r="M217" s="327"/>
      <c r="N217" s="327"/>
      <c r="O217" s="327"/>
      <c r="P217" s="327"/>
      <c r="Q217" s="327"/>
      <c r="R217" s="328"/>
      <c r="S217" s="327"/>
      <c r="T217" s="327"/>
      <c r="U217" s="327"/>
      <c r="V217" s="327"/>
      <c r="W217" s="327"/>
      <c r="X217" s="327"/>
    </row>
    <row r="218" spans="1:24" s="279" customFormat="1">
      <c r="A218" s="326"/>
      <c r="B218" s="328"/>
      <c r="C218" s="328"/>
      <c r="D218" s="328"/>
      <c r="E218" s="328"/>
      <c r="F218" s="327"/>
      <c r="G218" s="327"/>
      <c r="H218" s="327"/>
      <c r="I218" s="327"/>
      <c r="J218" s="327"/>
      <c r="K218" s="327"/>
      <c r="L218" s="327"/>
      <c r="M218" s="327"/>
      <c r="N218" s="327"/>
      <c r="O218" s="327"/>
      <c r="P218" s="327"/>
      <c r="Q218" s="327"/>
      <c r="R218" s="328"/>
      <c r="S218" s="327"/>
      <c r="T218" s="327"/>
      <c r="U218" s="327"/>
      <c r="V218" s="327"/>
      <c r="W218" s="327"/>
      <c r="X218" s="327"/>
    </row>
    <row r="219" spans="1:24" s="279" customFormat="1">
      <c r="A219" s="326"/>
      <c r="B219" s="328"/>
      <c r="C219" s="328"/>
      <c r="D219" s="328"/>
      <c r="E219" s="328"/>
      <c r="F219" s="327"/>
      <c r="G219" s="327"/>
      <c r="H219" s="327"/>
      <c r="I219" s="327"/>
      <c r="J219" s="327"/>
      <c r="K219" s="327"/>
      <c r="L219" s="327"/>
      <c r="M219" s="327"/>
      <c r="N219" s="327"/>
      <c r="O219" s="327"/>
      <c r="P219" s="327"/>
      <c r="Q219" s="327"/>
      <c r="R219" s="328"/>
      <c r="S219" s="327"/>
      <c r="T219" s="327"/>
      <c r="U219" s="327"/>
      <c r="V219" s="327"/>
      <c r="W219" s="327"/>
      <c r="X219" s="327"/>
    </row>
    <row r="220" spans="1:24" s="279" customFormat="1">
      <c r="A220" s="326"/>
      <c r="B220" s="328"/>
      <c r="C220" s="328"/>
      <c r="D220" s="328"/>
      <c r="E220" s="328"/>
      <c r="F220" s="327"/>
      <c r="G220" s="327"/>
      <c r="H220" s="327"/>
      <c r="I220" s="327"/>
      <c r="J220" s="327"/>
      <c r="K220" s="327"/>
      <c r="L220" s="327"/>
      <c r="M220" s="327"/>
      <c r="N220" s="327"/>
      <c r="O220" s="327"/>
      <c r="P220" s="327"/>
      <c r="Q220" s="327"/>
      <c r="R220" s="328"/>
      <c r="S220" s="327"/>
      <c r="T220" s="327"/>
      <c r="U220" s="327"/>
      <c r="V220" s="327"/>
      <c r="W220" s="327"/>
      <c r="X220" s="327"/>
    </row>
    <row r="221" spans="1:24" s="279" customFormat="1">
      <c r="A221" s="326"/>
      <c r="B221" s="328"/>
      <c r="C221" s="328"/>
      <c r="D221" s="328"/>
      <c r="E221" s="328"/>
      <c r="F221" s="327"/>
      <c r="G221" s="327"/>
      <c r="H221" s="327"/>
      <c r="I221" s="327"/>
      <c r="J221" s="327"/>
      <c r="K221" s="327"/>
      <c r="L221" s="327"/>
      <c r="M221" s="327"/>
      <c r="N221" s="327"/>
      <c r="O221" s="327"/>
      <c r="P221" s="327"/>
      <c r="Q221" s="327"/>
      <c r="R221" s="328"/>
      <c r="S221" s="327"/>
      <c r="T221" s="327"/>
      <c r="U221" s="327"/>
      <c r="V221" s="327"/>
      <c r="W221" s="327"/>
      <c r="X221" s="327"/>
    </row>
    <row r="222" spans="1:24" s="279" customFormat="1">
      <c r="A222" s="326"/>
      <c r="B222" s="328"/>
      <c r="C222" s="328"/>
      <c r="D222" s="328"/>
      <c r="E222" s="328"/>
      <c r="F222" s="327"/>
      <c r="G222" s="327"/>
      <c r="H222" s="327"/>
      <c r="I222" s="327"/>
      <c r="J222" s="327"/>
      <c r="K222" s="327"/>
      <c r="L222" s="327"/>
      <c r="M222" s="327"/>
      <c r="N222" s="327"/>
      <c r="O222" s="327"/>
      <c r="P222" s="327"/>
      <c r="Q222" s="327"/>
      <c r="R222" s="328"/>
      <c r="S222" s="327"/>
      <c r="T222" s="327"/>
      <c r="U222" s="327"/>
      <c r="V222" s="327"/>
      <c r="W222" s="327"/>
      <c r="X222" s="327"/>
    </row>
    <row r="223" spans="1:24" s="279" customFormat="1">
      <c r="A223" s="326"/>
      <c r="B223" s="328"/>
      <c r="C223" s="328"/>
      <c r="D223" s="328"/>
      <c r="E223" s="328"/>
      <c r="F223" s="327"/>
      <c r="G223" s="327"/>
      <c r="H223" s="327"/>
      <c r="I223" s="327"/>
      <c r="J223" s="327"/>
      <c r="K223" s="327"/>
      <c r="L223" s="327"/>
      <c r="M223" s="327"/>
      <c r="N223" s="327"/>
      <c r="O223" s="327"/>
      <c r="P223" s="327"/>
      <c r="Q223" s="327"/>
      <c r="R223" s="328"/>
      <c r="S223" s="327"/>
      <c r="T223" s="327"/>
      <c r="U223" s="327"/>
      <c r="V223" s="327"/>
      <c r="W223" s="327"/>
      <c r="X223" s="327"/>
    </row>
    <row r="224" spans="1:24" s="279" customFormat="1">
      <c r="A224" s="326"/>
      <c r="B224" s="328"/>
      <c r="C224" s="328"/>
      <c r="D224" s="328"/>
      <c r="E224" s="328"/>
      <c r="F224" s="327"/>
      <c r="G224" s="327"/>
      <c r="H224" s="327"/>
      <c r="I224" s="327"/>
      <c r="J224" s="327"/>
      <c r="K224" s="327"/>
      <c r="L224" s="327"/>
      <c r="M224" s="327"/>
      <c r="N224" s="327"/>
      <c r="O224" s="327"/>
      <c r="P224" s="327"/>
      <c r="Q224" s="327"/>
      <c r="R224" s="328"/>
      <c r="S224" s="327"/>
      <c r="T224" s="327"/>
      <c r="U224" s="327"/>
      <c r="V224" s="327"/>
      <c r="W224" s="327"/>
      <c r="X224" s="327"/>
    </row>
    <row r="225" spans="1:24" s="279" customFormat="1">
      <c r="A225" s="326"/>
      <c r="B225" s="328"/>
      <c r="C225" s="328"/>
      <c r="D225" s="328"/>
      <c r="E225" s="328"/>
      <c r="F225" s="327"/>
      <c r="G225" s="327"/>
      <c r="H225" s="327"/>
      <c r="I225" s="327"/>
      <c r="J225" s="327"/>
      <c r="K225" s="327"/>
      <c r="L225" s="327"/>
      <c r="M225" s="327"/>
      <c r="N225" s="327"/>
      <c r="O225" s="327"/>
      <c r="P225" s="327"/>
      <c r="Q225" s="327"/>
      <c r="R225" s="328"/>
      <c r="S225" s="327"/>
      <c r="T225" s="327"/>
      <c r="U225" s="327"/>
      <c r="V225" s="327"/>
      <c r="W225" s="327"/>
      <c r="X225" s="327"/>
    </row>
    <row r="226" spans="1:24" s="279" customFormat="1">
      <c r="A226" s="326"/>
      <c r="B226" s="328"/>
      <c r="C226" s="328"/>
      <c r="D226" s="328"/>
      <c r="E226" s="328"/>
      <c r="F226" s="327"/>
      <c r="G226" s="327"/>
      <c r="H226" s="327"/>
      <c r="I226" s="327"/>
      <c r="J226" s="327"/>
      <c r="K226" s="327"/>
      <c r="L226" s="327"/>
      <c r="M226" s="327"/>
      <c r="N226" s="327"/>
      <c r="O226" s="327"/>
      <c r="P226" s="327"/>
      <c r="Q226" s="327"/>
      <c r="R226" s="328"/>
      <c r="S226" s="327"/>
      <c r="T226" s="327"/>
      <c r="U226" s="327"/>
      <c r="V226" s="327"/>
      <c r="W226" s="327"/>
      <c r="X226" s="327"/>
    </row>
    <row r="227" spans="1:24" s="279" customFormat="1">
      <c r="A227" s="326"/>
      <c r="B227" s="328"/>
      <c r="C227" s="328"/>
      <c r="D227" s="328"/>
      <c r="E227" s="328"/>
      <c r="F227" s="327"/>
      <c r="G227" s="327"/>
      <c r="H227" s="327"/>
      <c r="I227" s="327"/>
      <c r="J227" s="327"/>
      <c r="K227" s="327"/>
      <c r="L227" s="327"/>
      <c r="M227" s="327"/>
      <c r="N227" s="327"/>
      <c r="O227" s="327"/>
      <c r="P227" s="327"/>
      <c r="Q227" s="327"/>
      <c r="R227" s="328"/>
      <c r="S227" s="327"/>
      <c r="T227" s="327"/>
      <c r="U227" s="327"/>
      <c r="V227" s="327"/>
      <c r="W227" s="327"/>
      <c r="X227" s="327"/>
    </row>
    <row r="228" spans="1:24" s="279" customFormat="1">
      <c r="A228" s="326"/>
      <c r="B228" s="328"/>
      <c r="C228" s="328"/>
      <c r="D228" s="328"/>
      <c r="E228" s="328"/>
      <c r="F228" s="327"/>
      <c r="G228" s="327"/>
      <c r="H228" s="327"/>
      <c r="I228" s="327"/>
      <c r="J228" s="327"/>
      <c r="K228" s="327"/>
      <c r="L228" s="327"/>
      <c r="M228" s="327"/>
      <c r="N228" s="327"/>
      <c r="O228" s="327"/>
      <c r="P228" s="327"/>
      <c r="Q228" s="327"/>
      <c r="R228" s="328"/>
      <c r="S228" s="327"/>
      <c r="T228" s="327"/>
      <c r="U228" s="327"/>
      <c r="V228" s="327"/>
      <c r="W228" s="327"/>
      <c r="X228" s="327"/>
    </row>
    <row r="229" spans="1:24" s="279" customFormat="1">
      <c r="A229" s="326"/>
      <c r="B229" s="328"/>
      <c r="C229" s="328"/>
      <c r="D229" s="328"/>
      <c r="E229" s="328"/>
      <c r="F229" s="327"/>
      <c r="G229" s="327"/>
      <c r="H229" s="327"/>
      <c r="I229" s="327"/>
      <c r="J229" s="327"/>
      <c r="K229" s="327"/>
      <c r="L229" s="327"/>
      <c r="M229" s="327"/>
      <c r="N229" s="327"/>
      <c r="O229" s="327"/>
      <c r="P229" s="327"/>
      <c r="Q229" s="327"/>
      <c r="R229" s="328"/>
      <c r="S229" s="327"/>
      <c r="T229" s="327"/>
      <c r="U229" s="327"/>
      <c r="V229" s="327"/>
      <c r="W229" s="327"/>
      <c r="X229" s="327"/>
    </row>
    <row r="230" spans="1:24" s="279" customFormat="1">
      <c r="A230" s="326"/>
      <c r="B230" s="328"/>
      <c r="C230" s="328"/>
      <c r="D230" s="328"/>
      <c r="E230" s="328"/>
      <c r="F230" s="327"/>
      <c r="G230" s="327"/>
      <c r="H230" s="327"/>
      <c r="I230" s="327"/>
      <c r="J230" s="327"/>
      <c r="K230" s="327"/>
      <c r="L230" s="327"/>
      <c r="M230" s="327"/>
      <c r="N230" s="327"/>
      <c r="O230" s="327"/>
      <c r="P230" s="327"/>
      <c r="Q230" s="327"/>
      <c r="R230" s="328"/>
      <c r="S230" s="327"/>
      <c r="T230" s="327"/>
      <c r="U230" s="327"/>
      <c r="V230" s="327"/>
      <c r="W230" s="327"/>
      <c r="X230" s="327"/>
    </row>
    <row r="231" spans="1:24" s="279" customFormat="1">
      <c r="A231" s="326"/>
      <c r="B231" s="328"/>
      <c r="C231" s="328"/>
      <c r="D231" s="328"/>
      <c r="E231" s="328"/>
      <c r="F231" s="327"/>
      <c r="G231" s="327"/>
      <c r="H231" s="327"/>
      <c r="I231" s="327"/>
      <c r="J231" s="327"/>
      <c r="K231" s="327"/>
      <c r="L231" s="327"/>
      <c r="M231" s="327"/>
      <c r="N231" s="327"/>
      <c r="O231" s="327"/>
      <c r="P231" s="327"/>
      <c r="Q231" s="327"/>
      <c r="R231" s="328"/>
      <c r="S231" s="327"/>
      <c r="T231" s="327"/>
      <c r="U231" s="327"/>
      <c r="V231" s="327"/>
      <c r="W231" s="327"/>
      <c r="X231" s="327"/>
    </row>
    <row r="232" spans="1:24" s="279" customFormat="1">
      <c r="A232" s="326"/>
      <c r="B232" s="328"/>
      <c r="C232" s="328"/>
      <c r="D232" s="328"/>
      <c r="E232" s="328"/>
      <c r="F232" s="327"/>
      <c r="G232" s="327"/>
      <c r="H232" s="327"/>
      <c r="I232" s="327"/>
      <c r="J232" s="327"/>
      <c r="K232" s="327"/>
      <c r="L232" s="327"/>
      <c r="M232" s="327"/>
      <c r="N232" s="327"/>
      <c r="O232" s="327"/>
      <c r="P232" s="327"/>
      <c r="Q232" s="327"/>
      <c r="R232" s="328"/>
      <c r="S232" s="327"/>
      <c r="T232" s="327"/>
      <c r="U232" s="327"/>
      <c r="V232" s="327"/>
      <c r="W232" s="327"/>
      <c r="X232" s="327"/>
    </row>
    <row r="233" spans="1:24" s="279" customFormat="1">
      <c r="A233" s="326"/>
      <c r="B233" s="328"/>
      <c r="C233" s="328"/>
      <c r="D233" s="328"/>
      <c r="E233" s="328"/>
      <c r="F233" s="327"/>
      <c r="G233" s="327"/>
      <c r="H233" s="327"/>
      <c r="I233" s="327"/>
      <c r="J233" s="327"/>
      <c r="K233" s="327"/>
      <c r="L233" s="327"/>
      <c r="M233" s="327"/>
      <c r="N233" s="327"/>
      <c r="O233" s="327"/>
      <c r="P233" s="327"/>
      <c r="Q233" s="327"/>
      <c r="R233" s="328"/>
      <c r="S233" s="327"/>
      <c r="T233" s="327"/>
      <c r="U233" s="327"/>
      <c r="V233" s="327"/>
      <c r="W233" s="327"/>
      <c r="X233" s="327"/>
    </row>
    <row r="234" spans="1:24" s="279" customFormat="1">
      <c r="A234" s="326"/>
      <c r="B234" s="328"/>
      <c r="C234" s="328"/>
      <c r="D234" s="328"/>
      <c r="E234" s="328"/>
      <c r="F234" s="327"/>
      <c r="G234" s="327"/>
      <c r="H234" s="327"/>
      <c r="I234" s="327"/>
      <c r="J234" s="327"/>
      <c r="K234" s="327"/>
      <c r="L234" s="327"/>
      <c r="M234" s="327"/>
      <c r="N234" s="327"/>
      <c r="O234" s="327"/>
      <c r="P234" s="327"/>
      <c r="Q234" s="327"/>
      <c r="R234" s="328"/>
      <c r="S234" s="327"/>
      <c r="T234" s="327"/>
      <c r="U234" s="327"/>
      <c r="V234" s="327"/>
      <c r="W234" s="327"/>
      <c r="X234" s="327"/>
    </row>
    <row r="235" spans="1:24" s="279" customFormat="1">
      <c r="A235" s="326"/>
      <c r="B235" s="328"/>
      <c r="C235" s="328"/>
      <c r="D235" s="328"/>
      <c r="E235" s="328"/>
      <c r="F235" s="327"/>
      <c r="G235" s="327"/>
      <c r="H235" s="327"/>
      <c r="I235" s="327"/>
      <c r="J235" s="327"/>
      <c r="K235" s="327"/>
      <c r="L235" s="327"/>
      <c r="M235" s="327"/>
      <c r="N235" s="327"/>
      <c r="O235" s="327"/>
      <c r="P235" s="327"/>
      <c r="Q235" s="327"/>
      <c r="R235" s="328"/>
      <c r="S235" s="327"/>
      <c r="T235" s="327"/>
      <c r="U235" s="327"/>
      <c r="V235" s="327"/>
      <c r="W235" s="327"/>
      <c r="X235" s="327"/>
    </row>
    <row r="236" spans="1:24" s="279" customFormat="1">
      <c r="A236" s="326"/>
      <c r="B236" s="328"/>
      <c r="C236" s="328"/>
      <c r="D236" s="328"/>
      <c r="E236" s="328"/>
      <c r="F236" s="327"/>
      <c r="G236" s="327"/>
      <c r="H236" s="327"/>
      <c r="I236" s="327"/>
      <c r="J236" s="327"/>
      <c r="K236" s="327"/>
      <c r="L236" s="327"/>
      <c r="M236" s="327"/>
      <c r="N236" s="327"/>
      <c r="O236" s="327"/>
      <c r="P236" s="327"/>
      <c r="Q236" s="327"/>
      <c r="R236" s="328"/>
      <c r="S236" s="327"/>
      <c r="T236" s="327"/>
      <c r="U236" s="327"/>
      <c r="V236" s="327"/>
      <c r="W236" s="327"/>
      <c r="X236" s="327"/>
    </row>
    <row r="237" spans="1:24" s="279" customFormat="1">
      <c r="A237" s="326"/>
      <c r="B237" s="328"/>
      <c r="C237" s="328"/>
      <c r="D237" s="328"/>
      <c r="E237" s="328"/>
      <c r="F237" s="327"/>
      <c r="G237" s="327"/>
      <c r="H237" s="327"/>
      <c r="I237" s="327"/>
      <c r="J237" s="327"/>
      <c r="K237" s="327"/>
      <c r="L237" s="327"/>
      <c r="M237" s="327"/>
      <c r="N237" s="327"/>
      <c r="O237" s="327"/>
      <c r="P237" s="327"/>
      <c r="Q237" s="327"/>
      <c r="R237" s="328"/>
      <c r="S237" s="327"/>
      <c r="T237" s="327"/>
      <c r="U237" s="327"/>
      <c r="V237" s="327"/>
      <c r="W237" s="327"/>
      <c r="X237" s="327"/>
    </row>
    <row r="238" spans="1:24" s="279" customFormat="1">
      <c r="A238" s="326"/>
      <c r="B238" s="328"/>
      <c r="C238" s="328"/>
      <c r="D238" s="328"/>
      <c r="E238" s="328"/>
      <c r="F238" s="327"/>
      <c r="G238" s="327"/>
      <c r="H238" s="327"/>
      <c r="I238" s="327"/>
      <c r="J238" s="327"/>
      <c r="K238" s="327"/>
      <c r="L238" s="327"/>
      <c r="M238" s="327"/>
      <c r="N238" s="327"/>
      <c r="O238" s="327"/>
      <c r="P238" s="327"/>
      <c r="Q238" s="327"/>
      <c r="R238" s="328"/>
      <c r="S238" s="327"/>
      <c r="T238" s="327"/>
      <c r="U238" s="327"/>
      <c r="V238" s="327"/>
      <c r="W238" s="327"/>
      <c r="X238" s="327"/>
    </row>
    <row r="239" spans="1:24" s="279" customFormat="1">
      <c r="A239" s="326"/>
      <c r="B239" s="328"/>
      <c r="C239" s="328"/>
      <c r="D239" s="328"/>
      <c r="E239" s="328"/>
      <c r="F239" s="327"/>
      <c r="G239" s="327"/>
      <c r="H239" s="327"/>
      <c r="I239" s="327"/>
      <c r="J239" s="327"/>
      <c r="K239" s="327"/>
      <c r="L239" s="327"/>
      <c r="M239" s="327"/>
      <c r="N239" s="327"/>
      <c r="O239" s="327"/>
      <c r="P239" s="327"/>
      <c r="Q239" s="327"/>
      <c r="R239" s="328"/>
      <c r="S239" s="327"/>
      <c r="T239" s="327"/>
      <c r="U239" s="327"/>
      <c r="V239" s="327"/>
      <c r="W239" s="327"/>
      <c r="X239" s="327"/>
    </row>
    <row r="240" spans="1:24" s="279" customFormat="1">
      <c r="A240" s="326"/>
      <c r="B240" s="328"/>
      <c r="C240" s="328"/>
      <c r="D240" s="328"/>
      <c r="E240" s="328"/>
      <c r="F240" s="327"/>
      <c r="G240" s="327"/>
      <c r="H240" s="327"/>
      <c r="I240" s="327"/>
      <c r="J240" s="327"/>
      <c r="K240" s="327"/>
      <c r="L240" s="327"/>
      <c r="M240" s="327"/>
      <c r="N240" s="327"/>
      <c r="O240" s="327"/>
      <c r="P240" s="327"/>
      <c r="Q240" s="327"/>
      <c r="R240" s="328"/>
      <c r="S240" s="327"/>
      <c r="T240" s="327"/>
      <c r="U240" s="327"/>
      <c r="V240" s="327"/>
      <c r="W240" s="327"/>
      <c r="X240" s="327"/>
    </row>
    <row r="241" spans="1:24" s="279" customFormat="1">
      <c r="A241" s="326"/>
      <c r="B241" s="328"/>
      <c r="C241" s="328"/>
      <c r="D241" s="328"/>
      <c r="E241" s="328"/>
      <c r="F241" s="327"/>
      <c r="G241" s="327"/>
      <c r="H241" s="327"/>
      <c r="I241" s="327"/>
      <c r="J241" s="327"/>
      <c r="K241" s="327"/>
      <c r="L241" s="327"/>
      <c r="M241" s="327"/>
      <c r="N241" s="327"/>
      <c r="O241" s="327"/>
      <c r="P241" s="327"/>
      <c r="Q241" s="327"/>
      <c r="R241" s="328"/>
      <c r="S241" s="327"/>
      <c r="T241" s="327"/>
      <c r="U241" s="327"/>
      <c r="V241" s="327"/>
      <c r="W241" s="327"/>
      <c r="X241" s="327"/>
    </row>
    <row r="242" spans="1:24" s="279" customFormat="1">
      <c r="A242" s="326"/>
      <c r="B242" s="328"/>
      <c r="C242" s="328"/>
      <c r="D242" s="328"/>
      <c r="E242" s="328"/>
      <c r="F242" s="327"/>
      <c r="G242" s="327"/>
      <c r="H242" s="327"/>
      <c r="I242" s="327"/>
      <c r="J242" s="327"/>
      <c r="K242" s="327"/>
      <c r="L242" s="327"/>
      <c r="M242" s="327"/>
      <c r="N242" s="327"/>
      <c r="O242" s="327"/>
      <c r="P242" s="327"/>
      <c r="Q242" s="327"/>
      <c r="R242" s="328"/>
      <c r="S242" s="327"/>
      <c r="T242" s="327"/>
      <c r="U242" s="327"/>
      <c r="V242" s="327"/>
      <c r="W242" s="327"/>
      <c r="X242" s="327"/>
    </row>
    <row r="243" spans="1:24" s="279" customFormat="1">
      <c r="A243" s="326"/>
      <c r="B243" s="328"/>
      <c r="C243" s="328"/>
      <c r="D243" s="328"/>
      <c r="E243" s="328"/>
      <c r="F243" s="327"/>
      <c r="G243" s="327"/>
      <c r="H243" s="327"/>
      <c r="I243" s="327"/>
      <c r="J243" s="327"/>
      <c r="K243" s="327"/>
      <c r="L243" s="327"/>
      <c r="M243" s="327"/>
      <c r="N243" s="327"/>
      <c r="O243" s="327"/>
      <c r="P243" s="327"/>
      <c r="Q243" s="327"/>
      <c r="R243" s="328"/>
      <c r="S243" s="327"/>
      <c r="T243" s="327"/>
      <c r="U243" s="327"/>
      <c r="V243" s="327"/>
      <c r="W243" s="327"/>
      <c r="X243" s="327"/>
    </row>
    <row r="244" spans="1:24" s="279" customFormat="1">
      <c r="A244" s="326"/>
      <c r="B244" s="328"/>
      <c r="C244" s="328"/>
      <c r="D244" s="328"/>
      <c r="E244" s="328"/>
      <c r="F244" s="327"/>
      <c r="G244" s="327"/>
      <c r="H244" s="327"/>
      <c r="I244" s="327"/>
      <c r="J244" s="327"/>
      <c r="K244" s="327"/>
      <c r="L244" s="327"/>
      <c r="M244" s="327"/>
      <c r="N244" s="327"/>
      <c r="O244" s="327"/>
      <c r="P244" s="327"/>
      <c r="Q244" s="327"/>
      <c r="R244" s="328"/>
      <c r="S244" s="327"/>
      <c r="T244" s="327"/>
      <c r="U244" s="327"/>
      <c r="V244" s="327"/>
      <c r="W244" s="327"/>
      <c r="X244" s="327"/>
    </row>
    <row r="245" spans="1:24" s="279" customFormat="1">
      <c r="A245" s="326"/>
      <c r="B245" s="328"/>
      <c r="C245" s="328"/>
      <c r="D245" s="328"/>
      <c r="E245" s="328"/>
      <c r="F245" s="327"/>
      <c r="G245" s="327"/>
      <c r="H245" s="327"/>
      <c r="I245" s="327"/>
      <c r="J245" s="327"/>
      <c r="K245" s="327"/>
      <c r="L245" s="327"/>
      <c r="M245" s="327"/>
      <c r="N245" s="327"/>
      <c r="O245" s="327"/>
      <c r="P245" s="327"/>
      <c r="Q245" s="327"/>
      <c r="R245" s="328"/>
      <c r="S245" s="327"/>
      <c r="T245" s="327"/>
      <c r="U245" s="327"/>
      <c r="V245" s="327"/>
      <c r="W245" s="327"/>
      <c r="X245" s="327"/>
    </row>
    <row r="246" spans="1:24" s="279" customFormat="1">
      <c r="A246" s="326"/>
      <c r="B246" s="328"/>
      <c r="C246" s="328"/>
      <c r="D246" s="328"/>
      <c r="E246" s="328"/>
      <c r="F246" s="327"/>
      <c r="G246" s="327"/>
      <c r="H246" s="327"/>
      <c r="I246" s="327"/>
      <c r="J246" s="327"/>
      <c r="K246" s="327"/>
      <c r="L246" s="327"/>
      <c r="M246" s="327"/>
      <c r="N246" s="327"/>
      <c r="O246" s="327"/>
      <c r="P246" s="327"/>
      <c r="Q246" s="327"/>
      <c r="R246" s="328"/>
      <c r="S246" s="327"/>
      <c r="T246" s="327"/>
      <c r="U246" s="327"/>
      <c r="V246" s="327"/>
      <c r="W246" s="327"/>
      <c r="X246" s="327"/>
    </row>
    <row r="247" spans="1:24" s="279" customFormat="1">
      <c r="A247" s="326"/>
      <c r="B247" s="328"/>
      <c r="C247" s="328"/>
      <c r="D247" s="328"/>
      <c r="E247" s="328"/>
      <c r="F247" s="327"/>
      <c r="G247" s="327"/>
      <c r="H247" s="327"/>
      <c r="I247" s="327"/>
      <c r="J247" s="327"/>
      <c r="K247" s="327"/>
      <c r="L247" s="327"/>
      <c r="M247" s="327"/>
      <c r="N247" s="327"/>
      <c r="O247" s="327"/>
      <c r="P247" s="327"/>
      <c r="Q247" s="327"/>
      <c r="R247" s="328"/>
      <c r="S247" s="327"/>
      <c r="T247" s="327"/>
      <c r="U247" s="327"/>
      <c r="V247" s="327"/>
      <c r="W247" s="327"/>
      <c r="X247" s="327"/>
    </row>
    <row r="248" spans="1:24" s="279" customFormat="1">
      <c r="A248" s="326"/>
      <c r="B248" s="328"/>
      <c r="C248" s="328"/>
      <c r="D248" s="328"/>
      <c r="E248" s="328"/>
      <c r="F248" s="327"/>
      <c r="G248" s="327"/>
      <c r="H248" s="327"/>
      <c r="I248" s="327"/>
      <c r="J248" s="327"/>
      <c r="K248" s="327"/>
      <c r="L248" s="327"/>
      <c r="M248" s="327"/>
      <c r="N248" s="327"/>
      <c r="O248" s="327"/>
      <c r="P248" s="327"/>
      <c r="Q248" s="327"/>
      <c r="R248" s="328"/>
      <c r="S248" s="327"/>
      <c r="T248" s="327"/>
      <c r="U248" s="327"/>
      <c r="V248" s="327"/>
      <c r="W248" s="327"/>
      <c r="X248" s="327"/>
    </row>
    <row r="249" spans="1:24" s="279" customFormat="1">
      <c r="A249" s="326"/>
      <c r="B249" s="328"/>
      <c r="C249" s="328"/>
      <c r="D249" s="328"/>
      <c r="E249" s="328"/>
      <c r="F249" s="327"/>
      <c r="G249" s="327"/>
      <c r="H249" s="327"/>
      <c r="I249" s="327"/>
      <c r="J249" s="327"/>
      <c r="K249" s="327"/>
      <c r="L249" s="327"/>
      <c r="M249" s="327"/>
      <c r="N249" s="327"/>
      <c r="O249" s="327"/>
      <c r="P249" s="327"/>
      <c r="Q249" s="327"/>
      <c r="R249" s="328"/>
      <c r="S249" s="327"/>
      <c r="T249" s="327"/>
      <c r="U249" s="327"/>
      <c r="V249" s="327"/>
      <c r="W249" s="327"/>
      <c r="X249" s="327"/>
    </row>
    <row r="250" spans="1:24" s="279" customFormat="1">
      <c r="A250" s="326"/>
      <c r="B250" s="328"/>
      <c r="C250" s="328"/>
      <c r="D250" s="328"/>
      <c r="E250" s="328"/>
      <c r="F250" s="327"/>
      <c r="G250" s="327"/>
      <c r="H250" s="327"/>
      <c r="I250" s="327"/>
      <c r="J250" s="327"/>
      <c r="K250" s="327"/>
      <c r="L250" s="327"/>
      <c r="M250" s="327"/>
      <c r="N250" s="327"/>
      <c r="O250" s="327"/>
      <c r="P250" s="327"/>
      <c r="Q250" s="327"/>
      <c r="R250" s="328"/>
      <c r="S250" s="327"/>
      <c r="T250" s="327"/>
      <c r="U250" s="327"/>
      <c r="V250" s="327"/>
      <c r="W250" s="327"/>
      <c r="X250" s="327"/>
    </row>
    <row r="251" spans="1:24" s="279" customFormat="1">
      <c r="A251" s="326"/>
      <c r="B251" s="328"/>
      <c r="C251" s="328"/>
      <c r="D251" s="328"/>
      <c r="E251" s="328"/>
      <c r="F251" s="327"/>
      <c r="G251" s="327"/>
      <c r="H251" s="327"/>
      <c r="I251" s="327"/>
      <c r="J251" s="327"/>
      <c r="K251" s="327"/>
      <c r="L251" s="327"/>
      <c r="M251" s="327"/>
      <c r="N251" s="327"/>
      <c r="O251" s="327"/>
      <c r="P251" s="327"/>
      <c r="Q251" s="327"/>
      <c r="R251" s="328"/>
      <c r="S251" s="327"/>
      <c r="T251" s="327"/>
      <c r="U251" s="327"/>
      <c r="V251" s="327"/>
      <c r="W251" s="327"/>
      <c r="X251" s="327"/>
    </row>
    <row r="252" spans="1:24" s="279" customFormat="1">
      <c r="A252" s="326"/>
      <c r="B252" s="328"/>
      <c r="C252" s="328"/>
      <c r="D252" s="328"/>
      <c r="E252" s="328"/>
      <c r="F252" s="327"/>
      <c r="G252" s="327"/>
      <c r="H252" s="327"/>
      <c r="I252" s="327"/>
      <c r="J252" s="327"/>
      <c r="K252" s="327"/>
      <c r="L252" s="327"/>
      <c r="M252" s="327"/>
      <c r="N252" s="327"/>
      <c r="O252" s="327"/>
      <c r="P252" s="327"/>
      <c r="Q252" s="327"/>
      <c r="R252" s="328"/>
      <c r="S252" s="327"/>
      <c r="T252" s="327"/>
      <c r="U252" s="327"/>
      <c r="V252" s="327"/>
      <c r="W252" s="327"/>
      <c r="X252" s="327"/>
    </row>
    <row r="253" spans="1:24" s="279" customFormat="1">
      <c r="A253" s="326"/>
      <c r="B253" s="328"/>
      <c r="C253" s="328"/>
      <c r="D253" s="328"/>
      <c r="E253" s="328"/>
      <c r="F253" s="327"/>
      <c r="G253" s="327"/>
      <c r="H253" s="327"/>
      <c r="I253" s="327"/>
      <c r="J253" s="327"/>
      <c r="K253" s="327"/>
      <c r="L253" s="327"/>
      <c r="M253" s="327"/>
      <c r="N253" s="327"/>
      <c r="O253" s="327"/>
      <c r="P253" s="327"/>
      <c r="Q253" s="327"/>
      <c r="R253" s="328"/>
      <c r="S253" s="327"/>
      <c r="T253" s="327"/>
      <c r="U253" s="327"/>
      <c r="V253" s="327"/>
      <c r="W253" s="327"/>
      <c r="X253" s="327"/>
    </row>
    <row r="254" spans="1:24" s="279" customFormat="1">
      <c r="A254" s="326"/>
      <c r="B254" s="328"/>
      <c r="C254" s="328"/>
      <c r="D254" s="328"/>
      <c r="E254" s="328"/>
      <c r="F254" s="327"/>
      <c r="G254" s="327"/>
      <c r="H254" s="327"/>
      <c r="I254" s="327"/>
      <c r="J254" s="327"/>
      <c r="K254" s="327"/>
      <c r="L254" s="327"/>
      <c r="M254" s="327"/>
      <c r="N254" s="327"/>
      <c r="O254" s="327"/>
      <c r="P254" s="327"/>
      <c r="Q254" s="327"/>
      <c r="R254" s="328"/>
      <c r="S254" s="327"/>
      <c r="T254" s="327"/>
      <c r="U254" s="327"/>
      <c r="V254" s="327"/>
      <c r="W254" s="327"/>
      <c r="X254" s="327"/>
    </row>
    <row r="255" spans="1:24" s="279" customFormat="1">
      <c r="A255" s="326"/>
      <c r="B255" s="328"/>
      <c r="C255" s="328"/>
      <c r="D255" s="328"/>
      <c r="E255" s="328"/>
      <c r="F255" s="327"/>
      <c r="G255" s="327"/>
      <c r="H255" s="327"/>
      <c r="I255" s="327"/>
      <c r="J255" s="327"/>
      <c r="K255" s="327"/>
      <c r="L255" s="327"/>
      <c r="M255" s="327"/>
      <c r="N255" s="327"/>
      <c r="O255" s="327"/>
      <c r="P255" s="327"/>
      <c r="Q255" s="327"/>
      <c r="R255" s="328"/>
      <c r="S255" s="327"/>
      <c r="T255" s="327"/>
      <c r="U255" s="327"/>
      <c r="V255" s="327"/>
      <c r="W255" s="327"/>
      <c r="X255" s="327"/>
    </row>
    <row r="256" spans="1:24" s="279" customFormat="1">
      <c r="A256" s="326"/>
      <c r="B256" s="328"/>
      <c r="C256" s="328"/>
      <c r="D256" s="328"/>
      <c r="E256" s="328"/>
      <c r="F256" s="327"/>
      <c r="G256" s="327"/>
      <c r="H256" s="327"/>
      <c r="I256" s="327"/>
      <c r="J256" s="327"/>
      <c r="K256" s="327"/>
      <c r="L256" s="327"/>
      <c r="M256" s="327"/>
      <c r="N256" s="327"/>
      <c r="O256" s="327"/>
      <c r="P256" s="327"/>
      <c r="Q256" s="327"/>
      <c r="R256" s="328"/>
      <c r="S256" s="327"/>
      <c r="T256" s="327"/>
      <c r="U256" s="327"/>
      <c r="V256" s="327"/>
      <c r="W256" s="327"/>
      <c r="X256" s="327"/>
    </row>
    <row r="257" spans="1:24" s="279" customFormat="1">
      <c r="A257" s="326"/>
      <c r="B257" s="328"/>
      <c r="C257" s="328"/>
      <c r="D257" s="328"/>
      <c r="E257" s="328"/>
      <c r="F257" s="327"/>
      <c r="G257" s="327"/>
      <c r="H257" s="327"/>
      <c r="I257" s="327"/>
      <c r="J257" s="327"/>
      <c r="K257" s="327"/>
      <c r="L257" s="327"/>
      <c r="M257" s="327"/>
      <c r="N257" s="327"/>
      <c r="O257" s="327"/>
      <c r="P257" s="327"/>
      <c r="Q257" s="327"/>
      <c r="R257" s="328"/>
      <c r="S257" s="327"/>
      <c r="T257" s="327"/>
      <c r="U257" s="327"/>
      <c r="V257" s="327"/>
      <c r="W257" s="327"/>
      <c r="X257" s="327"/>
    </row>
    <row r="258" spans="1:24" s="279" customFormat="1">
      <c r="A258" s="326"/>
      <c r="B258" s="328"/>
      <c r="C258" s="328"/>
      <c r="D258" s="328"/>
      <c r="E258" s="328"/>
      <c r="F258" s="327"/>
      <c r="G258" s="327"/>
      <c r="H258" s="327"/>
      <c r="I258" s="327"/>
      <c r="J258" s="327"/>
      <c r="K258" s="327"/>
      <c r="L258" s="327"/>
      <c r="M258" s="327"/>
      <c r="N258" s="327"/>
      <c r="O258" s="327"/>
      <c r="P258" s="327"/>
      <c r="Q258" s="327"/>
      <c r="R258" s="328"/>
      <c r="S258" s="327"/>
      <c r="T258" s="327"/>
      <c r="U258" s="327"/>
      <c r="V258" s="327"/>
      <c r="W258" s="327"/>
      <c r="X258" s="327"/>
    </row>
    <row r="259" spans="1:24" s="279" customFormat="1">
      <c r="A259" s="326"/>
      <c r="B259" s="328"/>
      <c r="C259" s="328"/>
      <c r="D259" s="328"/>
      <c r="E259" s="328"/>
      <c r="F259" s="327"/>
      <c r="G259" s="327"/>
      <c r="H259" s="327"/>
      <c r="I259" s="327"/>
      <c r="J259" s="327"/>
      <c r="K259" s="327"/>
      <c r="L259" s="327"/>
      <c r="M259" s="327"/>
      <c r="N259" s="327"/>
      <c r="O259" s="327"/>
      <c r="P259" s="327"/>
      <c r="Q259" s="327"/>
      <c r="R259" s="328"/>
      <c r="S259" s="327"/>
      <c r="T259" s="327"/>
      <c r="U259" s="327"/>
      <c r="V259" s="327"/>
      <c r="W259" s="327"/>
      <c r="X259" s="327"/>
    </row>
    <row r="260" spans="1:24" s="279" customFormat="1">
      <c r="A260" s="326"/>
      <c r="B260" s="328"/>
      <c r="C260" s="328"/>
      <c r="D260" s="328"/>
      <c r="E260" s="328"/>
      <c r="F260" s="327"/>
      <c r="G260" s="327"/>
      <c r="H260" s="327"/>
      <c r="I260" s="327"/>
      <c r="J260" s="327"/>
      <c r="K260" s="327"/>
      <c r="L260" s="327"/>
      <c r="M260" s="327"/>
      <c r="N260" s="327"/>
      <c r="O260" s="327"/>
      <c r="P260" s="327"/>
      <c r="Q260" s="327"/>
      <c r="R260" s="328"/>
      <c r="S260" s="327"/>
      <c r="T260" s="327"/>
      <c r="U260" s="327"/>
      <c r="V260" s="327"/>
      <c r="W260" s="327"/>
      <c r="X260" s="327"/>
    </row>
    <row r="261" spans="1:24" s="279" customFormat="1">
      <c r="A261" s="326"/>
      <c r="B261" s="328"/>
      <c r="C261" s="328"/>
      <c r="D261" s="328"/>
      <c r="E261" s="328"/>
      <c r="F261" s="327"/>
      <c r="G261" s="327"/>
      <c r="H261" s="327"/>
      <c r="I261" s="327"/>
      <c r="J261" s="327"/>
      <c r="K261" s="327"/>
      <c r="L261" s="327"/>
      <c r="M261" s="327"/>
      <c r="N261" s="327"/>
      <c r="O261" s="327"/>
      <c r="P261" s="327"/>
      <c r="Q261" s="327"/>
      <c r="R261" s="328"/>
      <c r="S261" s="327"/>
      <c r="T261" s="327"/>
      <c r="U261" s="327"/>
      <c r="V261" s="327"/>
      <c r="W261" s="327"/>
      <c r="X261" s="327"/>
    </row>
    <row r="262" spans="1:24" s="279" customFormat="1">
      <c r="A262" s="326"/>
      <c r="B262" s="328"/>
      <c r="C262" s="328"/>
      <c r="D262" s="328"/>
      <c r="E262" s="328"/>
      <c r="F262" s="327"/>
      <c r="G262" s="327"/>
      <c r="H262" s="327"/>
      <c r="I262" s="327"/>
      <c r="J262" s="327"/>
      <c r="K262" s="327"/>
      <c r="L262" s="327"/>
      <c r="M262" s="327"/>
      <c r="N262" s="327"/>
      <c r="O262" s="327"/>
      <c r="P262" s="327"/>
      <c r="Q262" s="327"/>
      <c r="R262" s="328"/>
      <c r="S262" s="327"/>
      <c r="T262" s="327"/>
      <c r="U262" s="327"/>
      <c r="V262" s="327"/>
      <c r="W262" s="327"/>
      <c r="X262" s="327"/>
    </row>
    <row r="263" spans="1:24" s="279" customFormat="1">
      <c r="A263" s="326"/>
      <c r="B263" s="328"/>
      <c r="C263" s="328"/>
      <c r="D263" s="328"/>
      <c r="E263" s="328"/>
      <c r="F263" s="327"/>
      <c r="G263" s="327"/>
      <c r="H263" s="327"/>
      <c r="I263" s="327"/>
      <c r="J263" s="327"/>
      <c r="K263" s="327"/>
      <c r="L263" s="327"/>
      <c r="M263" s="327"/>
      <c r="N263" s="327"/>
      <c r="O263" s="327"/>
      <c r="P263" s="327"/>
      <c r="Q263" s="327"/>
      <c r="R263" s="328"/>
      <c r="S263" s="327"/>
      <c r="T263" s="327"/>
      <c r="U263" s="327"/>
      <c r="V263" s="327"/>
      <c r="W263" s="327"/>
      <c r="X263" s="327"/>
    </row>
    <row r="264" spans="1:24" s="279" customFormat="1">
      <c r="A264" s="326"/>
      <c r="B264" s="328"/>
      <c r="C264" s="328"/>
      <c r="D264" s="328"/>
      <c r="E264" s="328"/>
      <c r="F264" s="327"/>
      <c r="G264" s="327"/>
      <c r="H264" s="327"/>
      <c r="I264" s="327"/>
      <c r="J264" s="327"/>
      <c r="K264" s="327"/>
      <c r="L264" s="327"/>
      <c r="M264" s="327"/>
      <c r="N264" s="327"/>
      <c r="O264" s="327"/>
      <c r="P264" s="327"/>
      <c r="Q264" s="327"/>
      <c r="R264" s="328"/>
      <c r="S264" s="327"/>
      <c r="T264" s="327"/>
      <c r="U264" s="327"/>
      <c r="V264" s="327"/>
      <c r="W264" s="327"/>
      <c r="X264" s="327"/>
    </row>
    <row r="265" spans="1:24" s="279" customFormat="1">
      <c r="A265" s="326"/>
      <c r="B265" s="328"/>
      <c r="C265" s="328"/>
      <c r="D265" s="328"/>
      <c r="E265" s="328"/>
      <c r="F265" s="327"/>
      <c r="G265" s="327"/>
      <c r="H265" s="327"/>
      <c r="I265" s="327"/>
      <c r="J265" s="327"/>
      <c r="K265" s="327"/>
      <c r="L265" s="327"/>
      <c r="M265" s="327"/>
      <c r="N265" s="327"/>
      <c r="O265" s="327"/>
      <c r="P265" s="327"/>
      <c r="Q265" s="327"/>
      <c r="R265" s="328"/>
      <c r="S265" s="327"/>
      <c r="T265" s="327"/>
      <c r="U265" s="327"/>
      <c r="V265" s="327"/>
      <c r="W265" s="327"/>
      <c r="X265" s="327"/>
    </row>
    <row r="266" spans="1:24" s="279" customFormat="1">
      <c r="A266" s="326"/>
      <c r="B266" s="328"/>
      <c r="C266" s="328"/>
      <c r="D266" s="328"/>
      <c r="E266" s="328"/>
      <c r="F266" s="327"/>
      <c r="G266" s="327"/>
      <c r="H266" s="327"/>
      <c r="I266" s="327"/>
      <c r="J266" s="327"/>
      <c r="K266" s="327"/>
      <c r="L266" s="327"/>
      <c r="M266" s="327"/>
      <c r="N266" s="327"/>
      <c r="O266" s="327"/>
      <c r="P266" s="327"/>
      <c r="Q266" s="327"/>
      <c r="R266" s="328"/>
      <c r="S266" s="327"/>
      <c r="T266" s="327"/>
      <c r="U266" s="327"/>
      <c r="V266" s="327"/>
      <c r="W266" s="327"/>
      <c r="X266" s="327"/>
    </row>
    <row r="267" spans="1:24" s="279" customFormat="1">
      <c r="A267" s="326"/>
      <c r="B267" s="328"/>
      <c r="C267" s="328"/>
      <c r="D267" s="328"/>
      <c r="E267" s="328"/>
      <c r="F267" s="327"/>
      <c r="G267" s="327"/>
      <c r="H267" s="327"/>
      <c r="I267" s="327"/>
      <c r="J267" s="327"/>
      <c r="K267" s="327"/>
      <c r="L267" s="327"/>
      <c r="M267" s="327"/>
      <c r="N267" s="327"/>
      <c r="O267" s="327"/>
      <c r="P267" s="327"/>
      <c r="Q267" s="327"/>
      <c r="R267" s="328"/>
      <c r="S267" s="327"/>
      <c r="T267" s="327"/>
      <c r="U267" s="327"/>
      <c r="V267" s="327"/>
      <c r="W267" s="327"/>
      <c r="X267" s="327"/>
    </row>
    <row r="268" spans="1:24" s="279" customFormat="1">
      <c r="A268" s="326"/>
      <c r="B268" s="328"/>
      <c r="C268" s="328"/>
      <c r="D268" s="328"/>
      <c r="E268" s="328"/>
      <c r="F268" s="327"/>
      <c r="G268" s="327"/>
      <c r="H268" s="327"/>
      <c r="I268" s="327"/>
      <c r="J268" s="327"/>
      <c r="K268" s="327"/>
      <c r="L268" s="327"/>
      <c r="M268" s="327"/>
      <c r="N268" s="327"/>
      <c r="O268" s="327"/>
      <c r="P268" s="327"/>
      <c r="Q268" s="327"/>
      <c r="R268" s="328"/>
      <c r="S268" s="327"/>
      <c r="T268" s="327"/>
      <c r="U268" s="327"/>
      <c r="V268" s="327"/>
      <c r="W268" s="327"/>
      <c r="X268" s="327"/>
    </row>
    <row r="269" spans="1:24" s="279" customFormat="1">
      <c r="A269" s="326"/>
      <c r="B269" s="328"/>
      <c r="C269" s="328"/>
      <c r="D269" s="328"/>
      <c r="E269" s="328"/>
      <c r="F269" s="327"/>
      <c r="G269" s="327"/>
      <c r="H269" s="327"/>
      <c r="I269" s="327"/>
      <c r="J269" s="327"/>
      <c r="K269" s="327"/>
      <c r="L269" s="327"/>
      <c r="M269" s="327"/>
      <c r="N269" s="327"/>
      <c r="O269" s="327"/>
      <c r="P269" s="327"/>
      <c r="Q269" s="327"/>
      <c r="R269" s="328"/>
      <c r="S269" s="327"/>
      <c r="T269" s="327"/>
      <c r="U269" s="327"/>
      <c r="V269" s="327"/>
      <c r="W269" s="327"/>
      <c r="X269" s="327"/>
    </row>
    <row r="270" spans="1:24" s="279" customFormat="1">
      <c r="A270" s="326"/>
      <c r="B270" s="328"/>
      <c r="C270" s="328"/>
      <c r="D270" s="328"/>
      <c r="E270" s="328"/>
      <c r="F270" s="327"/>
      <c r="G270" s="327"/>
      <c r="H270" s="327"/>
      <c r="I270" s="327"/>
      <c r="J270" s="327"/>
      <c r="K270" s="327"/>
      <c r="L270" s="327"/>
      <c r="M270" s="327"/>
      <c r="N270" s="327"/>
      <c r="O270" s="327"/>
      <c r="P270" s="327"/>
      <c r="Q270" s="327"/>
      <c r="R270" s="328"/>
      <c r="S270" s="327"/>
      <c r="T270" s="327"/>
      <c r="U270" s="327"/>
      <c r="V270" s="327"/>
      <c r="W270" s="327"/>
      <c r="X270" s="327"/>
    </row>
    <row r="271" spans="1:24" s="279" customFormat="1">
      <c r="A271" s="326"/>
      <c r="B271" s="328"/>
      <c r="C271" s="328"/>
      <c r="D271" s="328"/>
      <c r="E271" s="328"/>
      <c r="F271" s="327"/>
      <c r="G271" s="327"/>
      <c r="H271" s="327"/>
      <c r="I271" s="327"/>
      <c r="J271" s="327"/>
      <c r="K271" s="327"/>
      <c r="L271" s="327"/>
      <c r="M271" s="327"/>
      <c r="N271" s="327"/>
      <c r="O271" s="327"/>
      <c r="P271" s="327"/>
      <c r="Q271" s="327"/>
      <c r="R271" s="328"/>
      <c r="S271" s="327"/>
      <c r="T271" s="327"/>
      <c r="U271" s="327"/>
      <c r="V271" s="327"/>
      <c r="W271" s="327"/>
      <c r="X271" s="327"/>
    </row>
    <row r="272" spans="1:24" s="279" customFormat="1">
      <c r="A272" s="326"/>
      <c r="B272" s="328"/>
      <c r="C272" s="328"/>
      <c r="D272" s="328"/>
      <c r="E272" s="328"/>
      <c r="F272" s="327"/>
      <c r="G272" s="327"/>
      <c r="H272" s="327"/>
      <c r="I272" s="327"/>
      <c r="J272" s="327"/>
      <c r="K272" s="327"/>
      <c r="L272" s="327"/>
      <c r="M272" s="327"/>
      <c r="N272" s="327"/>
      <c r="O272" s="327"/>
      <c r="P272" s="327"/>
      <c r="Q272" s="327"/>
      <c r="R272" s="328"/>
      <c r="S272" s="327"/>
      <c r="T272" s="327"/>
      <c r="U272" s="327"/>
      <c r="V272" s="327"/>
      <c r="W272" s="327"/>
      <c r="X272" s="327"/>
    </row>
    <row r="273" spans="1:24" s="279" customFormat="1">
      <c r="A273" s="326"/>
      <c r="B273" s="328"/>
      <c r="C273" s="328"/>
      <c r="D273" s="328"/>
      <c r="E273" s="328"/>
      <c r="F273" s="327"/>
      <c r="G273" s="327"/>
      <c r="H273" s="327"/>
      <c r="I273" s="327"/>
      <c r="J273" s="327"/>
      <c r="K273" s="327"/>
      <c r="L273" s="327"/>
      <c r="M273" s="327"/>
      <c r="N273" s="327"/>
      <c r="O273" s="327"/>
      <c r="P273" s="327"/>
      <c r="Q273" s="327"/>
      <c r="R273" s="328"/>
      <c r="S273" s="327"/>
      <c r="T273" s="327"/>
      <c r="U273" s="327"/>
      <c r="V273" s="327"/>
      <c r="W273" s="327"/>
      <c r="X273" s="327"/>
    </row>
    <row r="274" spans="1:24" s="279" customFormat="1">
      <c r="A274" s="326"/>
      <c r="B274" s="328"/>
      <c r="C274" s="328"/>
      <c r="D274" s="328"/>
      <c r="E274" s="328"/>
      <c r="F274" s="327"/>
      <c r="G274" s="327"/>
      <c r="H274" s="327"/>
      <c r="I274" s="327"/>
      <c r="J274" s="327"/>
      <c r="K274" s="327"/>
      <c r="L274" s="327"/>
      <c r="M274" s="327"/>
      <c r="N274" s="327"/>
      <c r="O274" s="327"/>
      <c r="P274" s="327"/>
      <c r="Q274" s="327"/>
      <c r="R274" s="328"/>
      <c r="S274" s="327"/>
      <c r="T274" s="327"/>
      <c r="U274" s="327"/>
      <c r="V274" s="327"/>
      <c r="W274" s="327"/>
      <c r="X274" s="327"/>
    </row>
    <row r="275" spans="1:24" s="279" customFormat="1">
      <c r="A275" s="326"/>
      <c r="B275" s="328"/>
      <c r="C275" s="328"/>
      <c r="D275" s="328"/>
      <c r="E275" s="328"/>
      <c r="F275" s="327"/>
      <c r="G275" s="327"/>
      <c r="H275" s="327"/>
      <c r="I275" s="327"/>
      <c r="J275" s="327"/>
      <c r="K275" s="327"/>
      <c r="L275" s="327"/>
      <c r="M275" s="327"/>
      <c r="N275" s="327"/>
      <c r="O275" s="327"/>
      <c r="P275" s="327"/>
      <c r="Q275" s="327"/>
      <c r="R275" s="328"/>
      <c r="S275" s="327"/>
      <c r="T275" s="327"/>
      <c r="U275" s="327"/>
      <c r="V275" s="327"/>
      <c r="W275" s="327"/>
      <c r="X275" s="327"/>
    </row>
    <row r="276" spans="1:24" s="279" customFormat="1">
      <c r="A276" s="326"/>
      <c r="B276" s="328"/>
      <c r="C276" s="328"/>
      <c r="D276" s="328"/>
      <c r="E276" s="328"/>
      <c r="F276" s="327"/>
      <c r="G276" s="327"/>
      <c r="H276" s="327"/>
      <c r="I276" s="327"/>
      <c r="J276" s="327"/>
      <c r="K276" s="327"/>
      <c r="L276" s="327"/>
      <c r="M276" s="327"/>
      <c r="N276" s="327"/>
      <c r="O276" s="327"/>
      <c r="P276" s="327"/>
      <c r="Q276" s="327"/>
      <c r="R276" s="328"/>
      <c r="S276" s="327"/>
      <c r="T276" s="327"/>
      <c r="U276" s="327"/>
      <c r="V276" s="327"/>
      <c r="W276" s="327"/>
      <c r="X276" s="327"/>
    </row>
    <row r="277" spans="1:24" s="279" customFormat="1">
      <c r="A277" s="326"/>
      <c r="B277" s="328"/>
      <c r="C277" s="328"/>
      <c r="D277" s="328"/>
      <c r="E277" s="328"/>
      <c r="F277" s="327"/>
      <c r="G277" s="327"/>
      <c r="H277" s="327"/>
      <c r="I277" s="327"/>
      <c r="J277" s="327"/>
      <c r="K277" s="327"/>
      <c r="L277" s="327"/>
      <c r="M277" s="327"/>
      <c r="N277" s="327"/>
      <c r="O277" s="327"/>
      <c r="P277" s="327"/>
      <c r="Q277" s="327"/>
      <c r="R277" s="328"/>
      <c r="S277" s="327"/>
      <c r="T277" s="327"/>
      <c r="U277" s="327"/>
      <c r="V277" s="327"/>
      <c r="W277" s="327"/>
      <c r="X277" s="327"/>
    </row>
    <row r="278" spans="1:24" s="279" customFormat="1">
      <c r="A278" s="326"/>
      <c r="B278" s="328"/>
      <c r="C278" s="328"/>
      <c r="D278" s="328"/>
      <c r="E278" s="328"/>
      <c r="F278" s="327"/>
      <c r="G278" s="327"/>
      <c r="H278" s="327"/>
      <c r="I278" s="327"/>
      <c r="J278" s="327"/>
      <c r="K278" s="327"/>
      <c r="L278" s="327"/>
      <c r="M278" s="327"/>
      <c r="N278" s="327"/>
      <c r="O278" s="327"/>
      <c r="P278" s="327"/>
      <c r="Q278" s="327"/>
      <c r="R278" s="328"/>
      <c r="S278" s="327"/>
      <c r="T278" s="327"/>
      <c r="U278" s="327"/>
      <c r="V278" s="327"/>
      <c r="W278" s="327"/>
      <c r="X278" s="327"/>
    </row>
    <row r="279" spans="1:24" s="279" customFormat="1">
      <c r="A279" s="326"/>
      <c r="B279" s="328"/>
      <c r="C279" s="328"/>
      <c r="D279" s="328"/>
      <c r="E279" s="328"/>
      <c r="F279" s="327"/>
      <c r="G279" s="327"/>
      <c r="H279" s="327"/>
      <c r="I279" s="327"/>
      <c r="J279" s="327"/>
      <c r="K279" s="327"/>
      <c r="L279" s="327"/>
      <c r="M279" s="327"/>
      <c r="N279" s="327"/>
      <c r="O279" s="327"/>
      <c r="P279" s="327"/>
      <c r="Q279" s="327"/>
      <c r="R279" s="328"/>
      <c r="S279" s="327"/>
      <c r="T279" s="327"/>
      <c r="U279" s="327"/>
      <c r="V279" s="327"/>
      <c r="W279" s="327"/>
      <c r="X279" s="327"/>
    </row>
    <row r="280" spans="1:24" s="279" customFormat="1">
      <c r="A280" s="326"/>
      <c r="B280" s="328"/>
      <c r="C280" s="328"/>
      <c r="D280" s="328"/>
      <c r="E280" s="328"/>
      <c r="F280" s="327"/>
      <c r="G280" s="327"/>
      <c r="H280" s="327"/>
      <c r="I280" s="327"/>
      <c r="J280" s="327"/>
      <c r="K280" s="327"/>
      <c r="L280" s="327"/>
      <c r="M280" s="327"/>
      <c r="N280" s="327"/>
      <c r="O280" s="327"/>
      <c r="P280" s="327"/>
      <c r="Q280" s="327"/>
      <c r="R280" s="328"/>
      <c r="S280" s="327"/>
      <c r="T280" s="327"/>
      <c r="U280" s="327"/>
      <c r="V280" s="327"/>
      <c r="W280" s="327"/>
      <c r="X280" s="327"/>
    </row>
    <row r="281" spans="1:24" s="279" customFormat="1">
      <c r="A281" s="326"/>
      <c r="B281" s="328"/>
      <c r="C281" s="328"/>
      <c r="D281" s="328"/>
      <c r="E281" s="328"/>
      <c r="F281" s="327"/>
      <c r="G281" s="327"/>
      <c r="H281" s="327"/>
      <c r="I281" s="327"/>
      <c r="J281" s="327"/>
      <c r="K281" s="327"/>
      <c r="L281" s="327"/>
      <c r="M281" s="327"/>
      <c r="N281" s="327"/>
      <c r="O281" s="327"/>
      <c r="P281" s="327"/>
      <c r="Q281" s="327"/>
      <c r="R281" s="328"/>
      <c r="S281" s="327"/>
      <c r="T281" s="327"/>
      <c r="U281" s="327"/>
      <c r="V281" s="327"/>
      <c r="W281" s="327"/>
      <c r="X281" s="327"/>
    </row>
    <row r="282" spans="1:24" s="279" customFormat="1">
      <c r="A282" s="326"/>
      <c r="B282" s="328"/>
      <c r="C282" s="328"/>
      <c r="D282" s="328"/>
      <c r="E282" s="328"/>
      <c r="F282" s="327"/>
      <c r="G282" s="327"/>
      <c r="H282" s="327"/>
      <c r="I282" s="327"/>
      <c r="J282" s="327"/>
      <c r="K282" s="327"/>
      <c r="L282" s="327"/>
      <c r="M282" s="327"/>
      <c r="N282" s="327"/>
      <c r="O282" s="327"/>
      <c r="P282" s="327"/>
      <c r="Q282" s="327"/>
      <c r="R282" s="328"/>
      <c r="S282" s="327"/>
      <c r="T282" s="327"/>
      <c r="U282" s="327"/>
      <c r="V282" s="327"/>
      <c r="W282" s="327"/>
      <c r="X282" s="327"/>
    </row>
    <row r="283" spans="1:24" s="279" customFormat="1">
      <c r="A283" s="326"/>
      <c r="B283" s="328"/>
      <c r="C283" s="328"/>
      <c r="D283" s="328"/>
      <c r="E283" s="328"/>
      <c r="F283" s="327"/>
      <c r="G283" s="327"/>
      <c r="H283" s="327"/>
      <c r="I283" s="327"/>
      <c r="J283" s="327"/>
      <c r="K283" s="327"/>
      <c r="L283" s="327"/>
      <c r="M283" s="327"/>
      <c r="N283" s="327"/>
      <c r="O283" s="327"/>
      <c r="P283" s="327"/>
      <c r="Q283" s="327"/>
      <c r="R283" s="328"/>
      <c r="S283" s="327"/>
      <c r="T283" s="327"/>
      <c r="U283" s="327"/>
      <c r="V283" s="327"/>
      <c r="W283" s="327"/>
      <c r="X283" s="327"/>
    </row>
    <row r="284" spans="1:24" s="279" customFormat="1">
      <c r="A284" s="326"/>
      <c r="B284" s="328"/>
      <c r="C284" s="328"/>
      <c r="D284" s="328"/>
      <c r="E284" s="328"/>
      <c r="F284" s="327"/>
      <c r="G284" s="327"/>
      <c r="H284" s="327"/>
      <c r="I284" s="327"/>
      <c r="J284" s="327"/>
      <c r="K284" s="327"/>
      <c r="L284" s="327"/>
      <c r="M284" s="327"/>
      <c r="N284" s="327"/>
      <c r="O284" s="327"/>
      <c r="P284" s="327"/>
      <c r="Q284" s="327"/>
      <c r="R284" s="328"/>
      <c r="S284" s="327"/>
      <c r="T284" s="327"/>
      <c r="U284" s="327"/>
      <c r="V284" s="327"/>
      <c r="W284" s="327"/>
      <c r="X284" s="327"/>
    </row>
    <row r="285" spans="1:24" s="279" customFormat="1">
      <c r="A285" s="326"/>
      <c r="B285" s="328"/>
      <c r="C285" s="328"/>
      <c r="D285" s="328"/>
      <c r="E285" s="328"/>
      <c r="F285" s="327"/>
      <c r="G285" s="327"/>
      <c r="H285" s="327"/>
      <c r="I285" s="327"/>
      <c r="J285" s="327"/>
      <c r="K285" s="327"/>
      <c r="L285" s="327"/>
      <c r="M285" s="327"/>
      <c r="N285" s="327"/>
      <c r="O285" s="327"/>
      <c r="P285" s="327"/>
      <c r="Q285" s="327"/>
      <c r="R285" s="328"/>
      <c r="S285" s="327"/>
      <c r="T285" s="327"/>
      <c r="U285" s="327"/>
      <c r="V285" s="327"/>
      <c r="W285" s="327"/>
      <c r="X285" s="327"/>
    </row>
    <row r="286" spans="1:24" s="279" customFormat="1">
      <c r="A286" s="326"/>
      <c r="B286" s="328"/>
      <c r="C286" s="328"/>
      <c r="D286" s="328"/>
      <c r="E286" s="328"/>
      <c r="F286" s="327"/>
      <c r="G286" s="327"/>
      <c r="H286" s="327"/>
      <c r="I286" s="327"/>
      <c r="J286" s="327"/>
      <c r="K286" s="327"/>
      <c r="L286" s="327"/>
      <c r="M286" s="327"/>
      <c r="N286" s="327"/>
      <c r="O286" s="327"/>
      <c r="P286" s="327"/>
      <c r="Q286" s="327"/>
      <c r="R286" s="328"/>
      <c r="S286" s="327"/>
      <c r="T286" s="327"/>
      <c r="U286" s="327"/>
      <c r="V286" s="327"/>
      <c r="W286" s="327"/>
      <c r="X286" s="327"/>
    </row>
    <row r="287" spans="1:24" s="279" customFormat="1">
      <c r="A287" s="326"/>
      <c r="B287" s="328"/>
      <c r="C287" s="328"/>
      <c r="D287" s="328"/>
      <c r="E287" s="328"/>
      <c r="F287" s="327"/>
      <c r="G287" s="327"/>
      <c r="H287" s="327"/>
      <c r="I287" s="327"/>
      <c r="J287" s="327"/>
      <c r="K287" s="327"/>
      <c r="L287" s="327"/>
      <c r="M287" s="327"/>
      <c r="N287" s="327"/>
      <c r="O287" s="327"/>
      <c r="P287" s="327"/>
      <c r="Q287" s="327"/>
      <c r="R287" s="328"/>
      <c r="S287" s="327"/>
      <c r="T287" s="327"/>
      <c r="U287" s="327"/>
      <c r="V287" s="327"/>
      <c r="W287" s="327"/>
      <c r="X287" s="327"/>
    </row>
    <row r="288" spans="1:24" s="279" customFormat="1">
      <c r="A288" s="326"/>
      <c r="B288" s="328"/>
      <c r="C288" s="328"/>
      <c r="D288" s="328"/>
      <c r="E288" s="328"/>
      <c r="F288" s="327"/>
      <c r="G288" s="327"/>
      <c r="H288" s="327"/>
      <c r="I288" s="327"/>
      <c r="J288" s="327"/>
      <c r="K288" s="327"/>
      <c r="L288" s="327"/>
      <c r="M288" s="327"/>
      <c r="N288" s="327"/>
      <c r="O288" s="327"/>
      <c r="P288" s="327"/>
      <c r="Q288" s="327"/>
      <c r="R288" s="328"/>
      <c r="S288" s="327"/>
      <c r="T288" s="327"/>
      <c r="U288" s="327"/>
      <c r="V288" s="327"/>
      <c r="W288" s="327"/>
      <c r="X288" s="327"/>
    </row>
    <row r="289" spans="1:24" s="279" customFormat="1">
      <c r="A289" s="326"/>
      <c r="B289" s="328"/>
      <c r="C289" s="328"/>
      <c r="D289" s="328"/>
      <c r="E289" s="328"/>
      <c r="F289" s="327"/>
      <c r="G289" s="327"/>
      <c r="H289" s="327"/>
      <c r="I289" s="327"/>
      <c r="J289" s="327"/>
      <c r="K289" s="327"/>
      <c r="L289" s="327"/>
      <c r="M289" s="327"/>
      <c r="N289" s="327"/>
      <c r="O289" s="327"/>
      <c r="P289" s="327"/>
      <c r="Q289" s="327"/>
      <c r="R289" s="328"/>
      <c r="S289" s="327"/>
      <c r="T289" s="327"/>
      <c r="U289" s="327"/>
      <c r="V289" s="327"/>
      <c r="W289" s="327"/>
      <c r="X289" s="327"/>
    </row>
    <row r="290" spans="1:24" s="279" customFormat="1">
      <c r="A290" s="326"/>
      <c r="B290" s="328"/>
      <c r="C290" s="328"/>
      <c r="D290" s="328"/>
      <c r="E290" s="328"/>
      <c r="F290" s="327"/>
      <c r="G290" s="327"/>
      <c r="H290" s="327"/>
      <c r="I290" s="327"/>
      <c r="J290" s="327"/>
      <c r="K290" s="327"/>
      <c r="L290" s="327"/>
      <c r="M290" s="327"/>
      <c r="N290" s="327"/>
      <c r="O290" s="327"/>
      <c r="P290" s="327"/>
      <c r="Q290" s="327"/>
      <c r="R290" s="328"/>
      <c r="S290" s="327"/>
      <c r="T290" s="327"/>
      <c r="U290" s="327"/>
      <c r="V290" s="327"/>
      <c r="W290" s="327"/>
      <c r="X290" s="327"/>
    </row>
    <row r="291" spans="1:24" s="279" customFormat="1">
      <c r="A291" s="326"/>
      <c r="B291" s="328"/>
      <c r="C291" s="328"/>
      <c r="D291" s="328"/>
      <c r="E291" s="328"/>
      <c r="F291" s="327"/>
      <c r="G291" s="327"/>
      <c r="H291" s="327"/>
      <c r="I291" s="327"/>
      <c r="J291" s="327"/>
      <c r="K291" s="327"/>
      <c r="L291" s="327"/>
      <c r="M291" s="327"/>
      <c r="N291" s="327"/>
      <c r="O291" s="327"/>
      <c r="P291" s="327"/>
      <c r="Q291" s="327"/>
      <c r="R291" s="328"/>
      <c r="S291" s="327"/>
      <c r="T291" s="327"/>
      <c r="U291" s="327"/>
      <c r="V291" s="327"/>
      <c r="W291" s="327"/>
      <c r="X291" s="327"/>
    </row>
    <row r="292" spans="1:24" s="279" customFormat="1">
      <c r="A292" s="326"/>
      <c r="B292" s="328"/>
      <c r="C292" s="328"/>
      <c r="D292" s="328"/>
      <c r="E292" s="328"/>
      <c r="F292" s="327"/>
      <c r="G292" s="327"/>
      <c r="H292" s="327"/>
      <c r="I292" s="327"/>
      <c r="J292" s="327"/>
      <c r="K292" s="327"/>
      <c r="L292" s="327"/>
      <c r="M292" s="327"/>
      <c r="N292" s="327"/>
      <c r="O292" s="327"/>
      <c r="P292" s="327"/>
      <c r="Q292" s="327"/>
      <c r="R292" s="328"/>
      <c r="S292" s="327"/>
      <c r="T292" s="327"/>
      <c r="U292" s="327"/>
      <c r="V292" s="327"/>
      <c r="W292" s="327"/>
      <c r="X292" s="327"/>
    </row>
    <row r="293" spans="1:24" s="279" customFormat="1">
      <c r="A293" s="326"/>
      <c r="B293" s="328"/>
      <c r="C293" s="328"/>
      <c r="D293" s="328"/>
      <c r="E293" s="328"/>
      <c r="F293" s="327"/>
      <c r="G293" s="327"/>
      <c r="H293" s="327"/>
      <c r="I293" s="327"/>
      <c r="J293" s="327"/>
      <c r="K293" s="327"/>
      <c r="L293" s="327"/>
      <c r="M293" s="327"/>
      <c r="N293" s="327"/>
      <c r="O293" s="327"/>
      <c r="P293" s="327"/>
      <c r="Q293" s="327"/>
      <c r="R293" s="328"/>
      <c r="S293" s="327"/>
      <c r="T293" s="327"/>
      <c r="U293" s="327"/>
      <c r="V293" s="327"/>
      <c r="W293" s="327"/>
      <c r="X293" s="327"/>
    </row>
    <row r="294" spans="1:24" s="279" customFormat="1">
      <c r="A294" s="326"/>
      <c r="B294" s="328"/>
      <c r="C294" s="328"/>
      <c r="D294" s="328"/>
      <c r="E294" s="328"/>
      <c r="F294" s="327"/>
      <c r="G294" s="327"/>
      <c r="H294" s="327"/>
      <c r="I294" s="327"/>
      <c r="J294" s="327"/>
      <c r="K294" s="327"/>
      <c r="L294" s="327"/>
      <c r="M294" s="327"/>
      <c r="N294" s="327"/>
      <c r="O294" s="327"/>
      <c r="P294" s="327"/>
      <c r="Q294" s="327"/>
      <c r="R294" s="328"/>
      <c r="S294" s="327"/>
      <c r="T294" s="327"/>
      <c r="U294" s="327"/>
      <c r="V294" s="327"/>
      <c r="W294" s="327"/>
      <c r="X294" s="327"/>
    </row>
    <row r="295" spans="1:24" s="279" customFormat="1">
      <c r="A295" s="326"/>
      <c r="B295" s="328"/>
      <c r="C295" s="328"/>
      <c r="D295" s="328"/>
      <c r="E295" s="328"/>
      <c r="F295" s="327"/>
      <c r="G295" s="327"/>
      <c r="H295" s="327"/>
      <c r="I295" s="327"/>
      <c r="J295" s="327"/>
      <c r="K295" s="327"/>
      <c r="L295" s="327"/>
      <c r="M295" s="327"/>
      <c r="N295" s="327"/>
      <c r="O295" s="327"/>
      <c r="P295" s="327"/>
      <c r="Q295" s="327"/>
      <c r="R295" s="328"/>
      <c r="S295" s="327"/>
      <c r="T295" s="327"/>
      <c r="U295" s="327"/>
      <c r="V295" s="327"/>
      <c r="W295" s="327"/>
      <c r="X295" s="327"/>
    </row>
    <row r="296" spans="1:24" s="279" customFormat="1">
      <c r="A296" s="326"/>
      <c r="B296" s="328"/>
      <c r="C296" s="328"/>
      <c r="D296" s="328"/>
      <c r="E296" s="328"/>
      <c r="F296" s="327"/>
      <c r="G296" s="327"/>
      <c r="H296" s="327"/>
      <c r="I296" s="327"/>
      <c r="J296" s="327"/>
      <c r="K296" s="327"/>
      <c r="L296" s="327"/>
      <c r="M296" s="327"/>
      <c r="N296" s="327"/>
      <c r="O296" s="327"/>
      <c r="P296" s="327"/>
      <c r="Q296" s="327"/>
      <c r="R296" s="328"/>
      <c r="S296" s="327"/>
      <c r="T296" s="327"/>
      <c r="U296" s="327"/>
      <c r="V296" s="327"/>
      <c r="W296" s="327"/>
      <c r="X296" s="327"/>
    </row>
    <row r="297" spans="1:24" s="279" customFormat="1">
      <c r="A297" s="326"/>
      <c r="B297" s="328"/>
      <c r="C297" s="328"/>
      <c r="D297" s="328"/>
      <c r="E297" s="328"/>
      <c r="F297" s="327"/>
      <c r="G297" s="327"/>
      <c r="H297" s="327"/>
      <c r="I297" s="327"/>
      <c r="J297" s="327"/>
      <c r="K297" s="327"/>
      <c r="L297" s="327"/>
      <c r="M297" s="327"/>
      <c r="N297" s="327"/>
      <c r="O297" s="327"/>
      <c r="P297" s="327"/>
      <c r="Q297" s="327"/>
      <c r="R297" s="328"/>
      <c r="S297" s="327"/>
      <c r="T297" s="327"/>
      <c r="U297" s="327"/>
      <c r="V297" s="327"/>
      <c r="W297" s="327"/>
      <c r="X297" s="327"/>
    </row>
    <row r="298" spans="1:24" s="279" customFormat="1">
      <c r="A298" s="326"/>
      <c r="B298" s="328"/>
      <c r="C298" s="328"/>
      <c r="D298" s="328"/>
      <c r="E298" s="328"/>
      <c r="F298" s="327"/>
      <c r="G298" s="327"/>
      <c r="H298" s="327"/>
      <c r="I298" s="327"/>
      <c r="J298" s="327"/>
      <c r="K298" s="327"/>
      <c r="L298" s="327"/>
      <c r="M298" s="327"/>
      <c r="N298" s="327"/>
      <c r="O298" s="327"/>
      <c r="P298" s="327"/>
      <c r="Q298" s="327"/>
      <c r="R298" s="328"/>
      <c r="S298" s="327"/>
      <c r="T298" s="327"/>
      <c r="U298" s="327"/>
      <c r="V298" s="327"/>
      <c r="W298" s="327"/>
      <c r="X298" s="327"/>
    </row>
    <row r="299" spans="1:24" s="279" customFormat="1">
      <c r="A299" s="326"/>
      <c r="B299" s="328"/>
      <c r="C299" s="328"/>
      <c r="D299" s="328"/>
      <c r="E299" s="328"/>
      <c r="F299" s="327"/>
      <c r="G299" s="327"/>
      <c r="H299" s="327"/>
      <c r="I299" s="327"/>
      <c r="J299" s="327"/>
      <c r="K299" s="327"/>
      <c r="L299" s="327"/>
      <c r="M299" s="327"/>
      <c r="N299" s="327"/>
      <c r="O299" s="327"/>
      <c r="P299" s="327"/>
      <c r="Q299" s="327"/>
      <c r="R299" s="328"/>
      <c r="S299" s="327"/>
      <c r="T299" s="327"/>
      <c r="U299" s="327"/>
      <c r="V299" s="327"/>
      <c r="W299" s="327"/>
      <c r="X299" s="327"/>
    </row>
    <row r="300" spans="1:24" s="279" customFormat="1">
      <c r="A300" s="326"/>
      <c r="B300" s="328"/>
      <c r="C300" s="328"/>
      <c r="D300" s="328"/>
      <c r="E300" s="328"/>
      <c r="F300" s="327"/>
      <c r="G300" s="327"/>
      <c r="H300" s="327"/>
      <c r="I300" s="327"/>
      <c r="J300" s="327"/>
      <c r="K300" s="327"/>
      <c r="L300" s="327"/>
      <c r="M300" s="327"/>
      <c r="N300" s="327"/>
      <c r="O300" s="327"/>
      <c r="P300" s="327"/>
      <c r="Q300" s="327"/>
      <c r="R300" s="328"/>
      <c r="S300" s="327"/>
      <c r="T300" s="327"/>
      <c r="U300" s="327"/>
      <c r="V300" s="327"/>
      <c r="W300" s="327"/>
      <c r="X300" s="327"/>
    </row>
    <row r="301" spans="1:24" s="279" customFormat="1">
      <c r="A301" s="326"/>
      <c r="B301" s="328"/>
      <c r="C301" s="328"/>
      <c r="D301" s="328"/>
      <c r="E301" s="328"/>
      <c r="F301" s="327"/>
      <c r="G301" s="327"/>
      <c r="H301" s="327"/>
      <c r="I301" s="327"/>
      <c r="J301" s="327"/>
      <c r="K301" s="327"/>
      <c r="L301" s="327"/>
      <c r="M301" s="327"/>
      <c r="N301" s="327"/>
      <c r="O301" s="327"/>
      <c r="P301" s="327"/>
      <c r="Q301" s="327"/>
      <c r="R301" s="328"/>
      <c r="S301" s="327"/>
      <c r="T301" s="327"/>
      <c r="U301" s="327"/>
      <c r="V301" s="327"/>
      <c r="W301" s="327"/>
      <c r="X301" s="327"/>
    </row>
    <row r="302" spans="1:24" s="279" customFormat="1">
      <c r="A302" s="326"/>
      <c r="B302" s="328"/>
      <c r="C302" s="328"/>
      <c r="D302" s="328"/>
      <c r="E302" s="328"/>
      <c r="F302" s="327"/>
      <c r="G302" s="327"/>
      <c r="H302" s="327"/>
      <c r="I302" s="327"/>
      <c r="J302" s="327"/>
      <c r="K302" s="327"/>
      <c r="L302" s="327"/>
      <c r="M302" s="327"/>
      <c r="N302" s="327"/>
      <c r="O302" s="327"/>
      <c r="P302" s="327"/>
      <c r="Q302" s="327"/>
      <c r="R302" s="328"/>
      <c r="S302" s="327"/>
      <c r="T302" s="327"/>
      <c r="U302" s="327"/>
      <c r="V302" s="327"/>
      <c r="W302" s="327"/>
      <c r="X302" s="327"/>
    </row>
    <row r="303" spans="1:24" s="279" customFormat="1">
      <c r="A303" s="326"/>
      <c r="B303" s="328"/>
      <c r="C303" s="328"/>
      <c r="D303" s="328"/>
      <c r="E303" s="328"/>
      <c r="F303" s="327"/>
      <c r="G303" s="327"/>
      <c r="H303" s="327"/>
      <c r="I303" s="327"/>
      <c r="J303" s="327"/>
      <c r="K303" s="327"/>
      <c r="L303" s="327"/>
      <c r="M303" s="327"/>
      <c r="N303" s="327"/>
      <c r="O303" s="327"/>
      <c r="P303" s="327"/>
      <c r="Q303" s="327"/>
      <c r="R303" s="328"/>
      <c r="S303" s="327"/>
      <c r="T303" s="327"/>
      <c r="U303" s="327"/>
      <c r="V303" s="327"/>
      <c r="W303" s="327"/>
      <c r="X303" s="327"/>
    </row>
    <row r="304" spans="1:24" s="279" customFormat="1">
      <c r="A304" s="326"/>
      <c r="B304" s="328"/>
      <c r="C304" s="328"/>
      <c r="D304" s="328"/>
      <c r="E304" s="328"/>
      <c r="F304" s="327"/>
      <c r="G304" s="327"/>
      <c r="H304" s="327"/>
      <c r="I304" s="327"/>
      <c r="J304" s="327"/>
      <c r="K304" s="327"/>
      <c r="L304" s="327"/>
      <c r="M304" s="327"/>
      <c r="N304" s="327"/>
      <c r="O304" s="327"/>
      <c r="P304" s="327"/>
      <c r="Q304" s="327"/>
      <c r="R304" s="328"/>
      <c r="S304" s="327"/>
      <c r="T304" s="327"/>
      <c r="U304" s="327"/>
      <c r="V304" s="327"/>
      <c r="W304" s="327"/>
      <c r="X304" s="327"/>
    </row>
    <row r="305" spans="1:24" s="279" customFormat="1">
      <c r="A305" s="326"/>
      <c r="B305" s="328"/>
      <c r="C305" s="328"/>
      <c r="D305" s="328"/>
      <c r="E305" s="328"/>
      <c r="F305" s="327"/>
      <c r="G305" s="327"/>
      <c r="H305" s="327"/>
      <c r="I305" s="327"/>
      <c r="J305" s="327"/>
      <c r="K305" s="327"/>
      <c r="L305" s="327"/>
      <c r="M305" s="327"/>
      <c r="N305" s="327"/>
      <c r="O305" s="327"/>
      <c r="P305" s="327"/>
      <c r="Q305" s="327"/>
      <c r="R305" s="328"/>
      <c r="S305" s="327"/>
      <c r="T305" s="327"/>
      <c r="U305" s="327"/>
      <c r="V305" s="327"/>
      <c r="W305" s="327"/>
      <c r="X305" s="327"/>
    </row>
    <row r="306" spans="1:24" s="279" customFormat="1">
      <c r="A306" s="326"/>
      <c r="B306" s="328"/>
      <c r="C306" s="328"/>
      <c r="D306" s="328"/>
      <c r="E306" s="328"/>
      <c r="F306" s="327"/>
      <c r="G306" s="327"/>
      <c r="H306" s="327"/>
      <c r="I306" s="327"/>
      <c r="J306" s="327"/>
      <c r="K306" s="327"/>
      <c r="L306" s="327"/>
      <c r="M306" s="327"/>
      <c r="N306" s="327"/>
      <c r="O306" s="327"/>
      <c r="P306" s="327"/>
      <c r="Q306" s="327"/>
      <c r="R306" s="328"/>
      <c r="S306" s="327"/>
      <c r="T306" s="327"/>
      <c r="U306" s="327"/>
      <c r="V306" s="327"/>
      <c r="W306" s="327"/>
      <c r="X306" s="327"/>
    </row>
    <row r="307" spans="1:24" s="279" customFormat="1">
      <c r="A307" s="326"/>
      <c r="B307" s="328"/>
      <c r="C307" s="328"/>
      <c r="D307" s="328"/>
      <c r="E307" s="328"/>
      <c r="F307" s="327"/>
      <c r="G307" s="327"/>
      <c r="H307" s="327"/>
      <c r="I307" s="327"/>
      <c r="J307" s="327"/>
      <c r="K307" s="327"/>
      <c r="L307" s="327"/>
      <c r="M307" s="327"/>
      <c r="N307" s="327"/>
      <c r="O307" s="327"/>
      <c r="P307" s="327"/>
      <c r="Q307" s="327"/>
      <c r="R307" s="328"/>
      <c r="S307" s="327"/>
      <c r="T307" s="327"/>
      <c r="U307" s="327"/>
      <c r="V307" s="327"/>
      <c r="W307" s="327"/>
      <c r="X307" s="327"/>
    </row>
    <row r="308" spans="1:24" s="279" customFormat="1">
      <c r="A308" s="326"/>
      <c r="B308" s="328"/>
      <c r="C308" s="328"/>
      <c r="D308" s="328"/>
      <c r="E308" s="328"/>
      <c r="F308" s="327"/>
      <c r="G308" s="327"/>
      <c r="H308" s="327"/>
      <c r="I308" s="327"/>
      <c r="J308" s="327"/>
      <c r="K308" s="327"/>
      <c r="L308" s="327"/>
      <c r="M308" s="327"/>
      <c r="N308" s="327"/>
      <c r="O308" s="327"/>
      <c r="P308" s="327"/>
      <c r="Q308" s="327"/>
      <c r="R308" s="328"/>
      <c r="S308" s="327"/>
      <c r="T308" s="327"/>
      <c r="U308" s="327"/>
      <c r="V308" s="327"/>
      <c r="W308" s="327"/>
      <c r="X308" s="327"/>
    </row>
    <row r="309" spans="1:24" s="279" customFormat="1">
      <c r="A309" s="326"/>
      <c r="B309" s="328"/>
      <c r="C309" s="328"/>
      <c r="D309" s="328"/>
      <c r="E309" s="328"/>
      <c r="F309" s="327"/>
      <c r="G309" s="327"/>
      <c r="H309" s="327"/>
      <c r="I309" s="327"/>
      <c r="J309" s="327"/>
      <c r="K309" s="327"/>
      <c r="L309" s="327"/>
      <c r="M309" s="327"/>
      <c r="N309" s="327"/>
      <c r="O309" s="327"/>
      <c r="P309" s="327"/>
      <c r="Q309" s="327"/>
      <c r="R309" s="328"/>
      <c r="S309" s="327"/>
      <c r="T309" s="327"/>
      <c r="U309" s="327"/>
      <c r="V309" s="327"/>
      <c r="W309" s="327"/>
      <c r="X309" s="327"/>
    </row>
    <row r="310" spans="1:24" s="279" customFormat="1">
      <c r="A310" s="326"/>
      <c r="B310" s="328"/>
      <c r="C310" s="328"/>
      <c r="D310" s="328"/>
      <c r="E310" s="328"/>
      <c r="F310" s="327"/>
      <c r="G310" s="327"/>
      <c r="H310" s="327"/>
      <c r="I310" s="327"/>
      <c r="J310" s="327"/>
      <c r="K310" s="327"/>
      <c r="L310" s="327"/>
      <c r="M310" s="327"/>
      <c r="N310" s="327"/>
      <c r="O310" s="327"/>
      <c r="P310" s="327"/>
      <c r="Q310" s="327"/>
      <c r="R310" s="328"/>
      <c r="S310" s="327"/>
      <c r="T310" s="327"/>
      <c r="U310" s="327"/>
      <c r="V310" s="327"/>
      <c r="W310" s="327"/>
      <c r="X310" s="327"/>
    </row>
    <row r="311" spans="1:24" s="279" customFormat="1">
      <c r="A311" s="326"/>
      <c r="B311" s="328"/>
      <c r="C311" s="328"/>
      <c r="D311" s="328"/>
      <c r="E311" s="328"/>
      <c r="F311" s="327"/>
      <c r="G311" s="327"/>
      <c r="H311" s="327"/>
      <c r="I311" s="327"/>
      <c r="J311" s="327"/>
      <c r="K311" s="327"/>
      <c r="L311" s="327"/>
      <c r="M311" s="327"/>
      <c r="N311" s="327"/>
      <c r="O311" s="327"/>
      <c r="P311" s="327"/>
      <c r="Q311" s="327"/>
      <c r="R311" s="328"/>
      <c r="S311" s="327"/>
      <c r="T311" s="327"/>
      <c r="U311" s="327"/>
      <c r="V311" s="327"/>
      <c r="W311" s="327"/>
      <c r="X311" s="327"/>
    </row>
    <row r="312" spans="1:24" s="279" customFormat="1">
      <c r="A312" s="326"/>
      <c r="B312" s="328"/>
      <c r="C312" s="328"/>
      <c r="D312" s="328"/>
      <c r="E312" s="328"/>
      <c r="F312" s="327"/>
      <c r="G312" s="327"/>
      <c r="H312" s="327"/>
      <c r="I312" s="327"/>
      <c r="J312" s="327"/>
      <c r="K312" s="327"/>
      <c r="L312" s="327"/>
      <c r="M312" s="327"/>
      <c r="N312" s="327"/>
      <c r="O312" s="327"/>
      <c r="P312" s="327"/>
      <c r="Q312" s="327"/>
      <c r="R312" s="328"/>
      <c r="S312" s="327"/>
      <c r="T312" s="327"/>
      <c r="U312" s="327"/>
      <c r="V312" s="327"/>
      <c r="W312" s="327"/>
      <c r="X312" s="327"/>
    </row>
    <row r="313" spans="1:24" s="279" customFormat="1">
      <c r="A313" s="326"/>
      <c r="B313" s="328"/>
      <c r="C313" s="328"/>
      <c r="D313" s="328"/>
      <c r="E313" s="328"/>
      <c r="F313" s="327"/>
      <c r="G313" s="327"/>
      <c r="H313" s="327"/>
      <c r="I313" s="327"/>
      <c r="J313" s="327"/>
      <c r="K313" s="327"/>
      <c r="L313" s="327"/>
      <c r="M313" s="327"/>
      <c r="N313" s="327"/>
      <c r="O313" s="327"/>
      <c r="P313" s="327"/>
      <c r="Q313" s="327"/>
      <c r="R313" s="328"/>
      <c r="S313" s="327"/>
      <c r="T313" s="327"/>
      <c r="U313" s="327"/>
      <c r="V313" s="327"/>
      <c r="W313" s="327"/>
      <c r="X313" s="327"/>
    </row>
    <row r="314" spans="1:24" s="279" customFormat="1">
      <c r="A314" s="326"/>
      <c r="B314" s="328"/>
      <c r="C314" s="328"/>
      <c r="D314" s="328"/>
      <c r="E314" s="328"/>
      <c r="F314" s="327"/>
      <c r="G314" s="327"/>
      <c r="H314" s="327"/>
      <c r="I314" s="327"/>
      <c r="J314" s="327"/>
      <c r="K314" s="327"/>
      <c r="L314" s="327"/>
      <c r="M314" s="327"/>
      <c r="N314" s="327"/>
      <c r="O314" s="327"/>
      <c r="P314" s="327"/>
      <c r="Q314" s="327"/>
      <c r="R314" s="328"/>
      <c r="S314" s="327"/>
      <c r="T314" s="327"/>
      <c r="U314" s="327"/>
      <c r="V314" s="327"/>
      <c r="W314" s="327"/>
      <c r="X314" s="327"/>
    </row>
    <row r="315" spans="1:24" s="279" customFormat="1">
      <c r="A315" s="326"/>
      <c r="B315" s="328"/>
      <c r="C315" s="328"/>
      <c r="D315" s="328"/>
      <c r="E315" s="328"/>
      <c r="F315" s="327"/>
      <c r="G315" s="327"/>
      <c r="H315" s="327"/>
      <c r="I315" s="327"/>
      <c r="J315" s="327"/>
      <c r="K315" s="327"/>
      <c r="L315" s="327"/>
      <c r="M315" s="327"/>
      <c r="N315" s="327"/>
      <c r="O315" s="327"/>
      <c r="P315" s="327"/>
      <c r="Q315" s="327"/>
      <c r="R315" s="328"/>
      <c r="S315" s="327"/>
      <c r="T315" s="327"/>
      <c r="U315" s="327"/>
      <c r="V315" s="327"/>
      <c r="W315" s="327"/>
      <c r="X315" s="327"/>
    </row>
    <row r="316" spans="1:24" s="279" customFormat="1">
      <c r="A316" s="326"/>
      <c r="B316" s="328"/>
      <c r="C316" s="328"/>
      <c r="D316" s="328"/>
      <c r="E316" s="328"/>
      <c r="F316" s="327"/>
      <c r="G316" s="327"/>
      <c r="H316" s="327"/>
      <c r="I316" s="327"/>
      <c r="J316" s="327"/>
      <c r="K316" s="327"/>
      <c r="L316" s="327"/>
      <c r="M316" s="327"/>
      <c r="N316" s="327"/>
      <c r="O316" s="327"/>
      <c r="P316" s="327"/>
      <c r="Q316" s="327"/>
      <c r="R316" s="328"/>
      <c r="S316" s="327"/>
      <c r="T316" s="327"/>
      <c r="U316" s="327"/>
      <c r="V316" s="327"/>
      <c r="W316" s="327"/>
      <c r="X316" s="327"/>
    </row>
    <row r="317" spans="1:24" s="279" customFormat="1">
      <c r="A317" s="326"/>
      <c r="B317" s="328"/>
      <c r="C317" s="328"/>
      <c r="D317" s="328"/>
      <c r="E317" s="328"/>
      <c r="F317" s="327"/>
      <c r="G317" s="327"/>
      <c r="H317" s="327"/>
      <c r="I317" s="327"/>
      <c r="J317" s="327"/>
      <c r="K317" s="327"/>
      <c r="L317" s="327"/>
      <c r="M317" s="327"/>
      <c r="N317" s="327"/>
      <c r="O317" s="327"/>
      <c r="P317" s="327"/>
      <c r="Q317" s="327"/>
      <c r="R317" s="328"/>
      <c r="S317" s="327"/>
      <c r="T317" s="327"/>
      <c r="U317" s="327"/>
      <c r="V317" s="327"/>
      <c r="W317" s="327"/>
      <c r="X317" s="327"/>
    </row>
    <row r="318" spans="1:24" s="279" customFormat="1">
      <c r="A318" s="326"/>
      <c r="B318" s="328"/>
      <c r="C318" s="328"/>
      <c r="D318" s="328"/>
      <c r="E318" s="328"/>
      <c r="F318" s="327"/>
      <c r="G318" s="327"/>
      <c r="H318" s="327"/>
      <c r="I318" s="327"/>
      <c r="J318" s="327"/>
      <c r="K318" s="327"/>
      <c r="L318" s="327"/>
      <c r="M318" s="327"/>
      <c r="N318" s="327"/>
      <c r="O318" s="327"/>
      <c r="P318" s="327"/>
      <c r="Q318" s="327"/>
      <c r="R318" s="328"/>
      <c r="S318" s="327"/>
      <c r="T318" s="327"/>
      <c r="U318" s="327"/>
      <c r="V318" s="327"/>
      <c r="W318" s="327"/>
      <c r="X318" s="327"/>
    </row>
    <row r="319" spans="1:24" s="279" customFormat="1">
      <c r="A319" s="326"/>
      <c r="B319" s="328"/>
      <c r="C319" s="328"/>
      <c r="D319" s="328"/>
      <c r="E319" s="328"/>
      <c r="F319" s="327"/>
      <c r="G319" s="327"/>
      <c r="H319" s="327"/>
      <c r="I319" s="327"/>
      <c r="J319" s="327"/>
      <c r="K319" s="327"/>
      <c r="L319" s="327"/>
      <c r="M319" s="327"/>
      <c r="N319" s="327"/>
      <c r="O319" s="327"/>
      <c r="P319" s="327"/>
      <c r="Q319" s="327"/>
      <c r="R319" s="328"/>
      <c r="S319" s="327"/>
      <c r="T319" s="327"/>
      <c r="U319" s="327"/>
      <c r="V319" s="327"/>
      <c r="W319" s="327"/>
      <c r="X319" s="327"/>
    </row>
    <row r="320" spans="1:24" s="279" customFormat="1">
      <c r="A320" s="326"/>
      <c r="B320" s="328"/>
      <c r="C320" s="328"/>
      <c r="D320" s="328"/>
      <c r="E320" s="328"/>
      <c r="F320" s="327"/>
      <c r="G320" s="327"/>
      <c r="H320" s="327"/>
      <c r="I320" s="327"/>
      <c r="J320" s="327"/>
      <c r="K320" s="327"/>
      <c r="L320" s="327"/>
      <c r="M320" s="327"/>
      <c r="N320" s="327"/>
      <c r="O320" s="327"/>
      <c r="P320" s="327"/>
      <c r="Q320" s="327"/>
      <c r="R320" s="328"/>
      <c r="S320" s="327"/>
      <c r="T320" s="327"/>
      <c r="U320" s="327"/>
      <c r="V320" s="327"/>
      <c r="W320" s="327"/>
      <c r="X320" s="327"/>
    </row>
    <row r="321" spans="1:24" s="279" customFormat="1">
      <c r="A321" s="326"/>
      <c r="B321" s="328"/>
      <c r="C321" s="328"/>
      <c r="D321" s="328"/>
      <c r="E321" s="328"/>
      <c r="F321" s="327"/>
      <c r="G321" s="327"/>
      <c r="H321" s="327"/>
      <c r="I321" s="327"/>
      <c r="J321" s="327"/>
      <c r="K321" s="327"/>
      <c r="L321" s="327"/>
      <c r="M321" s="327"/>
      <c r="N321" s="327"/>
      <c r="O321" s="327"/>
      <c r="P321" s="327"/>
      <c r="Q321" s="327"/>
      <c r="R321" s="328"/>
      <c r="S321" s="327"/>
      <c r="T321" s="327"/>
      <c r="U321" s="327"/>
      <c r="V321" s="327"/>
      <c r="W321" s="327"/>
      <c r="X321" s="327"/>
    </row>
    <row r="322" spans="1:24" s="279" customFormat="1">
      <c r="A322" s="326"/>
      <c r="B322" s="328"/>
      <c r="C322" s="328"/>
      <c r="D322" s="328"/>
      <c r="E322" s="328"/>
      <c r="F322" s="327"/>
      <c r="G322" s="327"/>
      <c r="H322" s="327"/>
      <c r="I322" s="327"/>
      <c r="J322" s="327"/>
      <c r="K322" s="327"/>
      <c r="L322" s="327"/>
      <c r="M322" s="327"/>
      <c r="N322" s="327"/>
      <c r="O322" s="327"/>
      <c r="P322" s="327"/>
      <c r="Q322" s="327"/>
      <c r="R322" s="328"/>
      <c r="S322" s="327"/>
      <c r="T322" s="327"/>
      <c r="U322" s="327"/>
      <c r="V322" s="327"/>
      <c r="W322" s="327"/>
      <c r="X322" s="327"/>
    </row>
    <row r="323" spans="1:24" s="279" customFormat="1">
      <c r="A323" s="326"/>
      <c r="B323" s="328"/>
      <c r="C323" s="328"/>
      <c r="D323" s="328"/>
      <c r="E323" s="328"/>
      <c r="F323" s="327"/>
      <c r="G323" s="327"/>
      <c r="H323" s="327"/>
      <c r="I323" s="327"/>
      <c r="J323" s="327"/>
      <c r="K323" s="327"/>
      <c r="L323" s="327"/>
      <c r="M323" s="327"/>
      <c r="N323" s="327"/>
      <c r="O323" s="327"/>
      <c r="P323" s="327"/>
      <c r="Q323" s="327"/>
      <c r="R323" s="328"/>
      <c r="S323" s="327"/>
      <c r="T323" s="327"/>
      <c r="U323" s="327"/>
      <c r="V323" s="327"/>
      <c r="W323" s="327"/>
      <c r="X323" s="327"/>
    </row>
    <row r="324" spans="1:24" s="279" customFormat="1">
      <c r="A324" s="326"/>
      <c r="B324" s="328"/>
      <c r="C324" s="328"/>
      <c r="D324" s="328"/>
      <c r="E324" s="328"/>
      <c r="F324" s="327"/>
      <c r="G324" s="327"/>
      <c r="H324" s="327"/>
      <c r="I324" s="327"/>
      <c r="J324" s="327"/>
      <c r="K324" s="327"/>
      <c r="L324" s="327"/>
      <c r="M324" s="327"/>
      <c r="N324" s="327"/>
      <c r="O324" s="327"/>
      <c r="P324" s="327"/>
      <c r="Q324" s="327"/>
      <c r="R324" s="328"/>
      <c r="S324" s="327"/>
      <c r="T324" s="327"/>
      <c r="U324" s="327"/>
      <c r="V324" s="327"/>
      <c r="W324" s="327"/>
      <c r="X324" s="327"/>
    </row>
    <row r="325" spans="1:24" s="279" customFormat="1">
      <c r="A325" s="326"/>
      <c r="B325" s="328"/>
      <c r="C325" s="328"/>
      <c r="D325" s="328"/>
      <c r="E325" s="328"/>
      <c r="F325" s="327"/>
      <c r="G325" s="327"/>
      <c r="H325" s="327"/>
      <c r="I325" s="327"/>
      <c r="J325" s="327"/>
      <c r="K325" s="327"/>
      <c r="L325" s="327"/>
      <c r="M325" s="327"/>
      <c r="N325" s="327"/>
      <c r="O325" s="327"/>
      <c r="P325" s="327"/>
      <c r="Q325" s="327"/>
      <c r="R325" s="328"/>
      <c r="S325" s="327"/>
      <c r="T325" s="327"/>
      <c r="U325" s="327"/>
      <c r="V325" s="327"/>
      <c r="W325" s="327"/>
      <c r="X325" s="327"/>
    </row>
    <row r="326" spans="1:24" s="279" customFormat="1">
      <c r="A326" s="326"/>
      <c r="B326" s="328"/>
      <c r="C326" s="328"/>
      <c r="D326" s="328"/>
      <c r="E326" s="328"/>
      <c r="F326" s="327"/>
      <c r="G326" s="327"/>
      <c r="H326" s="327"/>
      <c r="I326" s="327"/>
      <c r="J326" s="327"/>
      <c r="K326" s="327"/>
      <c r="L326" s="327"/>
      <c r="M326" s="327"/>
      <c r="N326" s="327"/>
      <c r="O326" s="327"/>
      <c r="P326" s="327"/>
      <c r="Q326" s="327"/>
      <c r="R326" s="328"/>
      <c r="S326" s="327"/>
      <c r="T326" s="327"/>
      <c r="U326" s="327"/>
      <c r="V326" s="327"/>
      <c r="W326" s="327"/>
      <c r="X326" s="327"/>
    </row>
    <row r="327" spans="1:24" s="279" customFormat="1">
      <c r="A327" s="326"/>
      <c r="B327" s="328"/>
      <c r="C327" s="328"/>
      <c r="D327" s="328"/>
      <c r="E327" s="328"/>
      <c r="F327" s="327"/>
      <c r="G327" s="327"/>
      <c r="H327" s="327"/>
      <c r="I327" s="327"/>
      <c r="J327" s="327"/>
      <c r="K327" s="327"/>
      <c r="L327" s="327"/>
      <c r="M327" s="327"/>
      <c r="N327" s="327"/>
      <c r="O327" s="327"/>
      <c r="P327" s="327"/>
      <c r="Q327" s="327"/>
      <c r="R327" s="328"/>
      <c r="S327" s="327"/>
      <c r="T327" s="327"/>
      <c r="U327" s="327"/>
      <c r="V327" s="327"/>
      <c r="W327" s="327"/>
      <c r="X327" s="327"/>
    </row>
    <row r="328" spans="1:24" s="279" customFormat="1">
      <c r="A328" s="326"/>
      <c r="B328" s="328"/>
      <c r="C328" s="328"/>
      <c r="D328" s="328"/>
      <c r="E328" s="328"/>
      <c r="F328" s="327"/>
      <c r="G328" s="327"/>
      <c r="H328" s="327"/>
      <c r="I328" s="327"/>
      <c r="J328" s="327"/>
      <c r="K328" s="327"/>
      <c r="L328" s="327"/>
      <c r="M328" s="327"/>
      <c r="N328" s="327"/>
      <c r="O328" s="327"/>
      <c r="P328" s="327"/>
      <c r="Q328" s="327"/>
      <c r="R328" s="328"/>
      <c r="S328" s="327"/>
      <c r="T328" s="327"/>
      <c r="U328" s="327"/>
      <c r="V328" s="327"/>
      <c r="W328" s="327"/>
      <c r="X328" s="327"/>
    </row>
    <row r="329" spans="1:24" s="279" customFormat="1">
      <c r="A329" s="326"/>
      <c r="B329" s="328"/>
      <c r="C329" s="328"/>
      <c r="D329" s="328"/>
      <c r="E329" s="328"/>
      <c r="F329" s="327"/>
      <c r="G329" s="327"/>
      <c r="H329" s="327"/>
      <c r="I329" s="327"/>
      <c r="J329" s="327"/>
      <c r="K329" s="327"/>
      <c r="L329" s="327"/>
      <c r="M329" s="327"/>
      <c r="N329" s="327"/>
      <c r="O329" s="327"/>
      <c r="P329" s="327"/>
      <c r="Q329" s="327"/>
      <c r="R329" s="328"/>
      <c r="S329" s="327"/>
      <c r="T329" s="327"/>
      <c r="U329" s="327"/>
      <c r="V329" s="327"/>
      <c r="W329" s="327"/>
      <c r="X329" s="327"/>
    </row>
    <row r="330" spans="1:24" s="279" customFormat="1">
      <c r="A330" s="326"/>
      <c r="B330" s="328"/>
      <c r="C330" s="328"/>
      <c r="D330" s="328"/>
      <c r="E330" s="328"/>
      <c r="F330" s="327"/>
      <c r="G330" s="327"/>
      <c r="H330" s="327"/>
      <c r="I330" s="327"/>
      <c r="J330" s="327"/>
      <c r="K330" s="327"/>
      <c r="L330" s="327"/>
      <c r="M330" s="327"/>
      <c r="N330" s="327"/>
      <c r="O330" s="327"/>
      <c r="P330" s="327"/>
      <c r="Q330" s="327"/>
      <c r="R330" s="328"/>
      <c r="S330" s="327"/>
      <c r="T330" s="327"/>
      <c r="U330" s="327"/>
      <c r="V330" s="327"/>
      <c r="W330" s="327"/>
      <c r="X330" s="327"/>
    </row>
    <row r="331" spans="1:24" s="279" customFormat="1">
      <c r="A331" s="326"/>
      <c r="B331" s="328"/>
      <c r="C331" s="328"/>
      <c r="D331" s="328"/>
      <c r="E331" s="328"/>
      <c r="F331" s="327"/>
      <c r="G331" s="327"/>
      <c r="H331" s="327"/>
      <c r="I331" s="327"/>
      <c r="J331" s="327"/>
      <c r="K331" s="327"/>
      <c r="L331" s="327"/>
      <c r="M331" s="327"/>
      <c r="N331" s="327"/>
      <c r="O331" s="327"/>
      <c r="P331" s="327"/>
      <c r="Q331" s="327"/>
      <c r="R331" s="328"/>
      <c r="S331" s="327"/>
      <c r="T331" s="327"/>
      <c r="U331" s="327"/>
      <c r="V331" s="327"/>
      <c r="W331" s="327"/>
      <c r="X331" s="327"/>
    </row>
    <row r="332" spans="1:24" s="279" customFormat="1">
      <c r="A332" s="326"/>
      <c r="B332" s="328"/>
      <c r="C332" s="328"/>
      <c r="D332" s="328"/>
      <c r="E332" s="328"/>
      <c r="F332" s="327"/>
      <c r="G332" s="327"/>
      <c r="H332" s="327"/>
      <c r="I332" s="327"/>
      <c r="J332" s="327"/>
      <c r="K332" s="327"/>
      <c r="L332" s="327"/>
      <c r="M332" s="327"/>
      <c r="N332" s="327"/>
      <c r="O332" s="327"/>
      <c r="P332" s="327"/>
      <c r="Q332" s="327"/>
      <c r="R332" s="328"/>
      <c r="S332" s="327"/>
      <c r="T332" s="327"/>
      <c r="U332" s="327"/>
      <c r="V332" s="327"/>
      <c r="W332" s="327"/>
      <c r="X332" s="327"/>
    </row>
    <row r="333" spans="1:24" s="279" customFormat="1">
      <c r="A333" s="326"/>
      <c r="B333" s="328"/>
      <c r="C333" s="328"/>
      <c r="D333" s="328"/>
      <c r="E333" s="328"/>
      <c r="F333" s="327"/>
      <c r="G333" s="327"/>
      <c r="H333" s="327"/>
      <c r="I333" s="327"/>
      <c r="J333" s="327"/>
      <c r="K333" s="327"/>
      <c r="L333" s="327"/>
      <c r="M333" s="327"/>
      <c r="N333" s="327"/>
      <c r="O333" s="327"/>
      <c r="P333" s="327"/>
      <c r="Q333" s="327"/>
      <c r="R333" s="328"/>
      <c r="S333" s="327"/>
      <c r="T333" s="327"/>
      <c r="U333" s="327"/>
      <c r="V333" s="327"/>
      <c r="W333" s="327"/>
      <c r="X333" s="327"/>
    </row>
    <row r="334" spans="1:24" s="279" customFormat="1">
      <c r="A334" s="326"/>
      <c r="B334" s="328"/>
      <c r="C334" s="328"/>
      <c r="D334" s="328"/>
      <c r="E334" s="328"/>
      <c r="F334" s="327"/>
      <c r="G334" s="327"/>
      <c r="H334" s="327"/>
      <c r="I334" s="327"/>
      <c r="J334" s="327"/>
      <c r="K334" s="327"/>
      <c r="L334" s="327"/>
      <c r="M334" s="327"/>
      <c r="N334" s="327"/>
      <c r="O334" s="327"/>
      <c r="P334" s="327"/>
      <c r="Q334" s="327"/>
      <c r="R334" s="328"/>
      <c r="S334" s="327"/>
      <c r="T334" s="327"/>
      <c r="U334" s="327"/>
      <c r="V334" s="327"/>
      <c r="W334" s="327"/>
      <c r="X334" s="327"/>
    </row>
    <row r="335" spans="1:24" s="279" customFormat="1">
      <c r="A335" s="326"/>
      <c r="B335" s="328"/>
      <c r="C335" s="328"/>
      <c r="D335" s="328"/>
      <c r="E335" s="328"/>
      <c r="F335" s="327"/>
      <c r="G335" s="327"/>
      <c r="H335" s="327"/>
      <c r="I335" s="327"/>
      <c r="J335" s="327"/>
      <c r="K335" s="327"/>
      <c r="L335" s="327"/>
      <c r="M335" s="327"/>
      <c r="N335" s="327"/>
      <c r="O335" s="327"/>
      <c r="P335" s="327"/>
      <c r="Q335" s="327"/>
      <c r="R335" s="328"/>
      <c r="S335" s="327"/>
      <c r="T335" s="327"/>
      <c r="U335" s="327"/>
      <c r="V335" s="327"/>
      <c r="W335" s="327"/>
      <c r="X335" s="327"/>
    </row>
    <row r="336" spans="1:24" s="279" customFormat="1">
      <c r="A336" s="326"/>
      <c r="B336" s="328"/>
      <c r="C336" s="328"/>
      <c r="D336" s="328"/>
      <c r="E336" s="328"/>
      <c r="F336" s="327"/>
      <c r="G336" s="327"/>
      <c r="H336" s="327"/>
      <c r="I336" s="327"/>
      <c r="J336" s="327"/>
      <c r="K336" s="327"/>
      <c r="L336" s="327"/>
      <c r="M336" s="327"/>
      <c r="N336" s="327"/>
      <c r="O336" s="327"/>
      <c r="P336" s="327"/>
      <c r="Q336" s="327"/>
      <c r="R336" s="328"/>
      <c r="S336" s="327"/>
      <c r="T336" s="327"/>
      <c r="U336" s="327"/>
      <c r="V336" s="327"/>
      <c r="W336" s="327"/>
      <c r="X336" s="327"/>
    </row>
    <row r="337" spans="1:24" s="279" customFormat="1">
      <c r="A337" s="326"/>
      <c r="B337" s="328"/>
      <c r="C337" s="328"/>
      <c r="D337" s="328"/>
      <c r="E337" s="328"/>
      <c r="F337" s="327"/>
      <c r="G337" s="327"/>
      <c r="H337" s="327"/>
      <c r="I337" s="327"/>
      <c r="J337" s="327"/>
      <c r="K337" s="327"/>
      <c r="L337" s="327"/>
      <c r="M337" s="327"/>
      <c r="N337" s="327"/>
      <c r="O337" s="327"/>
      <c r="P337" s="327"/>
      <c r="Q337" s="327"/>
      <c r="R337" s="328"/>
      <c r="S337" s="327"/>
      <c r="T337" s="327"/>
      <c r="U337" s="327"/>
      <c r="V337" s="327"/>
      <c r="W337" s="327"/>
      <c r="X337" s="327"/>
    </row>
    <row r="338" spans="1:24" s="279" customFormat="1">
      <c r="A338" s="326"/>
      <c r="B338" s="328"/>
      <c r="C338" s="328"/>
      <c r="D338" s="328"/>
      <c r="E338" s="328"/>
      <c r="F338" s="327"/>
      <c r="G338" s="327"/>
      <c r="H338" s="327"/>
      <c r="I338" s="327"/>
      <c r="J338" s="327"/>
      <c r="K338" s="327"/>
      <c r="L338" s="327"/>
      <c r="M338" s="327"/>
      <c r="N338" s="327"/>
      <c r="O338" s="327"/>
      <c r="P338" s="327"/>
      <c r="Q338" s="327"/>
      <c r="R338" s="328"/>
      <c r="S338" s="327"/>
      <c r="T338" s="327"/>
      <c r="U338" s="327"/>
      <c r="V338" s="327"/>
      <c r="W338" s="327"/>
      <c r="X338" s="327"/>
    </row>
    <row r="339" spans="1:24" s="279" customFormat="1">
      <c r="A339" s="326"/>
      <c r="B339" s="328"/>
      <c r="C339" s="328"/>
      <c r="D339" s="328"/>
      <c r="E339" s="328"/>
      <c r="F339" s="327"/>
      <c r="G339" s="327"/>
      <c r="H339" s="327"/>
      <c r="I339" s="327"/>
      <c r="J339" s="327"/>
      <c r="K339" s="327"/>
      <c r="L339" s="327"/>
      <c r="M339" s="327"/>
      <c r="N339" s="327"/>
      <c r="O339" s="327"/>
      <c r="P339" s="327"/>
      <c r="Q339" s="327"/>
      <c r="R339" s="328"/>
      <c r="S339" s="327"/>
      <c r="T339" s="327"/>
      <c r="U339" s="327"/>
      <c r="V339" s="327"/>
      <c r="W339" s="327"/>
      <c r="X339" s="327"/>
    </row>
    <row r="340" spans="1:24" s="279" customFormat="1">
      <c r="A340" s="326"/>
      <c r="B340" s="328"/>
      <c r="C340" s="328"/>
      <c r="D340" s="328"/>
      <c r="E340" s="328"/>
      <c r="F340" s="327"/>
      <c r="G340" s="327"/>
      <c r="H340" s="327"/>
      <c r="I340" s="327"/>
      <c r="J340" s="327"/>
      <c r="K340" s="327"/>
      <c r="L340" s="327"/>
      <c r="M340" s="327"/>
      <c r="N340" s="327"/>
      <c r="O340" s="327"/>
      <c r="P340" s="327"/>
      <c r="Q340" s="327"/>
      <c r="R340" s="328"/>
      <c r="S340" s="327"/>
      <c r="T340" s="327"/>
      <c r="U340" s="327"/>
      <c r="V340" s="327"/>
      <c r="W340" s="327"/>
      <c r="X340" s="327"/>
    </row>
    <row r="341" spans="1:24" s="279" customFormat="1">
      <c r="A341" s="326"/>
      <c r="B341" s="328"/>
      <c r="C341" s="328"/>
      <c r="D341" s="328"/>
      <c r="E341" s="328"/>
      <c r="F341" s="327"/>
      <c r="G341" s="327"/>
      <c r="H341" s="327"/>
      <c r="I341" s="327"/>
      <c r="J341" s="327"/>
      <c r="K341" s="327"/>
      <c r="L341" s="327"/>
      <c r="M341" s="327"/>
      <c r="N341" s="327"/>
      <c r="O341" s="327"/>
      <c r="P341" s="327"/>
      <c r="Q341" s="327"/>
      <c r="R341" s="328"/>
      <c r="S341" s="327"/>
      <c r="T341" s="327"/>
      <c r="U341" s="327"/>
      <c r="V341" s="327"/>
      <c r="W341" s="327"/>
      <c r="X341" s="327"/>
    </row>
    <row r="342" spans="1:24" s="279" customFormat="1">
      <c r="A342" s="326"/>
      <c r="B342" s="328"/>
      <c r="C342" s="328"/>
      <c r="D342" s="328"/>
      <c r="E342" s="328"/>
      <c r="F342" s="327"/>
      <c r="G342" s="327"/>
      <c r="H342" s="327"/>
      <c r="I342" s="327"/>
      <c r="J342" s="327"/>
      <c r="K342" s="327"/>
      <c r="L342" s="327"/>
      <c r="M342" s="327"/>
      <c r="N342" s="327"/>
      <c r="O342" s="327"/>
      <c r="P342" s="327"/>
      <c r="Q342" s="327"/>
      <c r="R342" s="328"/>
      <c r="S342" s="327"/>
      <c r="T342" s="327"/>
      <c r="U342" s="327"/>
      <c r="V342" s="327"/>
      <c r="W342" s="327"/>
      <c r="X342" s="327"/>
    </row>
    <row r="343" spans="1:24" s="279" customFormat="1">
      <c r="A343" s="326"/>
      <c r="B343" s="328"/>
      <c r="C343" s="328"/>
      <c r="D343" s="328"/>
      <c r="E343" s="328"/>
      <c r="F343" s="327"/>
      <c r="G343" s="327"/>
      <c r="H343" s="327"/>
      <c r="I343" s="327"/>
      <c r="J343" s="327"/>
      <c r="K343" s="327"/>
      <c r="L343" s="327"/>
      <c r="M343" s="327"/>
      <c r="N343" s="327"/>
      <c r="O343" s="327"/>
      <c r="P343" s="327"/>
      <c r="Q343" s="327"/>
      <c r="R343" s="328"/>
      <c r="S343" s="327"/>
      <c r="T343" s="327"/>
      <c r="U343" s="327"/>
      <c r="V343" s="327"/>
      <c r="W343" s="327"/>
      <c r="X343" s="327"/>
    </row>
    <row r="344" spans="1:24" s="279" customFormat="1">
      <c r="A344" s="326"/>
      <c r="B344" s="328"/>
      <c r="C344" s="328"/>
      <c r="D344" s="328"/>
      <c r="E344" s="328"/>
      <c r="F344" s="327"/>
      <c r="G344" s="327"/>
      <c r="H344" s="327"/>
      <c r="I344" s="327"/>
      <c r="J344" s="327"/>
      <c r="K344" s="327"/>
      <c r="L344" s="327"/>
      <c r="M344" s="327"/>
      <c r="N344" s="327"/>
      <c r="O344" s="327"/>
      <c r="P344" s="327"/>
      <c r="Q344" s="327"/>
      <c r="R344" s="328"/>
      <c r="S344" s="327"/>
      <c r="T344" s="327"/>
      <c r="U344" s="327"/>
      <c r="V344" s="327"/>
      <c r="W344" s="327"/>
      <c r="X344" s="327"/>
    </row>
    <row r="345" spans="1:24" s="279" customFormat="1">
      <c r="A345" s="326"/>
      <c r="B345" s="328"/>
      <c r="C345" s="328"/>
      <c r="D345" s="328"/>
      <c r="E345" s="328"/>
      <c r="F345" s="327"/>
      <c r="G345" s="327"/>
      <c r="H345" s="327"/>
      <c r="I345" s="327"/>
      <c r="J345" s="327"/>
      <c r="K345" s="327"/>
      <c r="L345" s="327"/>
      <c r="M345" s="327"/>
      <c r="N345" s="327"/>
      <c r="O345" s="327"/>
      <c r="P345" s="327"/>
      <c r="Q345" s="327"/>
      <c r="R345" s="328"/>
      <c r="S345" s="327"/>
      <c r="T345" s="327"/>
      <c r="U345" s="327"/>
      <c r="V345" s="327"/>
      <c r="W345" s="327"/>
      <c r="X345" s="327"/>
    </row>
    <row r="346" spans="1:24" s="279" customFormat="1">
      <c r="A346" s="326"/>
      <c r="B346" s="328"/>
      <c r="C346" s="328"/>
      <c r="D346" s="328"/>
      <c r="E346" s="328"/>
      <c r="F346" s="327"/>
      <c r="G346" s="327"/>
      <c r="H346" s="327"/>
      <c r="I346" s="327"/>
      <c r="J346" s="327"/>
      <c r="K346" s="327"/>
      <c r="L346" s="327"/>
      <c r="M346" s="327"/>
      <c r="N346" s="327"/>
      <c r="O346" s="327"/>
      <c r="P346" s="327"/>
      <c r="Q346" s="327"/>
      <c r="R346" s="328"/>
      <c r="S346" s="327"/>
      <c r="T346" s="327"/>
      <c r="U346" s="327"/>
      <c r="V346" s="327"/>
      <c r="W346" s="327"/>
      <c r="X346" s="327"/>
    </row>
    <row r="347" spans="1:24" s="279" customFormat="1">
      <c r="A347" s="326"/>
      <c r="B347" s="328"/>
      <c r="C347" s="328"/>
      <c r="D347" s="328"/>
      <c r="E347" s="328"/>
      <c r="F347" s="327"/>
      <c r="G347" s="327"/>
      <c r="H347" s="327"/>
      <c r="I347" s="327"/>
      <c r="J347" s="327"/>
      <c r="K347" s="327"/>
      <c r="L347" s="327"/>
      <c r="M347" s="327"/>
      <c r="N347" s="327"/>
      <c r="O347" s="327"/>
      <c r="P347" s="327"/>
      <c r="Q347" s="327"/>
      <c r="R347" s="328"/>
      <c r="S347" s="327"/>
      <c r="T347" s="327"/>
      <c r="U347" s="327"/>
      <c r="V347" s="327"/>
      <c r="W347" s="327"/>
      <c r="X347" s="327"/>
    </row>
    <row r="348" spans="1:24" s="279" customFormat="1">
      <c r="A348" s="326"/>
      <c r="B348" s="328"/>
      <c r="C348" s="328"/>
      <c r="D348" s="328"/>
      <c r="E348" s="328"/>
      <c r="F348" s="327"/>
      <c r="G348" s="327"/>
      <c r="H348" s="327"/>
      <c r="I348" s="327"/>
      <c r="J348" s="327"/>
      <c r="K348" s="327"/>
      <c r="L348" s="327"/>
      <c r="M348" s="327"/>
      <c r="N348" s="327"/>
      <c r="O348" s="327"/>
      <c r="P348" s="327"/>
      <c r="Q348" s="327"/>
      <c r="R348" s="328"/>
      <c r="S348" s="327"/>
      <c r="T348" s="327"/>
      <c r="U348" s="327"/>
      <c r="V348" s="327"/>
      <c r="W348" s="327"/>
      <c r="X348" s="327"/>
    </row>
    <row r="349" spans="1:24" s="279" customFormat="1">
      <c r="A349" s="326"/>
      <c r="B349" s="328"/>
      <c r="C349" s="328"/>
      <c r="D349" s="328"/>
      <c r="E349" s="328"/>
      <c r="F349" s="327"/>
      <c r="G349" s="327"/>
      <c r="H349" s="327"/>
      <c r="I349" s="327"/>
      <c r="J349" s="327"/>
      <c r="K349" s="327"/>
      <c r="L349" s="327"/>
      <c r="M349" s="327"/>
      <c r="N349" s="327"/>
      <c r="O349" s="327"/>
      <c r="P349" s="327"/>
      <c r="Q349" s="327"/>
      <c r="R349" s="328"/>
      <c r="S349" s="327"/>
      <c r="T349" s="327"/>
      <c r="U349" s="327"/>
      <c r="V349" s="327"/>
      <c r="W349" s="327"/>
      <c r="X349" s="327"/>
    </row>
    <row r="350" spans="1:24" s="279" customFormat="1">
      <c r="A350" s="326"/>
      <c r="B350" s="328"/>
      <c r="C350" s="328"/>
      <c r="D350" s="328"/>
      <c r="E350" s="328"/>
      <c r="F350" s="327"/>
      <c r="G350" s="327"/>
      <c r="H350" s="327"/>
      <c r="I350" s="327"/>
      <c r="J350" s="327"/>
      <c r="K350" s="327"/>
      <c r="L350" s="327"/>
      <c r="M350" s="327"/>
      <c r="N350" s="327"/>
      <c r="O350" s="327"/>
      <c r="P350" s="327"/>
      <c r="Q350" s="327"/>
      <c r="R350" s="328"/>
      <c r="S350" s="327"/>
      <c r="T350" s="327"/>
      <c r="U350" s="327"/>
      <c r="V350" s="327"/>
      <c r="W350" s="327"/>
      <c r="X350" s="327"/>
    </row>
    <row r="351" spans="1:24" s="279" customFormat="1">
      <c r="A351" s="326"/>
      <c r="B351" s="328"/>
      <c r="C351" s="328"/>
      <c r="D351" s="328"/>
      <c r="E351" s="328"/>
      <c r="F351" s="327"/>
      <c r="G351" s="327"/>
      <c r="H351" s="327"/>
      <c r="I351" s="327"/>
      <c r="J351" s="327"/>
      <c r="K351" s="327"/>
      <c r="L351" s="327"/>
      <c r="M351" s="327"/>
      <c r="N351" s="327"/>
      <c r="O351" s="327"/>
      <c r="P351" s="327"/>
      <c r="Q351" s="327"/>
      <c r="R351" s="328"/>
      <c r="S351" s="327"/>
      <c r="T351" s="327"/>
      <c r="U351" s="327"/>
      <c r="V351" s="327"/>
      <c r="W351" s="327"/>
      <c r="X351" s="327"/>
    </row>
    <row r="352" spans="1:24" s="279" customFormat="1">
      <c r="A352" s="326"/>
      <c r="B352" s="328"/>
      <c r="C352" s="328"/>
      <c r="D352" s="328"/>
      <c r="E352" s="328"/>
      <c r="F352" s="327"/>
      <c r="G352" s="327"/>
      <c r="H352" s="327"/>
      <c r="I352" s="327"/>
      <c r="J352" s="327"/>
      <c r="K352" s="327"/>
      <c r="L352" s="327"/>
      <c r="M352" s="327"/>
      <c r="N352" s="327"/>
      <c r="O352" s="327"/>
      <c r="P352" s="327"/>
      <c r="Q352" s="327"/>
      <c r="R352" s="328"/>
      <c r="S352" s="327"/>
      <c r="T352" s="327"/>
      <c r="U352" s="327"/>
      <c r="V352" s="327"/>
      <c r="W352" s="327"/>
      <c r="X352" s="327"/>
    </row>
    <row r="353" spans="1:24" s="279" customFormat="1">
      <c r="A353" s="326"/>
      <c r="B353" s="328"/>
      <c r="C353" s="328"/>
      <c r="D353" s="328"/>
      <c r="E353" s="328"/>
      <c r="F353" s="327"/>
      <c r="G353" s="327"/>
      <c r="H353" s="327"/>
      <c r="I353" s="327"/>
      <c r="J353" s="327"/>
      <c r="K353" s="327"/>
      <c r="L353" s="327"/>
      <c r="M353" s="327"/>
      <c r="N353" s="327"/>
      <c r="O353" s="327"/>
      <c r="P353" s="327"/>
      <c r="Q353" s="327"/>
      <c r="R353" s="328"/>
      <c r="S353" s="327"/>
      <c r="T353" s="327"/>
      <c r="U353" s="327"/>
      <c r="V353" s="327"/>
      <c r="W353" s="327"/>
      <c r="X353" s="327"/>
    </row>
    <row r="354" spans="1:24" s="279" customFormat="1">
      <c r="A354" s="326"/>
      <c r="B354" s="328"/>
      <c r="C354" s="328"/>
      <c r="D354" s="328"/>
      <c r="E354" s="328"/>
      <c r="F354" s="327"/>
      <c r="G354" s="327"/>
      <c r="H354" s="327"/>
      <c r="I354" s="327"/>
      <c r="J354" s="327"/>
      <c r="K354" s="327"/>
      <c r="L354" s="327"/>
      <c r="M354" s="327"/>
      <c r="N354" s="327"/>
      <c r="O354" s="327"/>
      <c r="P354" s="327"/>
      <c r="Q354" s="327"/>
      <c r="R354" s="328"/>
      <c r="S354" s="327"/>
      <c r="T354" s="327"/>
      <c r="U354" s="327"/>
      <c r="V354" s="327"/>
      <c r="W354" s="327"/>
      <c r="X354" s="327"/>
    </row>
    <row r="355" spans="1:24" s="279" customFormat="1">
      <c r="A355" s="326"/>
      <c r="B355" s="328"/>
      <c r="C355" s="328"/>
      <c r="D355" s="328"/>
      <c r="E355" s="328"/>
      <c r="F355" s="327"/>
      <c r="G355" s="327"/>
      <c r="H355" s="327"/>
      <c r="I355" s="327"/>
      <c r="J355" s="327"/>
      <c r="K355" s="327"/>
      <c r="L355" s="327"/>
      <c r="M355" s="327"/>
      <c r="N355" s="327"/>
      <c r="O355" s="327"/>
      <c r="P355" s="327"/>
      <c r="Q355" s="327"/>
      <c r="R355" s="328"/>
      <c r="S355" s="327"/>
      <c r="T355" s="327"/>
      <c r="U355" s="327"/>
      <c r="V355" s="327"/>
      <c r="W355" s="327"/>
      <c r="X355" s="327"/>
    </row>
    <row r="356" spans="1:24" s="279" customFormat="1">
      <c r="A356" s="326"/>
      <c r="B356" s="328"/>
      <c r="C356" s="328"/>
      <c r="D356" s="328"/>
      <c r="E356" s="328"/>
      <c r="F356" s="327"/>
      <c r="G356" s="327"/>
      <c r="H356" s="327"/>
      <c r="I356" s="327"/>
      <c r="J356" s="327"/>
      <c r="K356" s="327"/>
      <c r="L356" s="327"/>
      <c r="M356" s="327"/>
      <c r="N356" s="327"/>
      <c r="O356" s="327"/>
      <c r="P356" s="327"/>
      <c r="Q356" s="327"/>
      <c r="R356" s="328"/>
      <c r="S356" s="327"/>
      <c r="T356" s="327"/>
      <c r="U356" s="327"/>
      <c r="V356" s="327"/>
      <c r="W356" s="327"/>
      <c r="X356" s="327"/>
    </row>
    <row r="357" spans="1:24" s="279" customFormat="1">
      <c r="A357" s="326"/>
      <c r="B357" s="328"/>
      <c r="C357" s="328"/>
      <c r="D357" s="328"/>
      <c r="E357" s="328"/>
      <c r="F357" s="327"/>
      <c r="G357" s="327"/>
      <c r="H357" s="327"/>
      <c r="I357" s="327"/>
      <c r="J357" s="327"/>
      <c r="K357" s="327"/>
      <c r="L357" s="327"/>
      <c r="M357" s="327"/>
      <c r="N357" s="327"/>
      <c r="O357" s="327"/>
      <c r="P357" s="327"/>
      <c r="Q357" s="327"/>
      <c r="R357" s="328"/>
      <c r="S357" s="327"/>
      <c r="T357" s="327"/>
      <c r="U357" s="327"/>
      <c r="V357" s="327"/>
      <c r="W357" s="327"/>
      <c r="X357" s="327"/>
    </row>
    <row r="358" spans="1:24" s="279" customFormat="1">
      <c r="A358" s="326"/>
      <c r="B358" s="328"/>
      <c r="C358" s="328"/>
      <c r="D358" s="328"/>
      <c r="E358" s="328"/>
      <c r="F358" s="327"/>
      <c r="G358" s="327"/>
      <c r="H358" s="327"/>
      <c r="I358" s="327"/>
      <c r="J358" s="327"/>
      <c r="K358" s="327"/>
      <c r="L358" s="327"/>
      <c r="M358" s="327"/>
      <c r="N358" s="327"/>
      <c r="O358" s="327"/>
      <c r="P358" s="327"/>
      <c r="Q358" s="327"/>
      <c r="R358" s="328"/>
      <c r="S358" s="327"/>
      <c r="T358" s="327"/>
      <c r="U358" s="327"/>
      <c r="V358" s="327"/>
      <c r="W358" s="327"/>
      <c r="X358" s="327"/>
    </row>
    <row r="359" spans="1:24" s="279" customFormat="1">
      <c r="A359" s="326"/>
      <c r="B359" s="328"/>
      <c r="C359" s="328"/>
      <c r="D359" s="328"/>
      <c r="E359" s="328"/>
      <c r="F359" s="327"/>
      <c r="G359" s="327"/>
      <c r="H359" s="327"/>
      <c r="I359" s="327"/>
      <c r="J359" s="327"/>
      <c r="K359" s="327"/>
      <c r="L359" s="327"/>
      <c r="M359" s="327"/>
      <c r="N359" s="327"/>
      <c r="O359" s="327"/>
      <c r="P359" s="327"/>
      <c r="Q359" s="327"/>
      <c r="R359" s="328"/>
      <c r="S359" s="327"/>
      <c r="T359" s="327"/>
      <c r="U359" s="327"/>
      <c r="V359" s="327"/>
      <c r="W359" s="327"/>
      <c r="X359" s="327"/>
    </row>
    <row r="360" spans="1:24" s="279" customFormat="1">
      <c r="A360" s="326"/>
      <c r="B360" s="328"/>
      <c r="C360" s="328"/>
      <c r="D360" s="328"/>
      <c r="E360" s="328"/>
      <c r="F360" s="327"/>
      <c r="G360" s="327"/>
      <c r="H360" s="327"/>
      <c r="I360" s="327"/>
      <c r="J360" s="327"/>
      <c r="K360" s="327"/>
      <c r="L360" s="327"/>
      <c r="M360" s="327"/>
      <c r="N360" s="327"/>
      <c r="O360" s="327"/>
      <c r="P360" s="327"/>
      <c r="Q360" s="327"/>
      <c r="R360" s="328"/>
      <c r="S360" s="327"/>
      <c r="T360" s="327"/>
      <c r="U360" s="327"/>
      <c r="V360" s="327"/>
      <c r="W360" s="327"/>
      <c r="X360" s="327"/>
    </row>
    <row r="361" spans="1:24" s="279" customFormat="1">
      <c r="A361" s="326"/>
      <c r="B361" s="328"/>
      <c r="C361" s="328"/>
      <c r="D361" s="328"/>
      <c r="E361" s="328"/>
      <c r="F361" s="327"/>
      <c r="G361" s="327"/>
      <c r="H361" s="327"/>
      <c r="I361" s="327"/>
      <c r="J361" s="327"/>
      <c r="K361" s="327"/>
      <c r="L361" s="327"/>
      <c r="M361" s="327"/>
      <c r="N361" s="327"/>
      <c r="O361" s="327"/>
      <c r="P361" s="327"/>
      <c r="Q361" s="327"/>
      <c r="R361" s="328"/>
      <c r="S361" s="327"/>
      <c r="T361" s="327"/>
      <c r="U361" s="327"/>
      <c r="V361" s="327"/>
      <c r="W361" s="327"/>
      <c r="X361" s="327"/>
    </row>
    <row r="362" spans="1:24" s="279" customFormat="1">
      <c r="A362" s="326"/>
      <c r="B362" s="328"/>
      <c r="C362" s="328"/>
      <c r="D362" s="328"/>
      <c r="E362" s="328"/>
      <c r="F362" s="327"/>
      <c r="G362" s="327"/>
      <c r="H362" s="327"/>
      <c r="I362" s="327"/>
      <c r="J362" s="327"/>
      <c r="K362" s="327"/>
      <c r="L362" s="327"/>
      <c r="M362" s="327"/>
      <c r="N362" s="327"/>
      <c r="O362" s="327"/>
      <c r="P362" s="327"/>
      <c r="Q362" s="327"/>
      <c r="R362" s="328"/>
      <c r="S362" s="327"/>
      <c r="T362" s="327"/>
      <c r="U362" s="327"/>
      <c r="V362" s="327"/>
      <c r="W362" s="327"/>
      <c r="X362" s="327"/>
    </row>
    <row r="363" spans="1:24" s="279" customFormat="1">
      <c r="A363" s="326"/>
      <c r="B363" s="328"/>
      <c r="C363" s="328"/>
      <c r="D363" s="328"/>
      <c r="E363" s="328"/>
      <c r="F363" s="327"/>
      <c r="G363" s="327"/>
      <c r="H363" s="327"/>
      <c r="I363" s="327"/>
      <c r="J363" s="327"/>
      <c r="K363" s="327"/>
      <c r="L363" s="327"/>
      <c r="M363" s="327"/>
      <c r="N363" s="327"/>
      <c r="O363" s="327"/>
      <c r="P363" s="327"/>
      <c r="Q363" s="327"/>
      <c r="R363" s="328"/>
      <c r="S363" s="327"/>
      <c r="T363" s="327"/>
      <c r="U363" s="327"/>
      <c r="V363" s="327"/>
      <c r="W363" s="327"/>
      <c r="X363" s="327"/>
    </row>
    <row r="364" spans="1:24" s="279" customFormat="1">
      <c r="A364" s="326"/>
      <c r="B364" s="328"/>
      <c r="C364" s="328"/>
      <c r="D364" s="328"/>
      <c r="E364" s="328"/>
      <c r="F364" s="327"/>
      <c r="G364" s="327"/>
      <c r="H364" s="327"/>
      <c r="I364" s="327"/>
      <c r="J364" s="327"/>
      <c r="K364" s="327"/>
      <c r="L364" s="327"/>
      <c r="M364" s="327"/>
      <c r="N364" s="327"/>
      <c r="O364" s="327"/>
      <c r="P364" s="327"/>
      <c r="Q364" s="327"/>
      <c r="R364" s="328"/>
      <c r="S364" s="327"/>
      <c r="T364" s="327"/>
      <c r="U364" s="327"/>
      <c r="V364" s="327"/>
      <c r="W364" s="327"/>
      <c r="X364" s="327"/>
    </row>
    <row r="365" spans="1:24" s="279" customFormat="1">
      <c r="A365" s="326"/>
      <c r="B365" s="328"/>
      <c r="C365" s="328"/>
      <c r="D365" s="328"/>
      <c r="E365" s="328"/>
      <c r="F365" s="327"/>
      <c r="G365" s="327"/>
      <c r="H365" s="327"/>
      <c r="I365" s="327"/>
      <c r="J365" s="327"/>
      <c r="K365" s="327"/>
      <c r="L365" s="327"/>
      <c r="M365" s="327"/>
      <c r="N365" s="327"/>
      <c r="O365" s="327"/>
      <c r="P365" s="327"/>
      <c r="Q365" s="327"/>
      <c r="R365" s="328"/>
      <c r="S365" s="327"/>
      <c r="T365" s="327"/>
      <c r="U365" s="327"/>
      <c r="V365" s="327"/>
      <c r="W365" s="327"/>
      <c r="X365" s="327"/>
    </row>
    <row r="366" spans="1:24" s="279" customFormat="1">
      <c r="A366" s="326"/>
      <c r="B366" s="328"/>
      <c r="C366" s="328"/>
      <c r="D366" s="328"/>
      <c r="E366" s="328"/>
      <c r="F366" s="327"/>
      <c r="G366" s="327"/>
      <c r="H366" s="327"/>
      <c r="I366" s="327"/>
      <c r="J366" s="327"/>
      <c r="K366" s="327"/>
      <c r="L366" s="327"/>
      <c r="M366" s="327"/>
      <c r="N366" s="327"/>
      <c r="O366" s="327"/>
      <c r="P366" s="327"/>
      <c r="Q366" s="327"/>
      <c r="R366" s="328"/>
      <c r="S366" s="327"/>
      <c r="T366" s="327"/>
      <c r="U366" s="327"/>
      <c r="V366" s="327"/>
      <c r="W366" s="327"/>
      <c r="X366" s="327"/>
    </row>
    <row r="367" spans="1:24" s="279" customFormat="1">
      <c r="A367" s="326"/>
      <c r="B367" s="328"/>
      <c r="C367" s="328"/>
      <c r="D367" s="328"/>
      <c r="E367" s="328"/>
      <c r="F367" s="327"/>
      <c r="G367" s="327"/>
      <c r="H367" s="327"/>
      <c r="I367" s="327"/>
      <c r="J367" s="327"/>
      <c r="K367" s="327"/>
      <c r="L367" s="327"/>
      <c r="M367" s="327"/>
      <c r="N367" s="327"/>
      <c r="O367" s="327"/>
      <c r="P367" s="327"/>
      <c r="Q367" s="327"/>
      <c r="R367" s="328"/>
      <c r="S367" s="327"/>
      <c r="T367" s="327"/>
      <c r="U367" s="327"/>
      <c r="V367" s="327"/>
      <c r="W367" s="327"/>
      <c r="X367" s="327"/>
    </row>
    <row r="368" spans="1:24" s="279" customFormat="1">
      <c r="A368" s="326"/>
      <c r="B368" s="328"/>
      <c r="C368" s="328"/>
      <c r="D368" s="328"/>
      <c r="E368" s="328"/>
      <c r="F368" s="327"/>
      <c r="G368" s="327"/>
      <c r="H368" s="327"/>
      <c r="I368" s="327"/>
      <c r="J368" s="327"/>
      <c r="K368" s="327"/>
      <c r="L368" s="327"/>
      <c r="M368" s="327"/>
      <c r="N368" s="327"/>
      <c r="O368" s="327"/>
      <c r="P368" s="327"/>
      <c r="Q368" s="327"/>
      <c r="R368" s="328"/>
      <c r="S368" s="327"/>
      <c r="T368" s="327"/>
      <c r="U368" s="327"/>
      <c r="V368" s="327"/>
      <c r="W368" s="327"/>
      <c r="X368" s="327"/>
    </row>
    <row r="369" spans="1:24" s="279" customFormat="1">
      <c r="A369" s="326"/>
      <c r="B369" s="328"/>
      <c r="C369" s="328"/>
      <c r="D369" s="328"/>
      <c r="E369" s="328"/>
      <c r="F369" s="327"/>
      <c r="G369" s="327"/>
      <c r="H369" s="327"/>
      <c r="I369" s="327"/>
      <c r="J369" s="327"/>
      <c r="K369" s="327"/>
      <c r="L369" s="327"/>
      <c r="M369" s="327"/>
      <c r="N369" s="327"/>
      <c r="O369" s="327"/>
      <c r="P369" s="327"/>
      <c r="Q369" s="327"/>
      <c r="R369" s="328"/>
      <c r="S369" s="327"/>
      <c r="T369" s="327"/>
      <c r="U369" s="327"/>
      <c r="V369" s="327"/>
      <c r="W369" s="327"/>
      <c r="X369" s="327"/>
    </row>
    <row r="370" spans="1:24" s="279" customFormat="1">
      <c r="A370" s="326"/>
      <c r="B370" s="328"/>
      <c r="C370" s="328"/>
      <c r="D370" s="328"/>
      <c r="E370" s="328"/>
      <c r="F370" s="327"/>
      <c r="G370" s="327"/>
      <c r="H370" s="327"/>
      <c r="I370" s="327"/>
      <c r="J370" s="327"/>
      <c r="K370" s="327"/>
      <c r="L370" s="327"/>
      <c r="M370" s="327"/>
      <c r="N370" s="327"/>
      <c r="O370" s="327"/>
      <c r="P370" s="327"/>
      <c r="Q370" s="327"/>
      <c r="R370" s="328"/>
      <c r="S370" s="327"/>
      <c r="T370" s="327"/>
      <c r="U370" s="327"/>
      <c r="V370" s="327"/>
      <c r="W370" s="327"/>
      <c r="X370" s="327"/>
    </row>
    <row r="371" spans="1:24" s="279" customFormat="1">
      <c r="A371" s="326"/>
      <c r="B371" s="328"/>
      <c r="C371" s="328"/>
      <c r="D371" s="328"/>
      <c r="E371" s="328"/>
      <c r="F371" s="327"/>
      <c r="G371" s="327"/>
      <c r="H371" s="327"/>
      <c r="I371" s="327"/>
      <c r="J371" s="327"/>
      <c r="K371" s="327"/>
      <c r="L371" s="327"/>
      <c r="M371" s="327"/>
      <c r="N371" s="327"/>
      <c r="O371" s="327"/>
      <c r="P371" s="327"/>
      <c r="Q371" s="327"/>
      <c r="R371" s="328"/>
      <c r="S371" s="327"/>
      <c r="T371" s="327"/>
      <c r="U371" s="327"/>
      <c r="V371" s="327"/>
      <c r="W371" s="327"/>
      <c r="X371" s="327"/>
    </row>
    <row r="372" spans="1:24" s="279" customFormat="1">
      <c r="A372" s="326"/>
      <c r="B372" s="328"/>
      <c r="C372" s="328"/>
      <c r="D372" s="328"/>
      <c r="E372" s="328"/>
      <c r="F372" s="327"/>
      <c r="G372" s="327"/>
      <c r="H372" s="327"/>
      <c r="I372" s="327"/>
      <c r="J372" s="327"/>
      <c r="K372" s="327"/>
      <c r="L372" s="327"/>
      <c r="M372" s="327"/>
      <c r="N372" s="327"/>
      <c r="O372" s="327"/>
      <c r="P372" s="327"/>
      <c r="Q372" s="327"/>
      <c r="R372" s="328"/>
      <c r="S372" s="327"/>
      <c r="T372" s="327"/>
      <c r="U372" s="327"/>
      <c r="V372" s="327"/>
      <c r="W372" s="327"/>
      <c r="X372" s="327"/>
    </row>
    <row r="373" spans="1:24" s="279" customFormat="1">
      <c r="A373" s="326"/>
      <c r="B373" s="328"/>
      <c r="C373" s="328"/>
      <c r="D373" s="328"/>
      <c r="E373" s="328"/>
      <c r="F373" s="327"/>
      <c r="G373" s="327"/>
      <c r="H373" s="327"/>
      <c r="I373" s="327"/>
      <c r="J373" s="327"/>
      <c r="K373" s="327"/>
      <c r="L373" s="327"/>
      <c r="M373" s="327"/>
      <c r="N373" s="327"/>
      <c r="O373" s="327"/>
      <c r="P373" s="327"/>
      <c r="Q373" s="327"/>
      <c r="R373" s="328"/>
      <c r="S373" s="327"/>
      <c r="T373" s="327"/>
      <c r="U373" s="327"/>
      <c r="V373" s="327"/>
      <c r="W373" s="327"/>
      <c r="X373" s="327"/>
    </row>
    <row r="374" spans="1:24" s="279" customFormat="1">
      <c r="A374" s="326"/>
      <c r="B374" s="328"/>
      <c r="C374" s="328"/>
      <c r="D374" s="328"/>
      <c r="E374" s="328"/>
      <c r="F374" s="327"/>
      <c r="G374" s="327"/>
      <c r="H374" s="327"/>
      <c r="I374" s="327"/>
      <c r="J374" s="327"/>
      <c r="K374" s="327"/>
      <c r="L374" s="327"/>
      <c r="M374" s="327"/>
      <c r="N374" s="327"/>
      <c r="O374" s="327"/>
      <c r="P374" s="327"/>
      <c r="Q374" s="327"/>
      <c r="R374" s="328"/>
      <c r="S374" s="327"/>
      <c r="T374" s="327"/>
      <c r="U374" s="327"/>
      <c r="V374" s="327"/>
      <c r="W374" s="327"/>
      <c r="X374" s="327"/>
    </row>
    <row r="375" spans="1:24" s="279" customFormat="1">
      <c r="A375" s="326"/>
      <c r="B375" s="328"/>
      <c r="C375" s="328"/>
      <c r="D375" s="328"/>
      <c r="E375" s="328"/>
      <c r="F375" s="327"/>
      <c r="G375" s="327"/>
      <c r="H375" s="327"/>
      <c r="I375" s="327"/>
      <c r="J375" s="327"/>
      <c r="K375" s="327"/>
      <c r="L375" s="327"/>
      <c r="M375" s="327"/>
      <c r="N375" s="327"/>
      <c r="O375" s="327"/>
      <c r="P375" s="327"/>
      <c r="Q375" s="327"/>
      <c r="R375" s="328"/>
      <c r="S375" s="327"/>
      <c r="T375" s="327"/>
      <c r="U375" s="327"/>
      <c r="V375" s="327"/>
      <c r="W375" s="327"/>
      <c r="X375" s="327"/>
    </row>
    <row r="376" spans="1:24" s="279" customFormat="1">
      <c r="A376" s="326"/>
      <c r="B376" s="328"/>
      <c r="C376" s="328"/>
      <c r="D376" s="328"/>
      <c r="E376" s="328"/>
      <c r="F376" s="327"/>
      <c r="G376" s="327"/>
      <c r="H376" s="327"/>
      <c r="I376" s="327"/>
      <c r="J376" s="327"/>
      <c r="K376" s="327"/>
      <c r="L376" s="327"/>
      <c r="M376" s="327"/>
      <c r="N376" s="327"/>
      <c r="O376" s="327"/>
      <c r="P376" s="327"/>
      <c r="Q376" s="327"/>
      <c r="R376" s="328"/>
      <c r="S376" s="327"/>
      <c r="T376" s="327"/>
      <c r="U376" s="327"/>
      <c r="V376" s="327"/>
      <c r="W376" s="327"/>
      <c r="X376" s="327"/>
    </row>
    <row r="377" spans="1:24" s="279" customFormat="1">
      <c r="A377" s="326"/>
      <c r="B377" s="328"/>
      <c r="C377" s="328"/>
      <c r="D377" s="328"/>
      <c r="E377" s="328"/>
      <c r="F377" s="327"/>
      <c r="G377" s="327"/>
      <c r="H377" s="327"/>
      <c r="I377" s="327"/>
      <c r="J377" s="327"/>
      <c r="K377" s="327"/>
      <c r="L377" s="327"/>
      <c r="M377" s="327"/>
      <c r="N377" s="327"/>
      <c r="O377" s="327"/>
      <c r="P377" s="327"/>
      <c r="Q377" s="327"/>
      <c r="R377" s="328"/>
      <c r="S377" s="327"/>
      <c r="T377" s="327"/>
      <c r="U377" s="327"/>
      <c r="V377" s="327"/>
      <c r="W377" s="327"/>
      <c r="X377" s="327"/>
    </row>
    <row r="378" spans="1:24" s="279" customFormat="1">
      <c r="A378" s="326"/>
      <c r="B378" s="328"/>
      <c r="C378" s="328"/>
      <c r="D378" s="328"/>
      <c r="E378" s="328"/>
      <c r="F378" s="327"/>
      <c r="G378" s="327"/>
      <c r="H378" s="327"/>
      <c r="I378" s="327"/>
      <c r="J378" s="327"/>
      <c r="K378" s="327"/>
      <c r="L378" s="327"/>
      <c r="M378" s="327"/>
      <c r="N378" s="327"/>
      <c r="O378" s="327"/>
      <c r="P378" s="327"/>
      <c r="Q378" s="327"/>
      <c r="R378" s="328"/>
      <c r="S378" s="327"/>
      <c r="T378" s="327"/>
      <c r="U378" s="327"/>
      <c r="V378" s="327"/>
      <c r="W378" s="327"/>
      <c r="X378" s="327"/>
    </row>
    <row r="379" spans="1:24" s="279" customFormat="1">
      <c r="A379" s="326"/>
      <c r="B379" s="328"/>
      <c r="C379" s="328"/>
      <c r="D379" s="328"/>
      <c r="E379" s="328"/>
      <c r="F379" s="327"/>
      <c r="G379" s="327"/>
      <c r="H379" s="327"/>
      <c r="I379" s="327"/>
      <c r="J379" s="327"/>
      <c r="K379" s="327"/>
      <c r="L379" s="327"/>
      <c r="M379" s="327"/>
      <c r="N379" s="327"/>
      <c r="O379" s="327"/>
      <c r="P379" s="327"/>
      <c r="Q379" s="327"/>
      <c r="R379" s="328"/>
      <c r="S379" s="327"/>
      <c r="T379" s="327"/>
      <c r="U379" s="327"/>
      <c r="V379" s="327"/>
      <c r="W379" s="327"/>
      <c r="X379" s="327"/>
    </row>
    <row r="380" spans="1:24" s="279" customFormat="1">
      <c r="A380" s="326"/>
      <c r="B380" s="328"/>
      <c r="C380" s="328"/>
      <c r="D380" s="328"/>
      <c r="E380" s="328"/>
      <c r="F380" s="327"/>
      <c r="G380" s="327"/>
      <c r="H380" s="327"/>
      <c r="I380" s="327"/>
      <c r="J380" s="327"/>
      <c r="K380" s="327"/>
      <c r="L380" s="327"/>
      <c r="M380" s="327"/>
      <c r="N380" s="327"/>
      <c r="O380" s="327"/>
      <c r="P380" s="327"/>
      <c r="Q380" s="327"/>
      <c r="R380" s="328"/>
      <c r="S380" s="327"/>
      <c r="T380" s="327"/>
      <c r="U380" s="327"/>
      <c r="V380" s="327"/>
      <c r="W380" s="327"/>
      <c r="X380" s="327"/>
    </row>
    <row r="381" spans="1:24" s="279" customFormat="1">
      <c r="A381" s="326"/>
      <c r="B381" s="328"/>
      <c r="C381" s="328"/>
      <c r="D381" s="328"/>
      <c r="E381" s="328"/>
      <c r="F381" s="327"/>
      <c r="G381" s="327"/>
      <c r="H381" s="327"/>
      <c r="I381" s="327"/>
      <c r="J381" s="327"/>
      <c r="K381" s="327"/>
      <c r="L381" s="327"/>
      <c r="M381" s="327"/>
      <c r="N381" s="327"/>
      <c r="O381" s="327"/>
      <c r="P381" s="327"/>
      <c r="Q381" s="327"/>
      <c r="R381" s="328"/>
      <c r="S381" s="327"/>
      <c r="T381" s="327"/>
      <c r="U381" s="327"/>
      <c r="V381" s="327"/>
      <c r="W381" s="327"/>
      <c r="X381" s="327"/>
    </row>
    <row r="382" spans="1:24" s="279" customFormat="1">
      <c r="A382" s="326"/>
      <c r="B382" s="328"/>
      <c r="C382" s="328"/>
      <c r="D382" s="328"/>
      <c r="E382" s="328"/>
      <c r="F382" s="327"/>
      <c r="G382" s="327"/>
      <c r="H382" s="327"/>
      <c r="I382" s="327"/>
      <c r="J382" s="327"/>
      <c r="K382" s="327"/>
      <c r="L382" s="327"/>
      <c r="M382" s="327"/>
      <c r="N382" s="327"/>
      <c r="O382" s="327"/>
      <c r="P382" s="327"/>
      <c r="Q382" s="327"/>
      <c r="R382" s="328"/>
      <c r="S382" s="327"/>
      <c r="T382" s="327"/>
      <c r="U382" s="327"/>
      <c r="V382" s="327"/>
      <c r="W382" s="327"/>
      <c r="X382" s="327"/>
    </row>
    <row r="383" spans="1:24" s="279" customFormat="1">
      <c r="A383" s="326"/>
      <c r="B383" s="328"/>
      <c r="C383" s="328"/>
      <c r="D383" s="328"/>
      <c r="E383" s="328"/>
      <c r="F383" s="327"/>
      <c r="G383" s="327"/>
      <c r="H383" s="327"/>
      <c r="I383" s="327"/>
      <c r="J383" s="327"/>
      <c r="K383" s="327"/>
      <c r="L383" s="327"/>
      <c r="M383" s="327"/>
      <c r="N383" s="327"/>
      <c r="O383" s="327"/>
      <c r="P383" s="327"/>
      <c r="Q383" s="327"/>
      <c r="R383" s="328"/>
      <c r="S383" s="327"/>
      <c r="T383" s="327"/>
      <c r="U383" s="327"/>
      <c r="V383" s="327"/>
      <c r="W383" s="327"/>
      <c r="X383" s="327"/>
    </row>
    <row r="384" spans="1:24" s="279" customFormat="1">
      <c r="A384" s="326"/>
      <c r="B384" s="328"/>
      <c r="C384" s="328"/>
      <c r="D384" s="328"/>
      <c r="E384" s="328"/>
      <c r="F384" s="327"/>
      <c r="G384" s="327"/>
      <c r="H384" s="327"/>
      <c r="I384" s="327"/>
      <c r="J384" s="327"/>
      <c r="K384" s="327"/>
      <c r="L384" s="327"/>
      <c r="M384" s="327"/>
      <c r="N384" s="327"/>
      <c r="O384" s="327"/>
      <c r="P384" s="327"/>
      <c r="Q384" s="327"/>
      <c r="R384" s="328"/>
      <c r="S384" s="327"/>
      <c r="T384" s="327"/>
      <c r="U384" s="327"/>
      <c r="V384" s="327"/>
      <c r="W384" s="327"/>
      <c r="X384" s="327"/>
    </row>
    <row r="385" spans="1:24" s="279" customFormat="1">
      <c r="A385" s="326"/>
      <c r="B385" s="328"/>
      <c r="C385" s="328"/>
      <c r="D385" s="328"/>
      <c r="E385" s="328"/>
      <c r="F385" s="327"/>
      <c r="G385" s="327"/>
      <c r="H385" s="327"/>
      <c r="I385" s="327"/>
      <c r="J385" s="327"/>
      <c r="K385" s="327"/>
      <c r="L385" s="327"/>
      <c r="M385" s="327"/>
      <c r="N385" s="327"/>
      <c r="O385" s="327"/>
      <c r="P385" s="327"/>
      <c r="Q385" s="327"/>
      <c r="R385" s="328"/>
      <c r="S385" s="327"/>
      <c r="T385" s="327"/>
      <c r="U385" s="327"/>
      <c r="V385" s="327"/>
      <c r="W385" s="327"/>
      <c r="X385" s="327"/>
    </row>
    <row r="386" spans="1:24" s="279" customFormat="1">
      <c r="A386" s="326"/>
      <c r="B386" s="328"/>
      <c r="C386" s="328"/>
      <c r="D386" s="328"/>
      <c r="E386" s="328"/>
      <c r="F386" s="327"/>
      <c r="G386" s="327"/>
      <c r="H386" s="327"/>
      <c r="I386" s="327"/>
      <c r="J386" s="327"/>
      <c r="K386" s="327"/>
      <c r="L386" s="327"/>
      <c r="M386" s="327"/>
      <c r="N386" s="327"/>
      <c r="O386" s="327"/>
      <c r="P386" s="327"/>
      <c r="Q386" s="327"/>
      <c r="R386" s="328"/>
      <c r="S386" s="327"/>
      <c r="T386" s="327"/>
      <c r="U386" s="327"/>
      <c r="V386" s="327"/>
      <c r="W386" s="327"/>
      <c r="X386" s="327"/>
    </row>
    <row r="387" spans="1:24" s="279" customFormat="1">
      <c r="A387" s="326"/>
      <c r="B387" s="328"/>
      <c r="C387" s="328"/>
      <c r="D387" s="328"/>
      <c r="E387" s="328"/>
      <c r="F387" s="327"/>
      <c r="G387" s="327"/>
      <c r="H387" s="327"/>
      <c r="I387" s="327"/>
      <c r="J387" s="327"/>
      <c r="K387" s="327"/>
      <c r="L387" s="327"/>
      <c r="M387" s="327"/>
      <c r="N387" s="327"/>
      <c r="O387" s="327"/>
      <c r="P387" s="327"/>
      <c r="Q387" s="327"/>
      <c r="R387" s="328"/>
      <c r="S387" s="327"/>
      <c r="T387" s="327"/>
      <c r="U387" s="327"/>
      <c r="V387" s="327"/>
      <c r="W387" s="327"/>
      <c r="X387" s="327"/>
    </row>
    <row r="388" spans="1:24" s="279" customFormat="1">
      <c r="A388" s="326"/>
      <c r="B388" s="328"/>
      <c r="C388" s="328"/>
      <c r="D388" s="328"/>
      <c r="E388" s="328"/>
      <c r="F388" s="327"/>
      <c r="G388" s="327"/>
      <c r="H388" s="327"/>
      <c r="I388" s="327"/>
      <c r="J388" s="327"/>
      <c r="K388" s="327"/>
      <c r="L388" s="327"/>
      <c r="M388" s="327"/>
      <c r="N388" s="327"/>
      <c r="O388" s="327"/>
      <c r="P388" s="327"/>
      <c r="Q388" s="327"/>
      <c r="R388" s="328"/>
      <c r="S388" s="327"/>
      <c r="T388" s="327"/>
      <c r="U388" s="327"/>
      <c r="V388" s="327"/>
      <c r="W388" s="327"/>
      <c r="X388" s="327"/>
    </row>
    <row r="389" spans="1:24" s="279" customFormat="1">
      <c r="A389" s="326"/>
      <c r="B389" s="328"/>
      <c r="C389" s="328"/>
      <c r="D389" s="328"/>
      <c r="E389" s="328"/>
      <c r="F389" s="327"/>
      <c r="G389" s="327"/>
      <c r="H389" s="327"/>
      <c r="I389" s="327"/>
      <c r="J389" s="327"/>
      <c r="K389" s="327"/>
      <c r="L389" s="327"/>
      <c r="M389" s="327"/>
      <c r="N389" s="327"/>
      <c r="O389" s="327"/>
      <c r="P389" s="327"/>
      <c r="Q389" s="327"/>
      <c r="R389" s="328"/>
      <c r="S389" s="327"/>
      <c r="T389" s="327"/>
      <c r="U389" s="327"/>
      <c r="V389" s="327"/>
      <c r="W389" s="327"/>
      <c r="X389" s="327"/>
    </row>
    <row r="390" spans="1:24" s="279" customFormat="1">
      <c r="A390" s="326"/>
      <c r="B390" s="328"/>
      <c r="C390" s="328"/>
      <c r="D390" s="328"/>
      <c r="E390" s="328"/>
      <c r="F390" s="327"/>
      <c r="G390" s="327"/>
      <c r="H390" s="327"/>
      <c r="I390" s="327"/>
      <c r="J390" s="327"/>
      <c r="K390" s="327"/>
      <c r="L390" s="327"/>
      <c r="M390" s="327"/>
      <c r="N390" s="327"/>
      <c r="O390" s="327"/>
      <c r="P390" s="327"/>
      <c r="Q390" s="327"/>
      <c r="R390" s="328"/>
      <c r="S390" s="327"/>
      <c r="T390" s="327"/>
      <c r="U390" s="327"/>
      <c r="V390" s="327"/>
      <c r="W390" s="327"/>
      <c r="X390" s="327"/>
    </row>
    <row r="391" spans="1:24" s="279" customFormat="1">
      <c r="A391" s="326"/>
      <c r="B391" s="328"/>
      <c r="C391" s="328"/>
      <c r="D391" s="328"/>
      <c r="E391" s="328"/>
      <c r="F391" s="327"/>
      <c r="G391" s="327"/>
      <c r="H391" s="327"/>
      <c r="I391" s="327"/>
      <c r="J391" s="327"/>
      <c r="K391" s="327"/>
      <c r="L391" s="327"/>
      <c r="M391" s="327"/>
      <c r="N391" s="327"/>
      <c r="O391" s="327"/>
      <c r="P391" s="327"/>
      <c r="Q391" s="327"/>
      <c r="R391" s="328"/>
      <c r="S391" s="327"/>
      <c r="T391" s="327"/>
      <c r="U391" s="327"/>
      <c r="V391" s="327"/>
      <c r="W391" s="327"/>
      <c r="X391" s="327"/>
    </row>
    <row r="392" spans="1:24" s="279" customFormat="1">
      <c r="A392" s="326"/>
      <c r="B392" s="328"/>
      <c r="C392" s="328"/>
      <c r="D392" s="328"/>
      <c r="E392" s="328"/>
      <c r="F392" s="327"/>
      <c r="G392" s="327"/>
      <c r="H392" s="327"/>
      <c r="I392" s="327"/>
      <c r="J392" s="327"/>
      <c r="K392" s="327"/>
      <c r="L392" s="327"/>
      <c r="M392" s="327"/>
      <c r="N392" s="327"/>
      <c r="O392" s="327"/>
      <c r="P392" s="327"/>
      <c r="Q392" s="327"/>
      <c r="R392" s="328"/>
      <c r="S392" s="327"/>
      <c r="T392" s="327"/>
      <c r="U392" s="327"/>
      <c r="V392" s="327"/>
      <c r="W392" s="327"/>
      <c r="X392" s="327"/>
    </row>
    <row r="393" spans="1:24" s="279" customFormat="1">
      <c r="A393" s="326"/>
      <c r="B393" s="328"/>
      <c r="C393" s="328"/>
      <c r="D393" s="328"/>
      <c r="E393" s="328"/>
      <c r="F393" s="327"/>
      <c r="G393" s="327"/>
      <c r="H393" s="327"/>
      <c r="I393" s="327"/>
      <c r="J393" s="327"/>
      <c r="K393" s="327"/>
      <c r="L393" s="327"/>
      <c r="M393" s="327"/>
      <c r="N393" s="327"/>
      <c r="O393" s="327"/>
      <c r="P393" s="327"/>
      <c r="Q393" s="327"/>
      <c r="R393" s="328"/>
      <c r="S393" s="327"/>
      <c r="T393" s="327"/>
      <c r="U393" s="327"/>
      <c r="V393" s="327"/>
      <c r="W393" s="327"/>
      <c r="X393" s="327"/>
    </row>
    <row r="394" spans="1:24" s="279" customFormat="1">
      <c r="A394" s="326"/>
      <c r="B394" s="328"/>
      <c r="C394" s="328"/>
      <c r="D394" s="328"/>
      <c r="E394" s="328"/>
      <c r="F394" s="327"/>
      <c r="G394" s="327"/>
      <c r="H394" s="327"/>
      <c r="I394" s="327"/>
      <c r="J394" s="327"/>
      <c r="K394" s="327"/>
      <c r="L394" s="327"/>
      <c r="M394" s="327"/>
      <c r="N394" s="327"/>
      <c r="O394" s="327"/>
      <c r="P394" s="327"/>
      <c r="Q394" s="327"/>
      <c r="R394" s="328"/>
      <c r="S394" s="327"/>
      <c r="T394" s="327"/>
      <c r="U394" s="327"/>
      <c r="V394" s="327"/>
      <c r="W394" s="327"/>
      <c r="X394" s="327"/>
    </row>
    <row r="395" spans="1:24" s="279" customFormat="1">
      <c r="A395" s="326"/>
      <c r="B395" s="328"/>
      <c r="C395" s="328"/>
      <c r="D395" s="328"/>
      <c r="E395" s="328"/>
      <c r="F395" s="327"/>
      <c r="G395" s="327"/>
      <c r="H395" s="327"/>
      <c r="I395" s="327"/>
      <c r="J395" s="327"/>
      <c r="K395" s="327"/>
      <c r="L395" s="327"/>
      <c r="M395" s="327"/>
      <c r="N395" s="327"/>
      <c r="O395" s="327"/>
      <c r="P395" s="327"/>
      <c r="Q395" s="327"/>
      <c r="R395" s="328"/>
      <c r="S395" s="327"/>
      <c r="T395" s="327"/>
      <c r="U395" s="327"/>
      <c r="V395" s="327"/>
      <c r="W395" s="327"/>
      <c r="X395" s="327"/>
    </row>
    <row r="396" spans="1:24" s="279" customFormat="1">
      <c r="A396" s="326"/>
      <c r="B396" s="328"/>
      <c r="C396" s="328"/>
      <c r="D396" s="328"/>
      <c r="E396" s="328"/>
      <c r="F396" s="327"/>
      <c r="G396" s="327"/>
      <c r="H396" s="327"/>
      <c r="I396" s="327"/>
      <c r="J396" s="327"/>
      <c r="K396" s="327"/>
      <c r="L396" s="327"/>
      <c r="M396" s="327"/>
      <c r="N396" s="327"/>
      <c r="O396" s="327"/>
      <c r="P396" s="327"/>
      <c r="Q396" s="327"/>
      <c r="R396" s="328"/>
      <c r="S396" s="327"/>
      <c r="T396" s="327"/>
      <c r="U396" s="327"/>
      <c r="V396" s="327"/>
      <c r="W396" s="327"/>
      <c r="X396" s="327"/>
    </row>
    <row r="397" spans="1:24" s="279" customFormat="1">
      <c r="A397" s="326"/>
      <c r="B397" s="328"/>
      <c r="C397" s="328"/>
      <c r="D397" s="328"/>
      <c r="E397" s="328"/>
      <c r="F397" s="327"/>
      <c r="G397" s="327"/>
      <c r="H397" s="327"/>
      <c r="I397" s="327"/>
      <c r="J397" s="327"/>
      <c r="K397" s="327"/>
      <c r="L397" s="327"/>
      <c r="M397" s="327"/>
      <c r="N397" s="327"/>
      <c r="O397" s="327"/>
      <c r="P397" s="327"/>
      <c r="Q397" s="327"/>
      <c r="R397" s="328"/>
      <c r="S397" s="327"/>
      <c r="T397" s="327"/>
      <c r="U397" s="327"/>
      <c r="V397" s="327"/>
      <c r="W397" s="327"/>
      <c r="X397" s="327"/>
    </row>
    <row r="398" spans="1:24" s="279" customFormat="1">
      <c r="A398" s="326"/>
      <c r="B398" s="328"/>
      <c r="C398" s="328"/>
      <c r="D398" s="328"/>
      <c r="E398" s="328"/>
      <c r="F398" s="327"/>
      <c r="G398" s="327"/>
      <c r="H398" s="327"/>
      <c r="I398" s="327"/>
      <c r="J398" s="327"/>
      <c r="K398" s="327"/>
      <c r="L398" s="327"/>
      <c r="M398" s="327"/>
      <c r="N398" s="327"/>
      <c r="O398" s="327"/>
      <c r="P398" s="327"/>
      <c r="Q398" s="327"/>
      <c r="R398" s="328"/>
      <c r="S398" s="327"/>
      <c r="T398" s="327"/>
      <c r="U398" s="327"/>
      <c r="V398" s="327"/>
      <c r="W398" s="327"/>
      <c r="X398" s="327"/>
    </row>
    <row r="399" spans="1:24" s="279" customFormat="1">
      <c r="A399" s="326"/>
      <c r="B399" s="328"/>
      <c r="C399" s="328"/>
      <c r="D399" s="328"/>
      <c r="E399" s="328"/>
      <c r="F399" s="327"/>
      <c r="G399" s="327"/>
      <c r="H399" s="327"/>
      <c r="I399" s="327"/>
      <c r="J399" s="327"/>
      <c r="K399" s="327"/>
      <c r="L399" s="327"/>
      <c r="M399" s="327"/>
      <c r="N399" s="327"/>
      <c r="O399" s="327"/>
      <c r="P399" s="327"/>
      <c r="Q399" s="327"/>
      <c r="R399" s="328"/>
      <c r="S399" s="327"/>
      <c r="T399" s="327"/>
      <c r="U399" s="327"/>
      <c r="V399" s="327"/>
      <c r="W399" s="327"/>
      <c r="X399" s="327"/>
    </row>
    <row r="400" spans="1:24" s="279" customFormat="1">
      <c r="A400" s="326"/>
      <c r="B400" s="328"/>
      <c r="C400" s="328"/>
      <c r="D400" s="328"/>
      <c r="E400" s="328"/>
      <c r="F400" s="327"/>
      <c r="G400" s="327"/>
      <c r="H400" s="327"/>
      <c r="I400" s="327"/>
      <c r="J400" s="327"/>
      <c r="K400" s="327"/>
      <c r="L400" s="327"/>
      <c r="M400" s="327"/>
      <c r="N400" s="327"/>
      <c r="O400" s="327"/>
      <c r="P400" s="327"/>
      <c r="Q400" s="327"/>
      <c r="R400" s="328"/>
      <c r="S400" s="327"/>
      <c r="T400" s="327"/>
      <c r="U400" s="327"/>
      <c r="V400" s="327"/>
      <c r="W400" s="327"/>
      <c r="X400" s="327"/>
    </row>
    <row r="401" spans="1:24" s="279" customFormat="1">
      <c r="A401" s="326"/>
      <c r="B401" s="328"/>
      <c r="C401" s="328"/>
      <c r="D401" s="328"/>
      <c r="E401" s="328"/>
      <c r="F401" s="327"/>
      <c r="G401" s="327"/>
      <c r="H401" s="327"/>
      <c r="I401" s="327"/>
      <c r="J401" s="327"/>
      <c r="K401" s="327"/>
      <c r="L401" s="327"/>
      <c r="M401" s="327"/>
      <c r="N401" s="327"/>
      <c r="O401" s="327"/>
      <c r="P401" s="327"/>
      <c r="Q401" s="327"/>
      <c r="R401" s="328"/>
      <c r="S401" s="327"/>
      <c r="T401" s="327"/>
      <c r="U401" s="327"/>
      <c r="V401" s="327"/>
      <c r="W401" s="327"/>
      <c r="X401" s="327"/>
    </row>
    <row r="402" spans="1:24" s="279" customFormat="1">
      <c r="A402" s="326"/>
      <c r="B402" s="328"/>
      <c r="C402" s="328"/>
      <c r="D402" s="328"/>
      <c r="E402" s="328"/>
      <c r="F402" s="327"/>
      <c r="G402" s="327"/>
      <c r="H402" s="327"/>
      <c r="I402" s="327"/>
      <c r="J402" s="327"/>
      <c r="K402" s="327"/>
      <c r="L402" s="327"/>
      <c r="M402" s="327"/>
      <c r="N402" s="327"/>
      <c r="O402" s="327"/>
      <c r="P402" s="327"/>
      <c r="Q402" s="327"/>
      <c r="R402" s="328"/>
      <c r="S402" s="327"/>
      <c r="T402" s="327"/>
      <c r="U402" s="327"/>
      <c r="V402" s="327"/>
      <c r="W402" s="327"/>
      <c r="X402" s="327"/>
    </row>
    <row r="403" spans="1:24" s="279" customFormat="1">
      <c r="A403" s="326"/>
      <c r="B403" s="328"/>
      <c r="C403" s="328"/>
      <c r="D403" s="328"/>
      <c r="E403" s="328"/>
      <c r="F403" s="327"/>
      <c r="G403" s="327"/>
      <c r="H403" s="327"/>
      <c r="I403" s="327"/>
      <c r="J403" s="327"/>
      <c r="K403" s="327"/>
      <c r="L403" s="327"/>
      <c r="M403" s="327"/>
      <c r="N403" s="327"/>
      <c r="O403" s="327"/>
      <c r="P403" s="327"/>
      <c r="Q403" s="327"/>
      <c r="R403" s="328"/>
      <c r="S403" s="327"/>
      <c r="T403" s="327"/>
      <c r="U403" s="327"/>
      <c r="V403" s="327"/>
      <c r="W403" s="327"/>
      <c r="X403" s="327"/>
    </row>
    <row r="404" spans="1:24" s="279" customFormat="1">
      <c r="A404" s="326"/>
      <c r="B404" s="328"/>
      <c r="C404" s="328"/>
      <c r="D404" s="328"/>
      <c r="E404" s="328"/>
      <c r="F404" s="327"/>
      <c r="G404" s="327"/>
      <c r="H404" s="327"/>
      <c r="I404" s="327"/>
      <c r="J404" s="327"/>
      <c r="K404" s="327"/>
      <c r="L404" s="327"/>
      <c r="M404" s="327"/>
      <c r="N404" s="327"/>
      <c r="O404" s="327"/>
      <c r="P404" s="327"/>
      <c r="Q404" s="327"/>
      <c r="R404" s="328"/>
      <c r="S404" s="327"/>
      <c r="T404" s="327"/>
      <c r="U404" s="327"/>
      <c r="V404" s="327"/>
      <c r="W404" s="327"/>
      <c r="X404" s="327"/>
    </row>
    <row r="405" spans="1:24" s="279" customFormat="1">
      <c r="A405" s="326"/>
      <c r="B405" s="328"/>
      <c r="C405" s="328"/>
      <c r="D405" s="328"/>
      <c r="E405" s="328"/>
      <c r="F405" s="327"/>
      <c r="G405" s="327"/>
      <c r="H405" s="327"/>
      <c r="I405" s="327"/>
      <c r="J405" s="327"/>
      <c r="K405" s="327"/>
      <c r="L405" s="327"/>
      <c r="M405" s="327"/>
      <c r="N405" s="327"/>
      <c r="O405" s="327"/>
      <c r="P405" s="327"/>
      <c r="Q405" s="327"/>
      <c r="R405" s="328"/>
      <c r="S405" s="327"/>
      <c r="T405" s="327"/>
      <c r="U405" s="327"/>
      <c r="V405" s="327"/>
      <c r="W405" s="327"/>
      <c r="X405" s="327"/>
    </row>
    <row r="406" spans="1:24" s="279" customFormat="1">
      <c r="A406" s="326"/>
      <c r="B406" s="328"/>
      <c r="C406" s="328"/>
      <c r="D406" s="328"/>
      <c r="E406" s="328"/>
      <c r="F406" s="327"/>
      <c r="G406" s="327"/>
      <c r="H406" s="327"/>
      <c r="I406" s="327"/>
      <c r="J406" s="327"/>
      <c r="K406" s="327"/>
      <c r="L406" s="327"/>
      <c r="M406" s="327"/>
      <c r="N406" s="327"/>
      <c r="O406" s="327"/>
      <c r="P406" s="327"/>
      <c r="Q406" s="327"/>
      <c r="R406" s="328"/>
      <c r="S406" s="327"/>
      <c r="T406" s="327"/>
      <c r="U406" s="327"/>
      <c r="V406" s="327"/>
      <c r="W406" s="327"/>
      <c r="X406" s="327"/>
    </row>
    <row r="407" spans="1:24" s="279" customFormat="1">
      <c r="A407" s="326"/>
      <c r="B407" s="328"/>
      <c r="C407" s="328"/>
      <c r="D407" s="328"/>
      <c r="E407" s="328"/>
      <c r="F407" s="327"/>
      <c r="G407" s="327"/>
      <c r="H407" s="327"/>
      <c r="I407" s="327"/>
      <c r="J407" s="327"/>
      <c r="K407" s="327"/>
      <c r="L407" s="327"/>
      <c r="M407" s="327"/>
      <c r="N407" s="327"/>
      <c r="O407" s="327"/>
      <c r="P407" s="327"/>
      <c r="Q407" s="327"/>
      <c r="R407" s="328"/>
      <c r="S407" s="327"/>
      <c r="T407" s="327"/>
      <c r="U407" s="327"/>
      <c r="V407" s="327"/>
      <c r="W407" s="327"/>
      <c r="X407" s="327"/>
    </row>
    <row r="408" spans="1:24" s="279" customFormat="1">
      <c r="A408" s="326"/>
      <c r="B408" s="328"/>
      <c r="C408" s="328"/>
      <c r="D408" s="328"/>
      <c r="E408" s="328"/>
      <c r="F408" s="327"/>
      <c r="G408" s="327"/>
      <c r="H408" s="327"/>
      <c r="I408" s="327"/>
      <c r="J408" s="327"/>
      <c r="K408" s="327"/>
      <c r="L408" s="327"/>
      <c r="M408" s="327"/>
      <c r="N408" s="327"/>
      <c r="O408" s="327"/>
      <c r="P408" s="327"/>
      <c r="Q408" s="327"/>
      <c r="R408" s="328"/>
      <c r="S408" s="327"/>
      <c r="T408" s="327"/>
      <c r="U408" s="327"/>
      <c r="V408" s="327"/>
      <c r="W408" s="327"/>
      <c r="X408" s="327"/>
    </row>
    <row r="409" spans="1:24" s="279" customFormat="1">
      <c r="A409" s="326"/>
      <c r="B409" s="328"/>
      <c r="C409" s="328"/>
      <c r="D409" s="328"/>
      <c r="E409" s="328"/>
      <c r="F409" s="327"/>
      <c r="G409" s="327"/>
      <c r="H409" s="327"/>
      <c r="I409" s="327"/>
      <c r="J409" s="327"/>
      <c r="K409" s="327"/>
      <c r="L409" s="327"/>
      <c r="M409" s="327"/>
      <c r="N409" s="327"/>
      <c r="O409" s="327"/>
      <c r="P409" s="327"/>
      <c r="Q409" s="327"/>
      <c r="R409" s="328"/>
      <c r="S409" s="327"/>
      <c r="T409" s="327"/>
      <c r="U409" s="327"/>
      <c r="V409" s="327"/>
      <c r="W409" s="327"/>
      <c r="X409" s="327"/>
    </row>
    <row r="410" spans="1:24" s="279" customFormat="1">
      <c r="A410" s="326"/>
      <c r="B410" s="328"/>
      <c r="C410" s="328"/>
      <c r="D410" s="328"/>
      <c r="E410" s="328"/>
      <c r="F410" s="327"/>
      <c r="G410" s="327"/>
      <c r="H410" s="327"/>
      <c r="I410" s="327"/>
      <c r="J410" s="327"/>
      <c r="K410" s="327"/>
      <c r="L410" s="327"/>
      <c r="M410" s="327"/>
      <c r="N410" s="327"/>
      <c r="O410" s="327"/>
      <c r="P410" s="327"/>
      <c r="Q410" s="327"/>
      <c r="R410" s="328"/>
      <c r="S410" s="327"/>
      <c r="T410" s="327"/>
      <c r="U410" s="327"/>
      <c r="V410" s="327"/>
      <c r="W410" s="327"/>
      <c r="X410" s="327"/>
    </row>
    <row r="411" spans="1:24" s="279" customFormat="1">
      <c r="A411" s="326"/>
      <c r="B411" s="328"/>
      <c r="C411" s="328"/>
      <c r="D411" s="328"/>
      <c r="E411" s="328"/>
      <c r="F411" s="327"/>
      <c r="G411" s="327"/>
      <c r="H411" s="327"/>
      <c r="I411" s="327"/>
      <c r="J411" s="327"/>
      <c r="K411" s="327"/>
      <c r="L411" s="327"/>
      <c r="M411" s="327"/>
      <c r="N411" s="327"/>
      <c r="O411" s="327"/>
      <c r="P411" s="327"/>
      <c r="Q411" s="327"/>
      <c r="R411" s="328"/>
      <c r="S411" s="327"/>
      <c r="T411" s="327"/>
      <c r="U411" s="327"/>
      <c r="V411" s="327"/>
      <c r="W411" s="327"/>
      <c r="X411" s="327"/>
    </row>
    <row r="412" spans="1:24" s="279" customFormat="1">
      <c r="A412" s="326"/>
      <c r="B412" s="328"/>
      <c r="C412" s="328"/>
      <c r="D412" s="328"/>
      <c r="E412" s="328"/>
      <c r="F412" s="327"/>
      <c r="G412" s="327"/>
      <c r="H412" s="327"/>
      <c r="I412" s="327"/>
      <c r="J412" s="327"/>
      <c r="K412" s="327"/>
      <c r="L412" s="327"/>
      <c r="M412" s="327"/>
      <c r="N412" s="327"/>
      <c r="O412" s="327"/>
      <c r="P412" s="327"/>
      <c r="Q412" s="327"/>
      <c r="R412" s="328"/>
      <c r="S412" s="327"/>
      <c r="T412" s="327"/>
      <c r="U412" s="327"/>
      <c r="V412" s="327"/>
      <c r="W412" s="327"/>
      <c r="X412" s="327"/>
    </row>
    <row r="413" spans="1:24" s="279" customFormat="1">
      <c r="A413" s="326"/>
      <c r="B413" s="328"/>
      <c r="C413" s="328"/>
      <c r="D413" s="328"/>
      <c r="E413" s="328"/>
      <c r="F413" s="327"/>
      <c r="G413" s="327"/>
      <c r="H413" s="327"/>
      <c r="I413" s="327"/>
      <c r="J413" s="327"/>
      <c r="K413" s="327"/>
      <c r="L413" s="327"/>
      <c r="M413" s="327"/>
      <c r="N413" s="327"/>
      <c r="O413" s="327"/>
      <c r="P413" s="327"/>
      <c r="Q413" s="327"/>
      <c r="R413" s="328"/>
      <c r="S413" s="327"/>
      <c r="T413" s="327"/>
      <c r="U413" s="327"/>
      <c r="V413" s="327"/>
      <c r="W413" s="327"/>
      <c r="X413" s="327"/>
    </row>
    <row r="414" spans="1:24" s="279" customFormat="1">
      <c r="A414" s="326"/>
      <c r="B414" s="328"/>
      <c r="C414" s="328"/>
      <c r="D414" s="328"/>
      <c r="E414" s="328"/>
      <c r="F414" s="327"/>
      <c r="G414" s="327"/>
      <c r="H414" s="327"/>
      <c r="I414" s="327"/>
      <c r="J414" s="327"/>
      <c r="K414" s="327"/>
      <c r="L414" s="327"/>
      <c r="M414" s="327"/>
      <c r="N414" s="327"/>
      <c r="O414" s="327"/>
      <c r="P414" s="327"/>
      <c r="Q414" s="327"/>
      <c r="R414" s="328"/>
      <c r="S414" s="327"/>
      <c r="T414" s="327"/>
      <c r="U414" s="327"/>
      <c r="V414" s="327"/>
      <c r="W414" s="327"/>
      <c r="X414" s="327"/>
    </row>
    <row r="415" spans="1:24" s="279" customFormat="1">
      <c r="A415" s="326"/>
      <c r="B415" s="328"/>
      <c r="C415" s="328"/>
      <c r="D415" s="328"/>
      <c r="E415" s="328"/>
      <c r="F415" s="327"/>
      <c r="G415" s="327"/>
      <c r="H415" s="327"/>
      <c r="I415" s="327"/>
      <c r="J415" s="327"/>
      <c r="K415" s="327"/>
      <c r="L415" s="327"/>
      <c r="M415" s="327"/>
      <c r="N415" s="327"/>
      <c r="O415" s="327"/>
      <c r="P415" s="327"/>
      <c r="Q415" s="327"/>
      <c r="R415" s="328"/>
      <c r="S415" s="327"/>
      <c r="T415" s="327"/>
      <c r="U415" s="327"/>
      <c r="V415" s="327"/>
      <c r="W415" s="327"/>
      <c r="X415" s="327"/>
    </row>
    <row r="416" spans="1:24" s="279" customFormat="1">
      <c r="A416" s="326"/>
      <c r="B416" s="328"/>
      <c r="C416" s="328"/>
      <c r="D416" s="328"/>
      <c r="E416" s="328"/>
      <c r="F416" s="327"/>
      <c r="G416" s="327"/>
      <c r="H416" s="327"/>
      <c r="I416" s="327"/>
      <c r="J416" s="327"/>
      <c r="K416" s="327"/>
      <c r="L416" s="327"/>
      <c r="M416" s="327"/>
      <c r="N416" s="327"/>
      <c r="O416" s="327"/>
      <c r="P416" s="327"/>
      <c r="Q416" s="327"/>
      <c r="R416" s="328"/>
      <c r="S416" s="327"/>
      <c r="T416" s="327"/>
      <c r="U416" s="327"/>
      <c r="V416" s="327"/>
      <c r="W416" s="327"/>
      <c r="X416" s="327"/>
    </row>
    <row r="417" spans="1:24" s="279" customFormat="1">
      <c r="A417" s="326"/>
      <c r="B417" s="328"/>
      <c r="C417" s="328"/>
      <c r="D417" s="328"/>
      <c r="E417" s="328"/>
      <c r="F417" s="327"/>
      <c r="G417" s="327"/>
      <c r="H417" s="327"/>
      <c r="I417" s="327"/>
      <c r="J417" s="327"/>
      <c r="K417" s="327"/>
      <c r="L417" s="327"/>
      <c r="M417" s="327"/>
      <c r="N417" s="327"/>
      <c r="O417" s="327"/>
      <c r="P417" s="327"/>
      <c r="Q417" s="327"/>
      <c r="R417" s="328"/>
      <c r="S417" s="327"/>
      <c r="T417" s="327"/>
      <c r="U417" s="327"/>
      <c r="V417" s="327"/>
      <c r="W417" s="327"/>
      <c r="X417" s="327"/>
    </row>
    <row r="418" spans="1:24" s="279" customFormat="1">
      <c r="A418" s="326"/>
      <c r="B418" s="328"/>
      <c r="C418" s="328"/>
      <c r="D418" s="328"/>
      <c r="E418" s="328"/>
      <c r="F418" s="327"/>
      <c r="G418" s="327"/>
      <c r="H418" s="327"/>
      <c r="I418" s="327"/>
      <c r="J418" s="327"/>
      <c r="K418" s="327"/>
      <c r="L418" s="327"/>
      <c r="M418" s="327"/>
      <c r="N418" s="327"/>
      <c r="O418" s="327"/>
      <c r="P418" s="327"/>
      <c r="Q418" s="327"/>
      <c r="R418" s="328"/>
      <c r="S418" s="327"/>
      <c r="T418" s="327"/>
      <c r="U418" s="327"/>
      <c r="V418" s="327"/>
      <c r="W418" s="327"/>
      <c r="X418" s="327"/>
    </row>
    <row r="419" spans="1:24" s="279" customFormat="1">
      <c r="A419" s="326"/>
      <c r="B419" s="328"/>
      <c r="C419" s="328"/>
      <c r="D419" s="328"/>
      <c r="E419" s="328"/>
      <c r="F419" s="327"/>
      <c r="G419" s="327"/>
      <c r="H419" s="327"/>
      <c r="I419" s="327"/>
      <c r="J419" s="327"/>
      <c r="K419" s="327"/>
      <c r="L419" s="327"/>
      <c r="M419" s="327"/>
      <c r="N419" s="327"/>
      <c r="O419" s="327"/>
      <c r="P419" s="327"/>
      <c r="Q419" s="327"/>
      <c r="R419" s="328"/>
      <c r="S419" s="327"/>
      <c r="T419" s="327"/>
      <c r="U419" s="327"/>
      <c r="V419" s="327"/>
      <c r="W419" s="327"/>
      <c r="X419" s="327"/>
    </row>
    <row r="420" spans="1:24" s="279" customFormat="1">
      <c r="A420" s="326"/>
      <c r="B420" s="328"/>
      <c r="C420" s="328"/>
      <c r="D420" s="328"/>
      <c r="E420" s="328"/>
      <c r="F420" s="327"/>
      <c r="G420" s="327"/>
      <c r="H420" s="327"/>
      <c r="I420" s="327"/>
      <c r="J420" s="327"/>
      <c r="K420" s="327"/>
      <c r="L420" s="327"/>
      <c r="M420" s="327"/>
      <c r="N420" s="327"/>
      <c r="O420" s="327"/>
      <c r="P420" s="327"/>
      <c r="Q420" s="327"/>
      <c r="R420" s="328"/>
      <c r="S420" s="327"/>
      <c r="T420" s="327"/>
      <c r="U420" s="327"/>
      <c r="V420" s="327"/>
      <c r="W420" s="327"/>
      <c r="X420" s="327"/>
    </row>
    <row r="421" spans="1:24" s="279" customFormat="1">
      <c r="A421" s="326"/>
      <c r="B421" s="328"/>
      <c r="C421" s="328"/>
      <c r="D421" s="328"/>
      <c r="E421" s="328"/>
      <c r="F421" s="327"/>
      <c r="G421" s="327"/>
      <c r="H421" s="327"/>
      <c r="I421" s="327"/>
      <c r="J421" s="327"/>
      <c r="K421" s="327"/>
      <c r="L421" s="327"/>
      <c r="M421" s="327"/>
      <c r="N421" s="327"/>
      <c r="O421" s="327"/>
      <c r="P421" s="327"/>
      <c r="Q421" s="327"/>
      <c r="R421" s="328"/>
      <c r="S421" s="327"/>
      <c r="T421" s="327"/>
      <c r="U421" s="327"/>
      <c r="V421" s="327"/>
      <c r="W421" s="327"/>
      <c r="X421" s="327"/>
    </row>
    <row r="422" spans="1:24" s="279" customFormat="1">
      <c r="A422" s="326"/>
      <c r="B422" s="328"/>
      <c r="C422" s="328"/>
      <c r="D422" s="328"/>
      <c r="E422" s="328"/>
      <c r="F422" s="327"/>
      <c r="G422" s="327"/>
      <c r="H422" s="327"/>
      <c r="I422" s="327"/>
      <c r="J422" s="327"/>
      <c r="K422" s="327"/>
      <c r="L422" s="327"/>
      <c r="M422" s="327"/>
      <c r="N422" s="327"/>
      <c r="O422" s="327"/>
      <c r="P422" s="327"/>
      <c r="Q422" s="327"/>
      <c r="R422" s="328"/>
      <c r="S422" s="327"/>
      <c r="T422" s="327"/>
      <c r="U422" s="327"/>
      <c r="V422" s="327"/>
      <c r="W422" s="327"/>
      <c r="X422" s="327"/>
    </row>
    <row r="423" spans="1:24" s="279" customFormat="1">
      <c r="A423" s="326"/>
      <c r="B423" s="328"/>
      <c r="C423" s="328"/>
      <c r="D423" s="328"/>
      <c r="E423" s="328"/>
      <c r="F423" s="327"/>
      <c r="G423" s="327"/>
      <c r="H423" s="327"/>
      <c r="I423" s="327"/>
      <c r="J423" s="327"/>
      <c r="K423" s="327"/>
      <c r="L423" s="327"/>
      <c r="M423" s="327"/>
      <c r="N423" s="327"/>
      <c r="O423" s="327"/>
      <c r="P423" s="327"/>
      <c r="Q423" s="327"/>
      <c r="R423" s="328"/>
      <c r="S423" s="327"/>
      <c r="T423" s="327"/>
      <c r="U423" s="327"/>
      <c r="V423" s="327"/>
      <c r="W423" s="327"/>
      <c r="X423" s="327"/>
    </row>
    <row r="424" spans="1:24" s="279" customFormat="1">
      <c r="A424" s="326"/>
      <c r="B424" s="328"/>
      <c r="C424" s="328"/>
      <c r="D424" s="328"/>
      <c r="E424" s="328"/>
      <c r="F424" s="327"/>
      <c r="G424" s="327"/>
      <c r="H424" s="327"/>
      <c r="I424" s="327"/>
      <c r="J424" s="327"/>
      <c r="K424" s="327"/>
      <c r="L424" s="327"/>
      <c r="M424" s="327"/>
      <c r="N424" s="327"/>
      <c r="O424" s="327"/>
      <c r="P424" s="327"/>
      <c r="Q424" s="327"/>
      <c r="R424" s="328"/>
      <c r="S424" s="327"/>
      <c r="T424" s="327"/>
      <c r="U424" s="327"/>
      <c r="V424" s="327"/>
      <c r="W424" s="327"/>
      <c r="X424" s="327"/>
    </row>
    <row r="425" spans="1:24" s="279" customFormat="1">
      <c r="A425" s="326"/>
      <c r="B425" s="328"/>
      <c r="C425" s="328"/>
      <c r="D425" s="328"/>
      <c r="E425" s="328"/>
      <c r="F425" s="327"/>
      <c r="G425" s="327"/>
      <c r="H425" s="327"/>
      <c r="I425" s="327"/>
      <c r="J425" s="327"/>
      <c r="K425" s="327"/>
      <c r="L425" s="327"/>
      <c r="M425" s="327"/>
      <c r="N425" s="327"/>
      <c r="O425" s="327"/>
      <c r="P425" s="327"/>
      <c r="Q425" s="327"/>
      <c r="R425" s="328"/>
      <c r="S425" s="327"/>
      <c r="T425" s="327"/>
      <c r="U425" s="327"/>
      <c r="V425" s="327"/>
      <c r="W425" s="327"/>
      <c r="X425" s="327"/>
    </row>
    <row r="426" spans="1:24" s="279" customFormat="1">
      <c r="A426" s="326"/>
      <c r="B426" s="328"/>
      <c r="C426" s="328"/>
      <c r="D426" s="328"/>
      <c r="E426" s="328"/>
      <c r="F426" s="327"/>
      <c r="G426" s="327"/>
      <c r="H426" s="327"/>
      <c r="I426" s="327"/>
      <c r="J426" s="327"/>
      <c r="K426" s="327"/>
      <c r="L426" s="327"/>
      <c r="M426" s="327"/>
      <c r="N426" s="327"/>
      <c r="O426" s="327"/>
      <c r="P426" s="327"/>
      <c r="Q426" s="327"/>
      <c r="R426" s="328"/>
      <c r="S426" s="327"/>
      <c r="T426" s="327"/>
      <c r="U426" s="327"/>
      <c r="V426" s="327"/>
      <c r="W426" s="327"/>
      <c r="X426" s="327"/>
    </row>
    <row r="427" spans="1:24" s="279" customFormat="1">
      <c r="A427" s="326"/>
      <c r="B427" s="328"/>
      <c r="C427" s="328"/>
      <c r="D427" s="328"/>
      <c r="E427" s="328"/>
      <c r="F427" s="327"/>
      <c r="G427" s="327"/>
      <c r="H427" s="327"/>
      <c r="I427" s="327"/>
      <c r="J427" s="327"/>
      <c r="K427" s="327"/>
      <c r="L427" s="327"/>
      <c r="M427" s="327"/>
      <c r="N427" s="327"/>
      <c r="O427" s="327"/>
      <c r="P427" s="327"/>
      <c r="Q427" s="327"/>
      <c r="R427" s="328"/>
      <c r="S427" s="327"/>
      <c r="T427" s="327"/>
      <c r="U427" s="327"/>
      <c r="V427" s="327"/>
      <c r="W427" s="327"/>
      <c r="X427" s="327"/>
    </row>
    <row r="428" spans="1:24" s="279" customFormat="1">
      <c r="A428" s="326"/>
      <c r="B428" s="328"/>
      <c r="C428" s="328"/>
      <c r="D428" s="328"/>
      <c r="E428" s="328"/>
      <c r="F428" s="327"/>
      <c r="G428" s="327"/>
      <c r="H428" s="327"/>
      <c r="I428" s="327"/>
      <c r="J428" s="327"/>
      <c r="K428" s="327"/>
      <c r="L428" s="327"/>
      <c r="M428" s="327"/>
      <c r="N428" s="327"/>
      <c r="O428" s="327"/>
      <c r="P428" s="327"/>
      <c r="Q428" s="327"/>
      <c r="R428" s="328"/>
      <c r="S428" s="327"/>
      <c r="T428" s="327"/>
      <c r="U428" s="327"/>
      <c r="V428" s="327"/>
      <c r="W428" s="327"/>
      <c r="X428" s="327"/>
    </row>
    <row r="429" spans="1:24" s="279" customFormat="1">
      <c r="A429" s="326"/>
      <c r="B429" s="328"/>
      <c r="C429" s="328"/>
      <c r="D429" s="328"/>
      <c r="E429" s="328"/>
      <c r="F429" s="327"/>
      <c r="G429" s="327"/>
      <c r="H429" s="327"/>
      <c r="I429" s="327"/>
      <c r="J429" s="327"/>
      <c r="K429" s="327"/>
      <c r="L429" s="327"/>
      <c r="M429" s="327"/>
      <c r="N429" s="327"/>
      <c r="O429" s="327"/>
      <c r="P429" s="327"/>
      <c r="Q429" s="327"/>
      <c r="R429" s="328"/>
      <c r="S429" s="327"/>
      <c r="T429" s="327"/>
      <c r="U429" s="327"/>
      <c r="V429" s="327"/>
      <c r="W429" s="327"/>
      <c r="X429" s="327"/>
    </row>
    <row r="430" spans="1:24" s="279" customFormat="1">
      <c r="A430" s="326"/>
      <c r="B430" s="328"/>
      <c r="C430" s="328"/>
      <c r="D430" s="328"/>
      <c r="E430" s="328"/>
      <c r="F430" s="327"/>
      <c r="G430" s="327"/>
      <c r="H430" s="327"/>
      <c r="I430" s="327"/>
      <c r="J430" s="327"/>
      <c r="K430" s="327"/>
      <c r="L430" s="327"/>
      <c r="M430" s="327"/>
      <c r="N430" s="327"/>
      <c r="O430" s="327"/>
      <c r="P430" s="327"/>
      <c r="Q430" s="327"/>
      <c r="R430" s="328"/>
      <c r="S430" s="327"/>
      <c r="T430" s="327"/>
      <c r="U430" s="327"/>
      <c r="V430" s="327"/>
      <c r="W430" s="327"/>
      <c r="X430" s="327"/>
    </row>
    <row r="431" spans="1:24" s="279" customFormat="1">
      <c r="A431" s="326"/>
      <c r="B431" s="328"/>
      <c r="C431" s="328"/>
      <c r="D431" s="328"/>
      <c r="E431" s="328"/>
      <c r="F431" s="327"/>
      <c r="G431" s="327"/>
      <c r="H431" s="327"/>
      <c r="I431" s="327"/>
      <c r="J431" s="327"/>
      <c r="K431" s="327"/>
      <c r="L431" s="327"/>
      <c r="M431" s="327"/>
      <c r="N431" s="327"/>
      <c r="O431" s="327"/>
      <c r="P431" s="327"/>
      <c r="Q431" s="327"/>
      <c r="R431" s="328"/>
      <c r="S431" s="327"/>
      <c r="T431" s="327"/>
      <c r="U431" s="327"/>
      <c r="V431" s="327"/>
      <c r="W431" s="327"/>
      <c r="X431" s="327"/>
    </row>
    <row r="432" spans="1:24" s="279" customFormat="1">
      <c r="A432" s="326"/>
      <c r="B432" s="328"/>
      <c r="C432" s="328"/>
      <c r="D432" s="328"/>
      <c r="E432" s="328"/>
      <c r="F432" s="327"/>
      <c r="G432" s="327"/>
      <c r="H432" s="327"/>
      <c r="I432" s="327"/>
      <c r="J432" s="327"/>
      <c r="K432" s="327"/>
      <c r="L432" s="327"/>
      <c r="M432" s="327"/>
      <c r="N432" s="327"/>
      <c r="O432" s="327"/>
      <c r="P432" s="327"/>
      <c r="Q432" s="327"/>
      <c r="R432" s="328"/>
      <c r="S432" s="327"/>
      <c r="T432" s="327"/>
      <c r="U432" s="327"/>
      <c r="V432" s="327"/>
      <c r="W432" s="327"/>
      <c r="X432" s="327"/>
    </row>
    <row r="433" spans="1:24" s="279" customFormat="1">
      <c r="A433" s="326"/>
      <c r="B433" s="328"/>
      <c r="C433" s="328"/>
      <c r="D433" s="328"/>
      <c r="E433" s="328"/>
      <c r="F433" s="327"/>
      <c r="G433" s="327"/>
      <c r="H433" s="327"/>
      <c r="I433" s="327"/>
      <c r="J433" s="327"/>
      <c r="K433" s="327"/>
      <c r="L433" s="327"/>
      <c r="M433" s="327"/>
      <c r="N433" s="327"/>
      <c r="O433" s="327"/>
      <c r="P433" s="327"/>
      <c r="Q433" s="327"/>
      <c r="R433" s="328"/>
      <c r="S433" s="327"/>
      <c r="T433" s="327"/>
      <c r="U433" s="327"/>
      <c r="V433" s="327"/>
      <c r="W433" s="327"/>
      <c r="X433" s="327"/>
    </row>
    <row r="434" spans="1:24" s="279" customFormat="1">
      <c r="A434" s="326"/>
      <c r="B434" s="328"/>
      <c r="C434" s="328"/>
      <c r="D434" s="328"/>
      <c r="E434" s="328"/>
      <c r="F434" s="327"/>
      <c r="G434" s="327"/>
      <c r="H434" s="327"/>
      <c r="I434" s="327"/>
      <c r="J434" s="327"/>
      <c r="K434" s="327"/>
      <c r="L434" s="327"/>
      <c r="M434" s="327"/>
      <c r="N434" s="327"/>
      <c r="O434" s="327"/>
      <c r="P434" s="327"/>
      <c r="Q434" s="327"/>
      <c r="R434" s="328"/>
      <c r="S434" s="327"/>
      <c r="T434" s="327"/>
      <c r="U434" s="327"/>
      <c r="V434" s="327"/>
      <c r="W434" s="327"/>
      <c r="X434" s="327"/>
    </row>
    <row r="435" spans="1:24" s="279" customFormat="1">
      <c r="A435" s="326"/>
      <c r="B435" s="328"/>
      <c r="C435" s="328"/>
      <c r="D435" s="328"/>
      <c r="E435" s="328"/>
      <c r="F435" s="327"/>
      <c r="G435" s="327"/>
      <c r="H435" s="327"/>
      <c r="I435" s="327"/>
      <c r="J435" s="327"/>
      <c r="K435" s="327"/>
      <c r="L435" s="327"/>
      <c r="M435" s="327"/>
      <c r="N435" s="327"/>
      <c r="O435" s="327"/>
      <c r="P435" s="327"/>
      <c r="Q435" s="327"/>
      <c r="R435" s="328"/>
      <c r="S435" s="327"/>
      <c r="T435" s="327"/>
      <c r="U435" s="327"/>
      <c r="V435" s="327"/>
      <c r="W435" s="327"/>
      <c r="X435" s="327"/>
    </row>
    <row r="436" spans="1:24" s="279" customFormat="1">
      <c r="A436" s="326"/>
      <c r="B436" s="328"/>
      <c r="C436" s="328"/>
      <c r="D436" s="328"/>
      <c r="E436" s="328"/>
      <c r="F436" s="327"/>
      <c r="G436" s="327"/>
      <c r="H436" s="327"/>
      <c r="I436" s="327"/>
      <c r="J436" s="327"/>
      <c r="K436" s="327"/>
      <c r="L436" s="327"/>
      <c r="M436" s="327"/>
      <c r="N436" s="327"/>
      <c r="O436" s="327"/>
      <c r="P436" s="327"/>
      <c r="Q436" s="327"/>
      <c r="R436" s="328"/>
      <c r="S436" s="327"/>
      <c r="T436" s="327"/>
      <c r="U436" s="327"/>
      <c r="V436" s="327"/>
      <c r="W436" s="327"/>
      <c r="X436" s="327"/>
    </row>
    <row r="437" spans="1:24" s="279" customFormat="1">
      <c r="A437" s="326"/>
      <c r="B437" s="328"/>
      <c r="C437" s="328"/>
      <c r="D437" s="328"/>
      <c r="E437" s="328"/>
      <c r="F437" s="327"/>
      <c r="G437" s="327"/>
      <c r="H437" s="327"/>
      <c r="I437" s="327"/>
      <c r="J437" s="327"/>
      <c r="K437" s="327"/>
      <c r="L437" s="327"/>
      <c r="M437" s="327"/>
      <c r="N437" s="327"/>
      <c r="O437" s="327"/>
      <c r="P437" s="327"/>
      <c r="Q437" s="327"/>
      <c r="R437" s="328"/>
      <c r="S437" s="327"/>
      <c r="T437" s="327"/>
      <c r="U437" s="327"/>
      <c r="V437" s="327"/>
      <c r="W437" s="327"/>
      <c r="X437" s="327"/>
    </row>
    <row r="438" spans="1:24" s="279" customFormat="1">
      <c r="A438" s="326"/>
      <c r="B438" s="328"/>
      <c r="C438" s="328"/>
      <c r="D438" s="328"/>
      <c r="E438" s="328"/>
      <c r="F438" s="327"/>
      <c r="G438" s="327"/>
      <c r="H438" s="327"/>
      <c r="I438" s="327"/>
      <c r="J438" s="327"/>
      <c r="K438" s="327"/>
      <c r="L438" s="327"/>
      <c r="M438" s="327"/>
      <c r="N438" s="327"/>
      <c r="O438" s="327"/>
      <c r="P438" s="327"/>
      <c r="Q438" s="327"/>
      <c r="R438" s="328"/>
      <c r="S438" s="327"/>
      <c r="T438" s="327"/>
      <c r="U438" s="327"/>
      <c r="V438" s="327"/>
      <c r="W438" s="327"/>
      <c r="X438" s="327"/>
    </row>
    <row r="439" spans="1:24" s="279" customFormat="1">
      <c r="A439" s="326"/>
      <c r="B439" s="328"/>
      <c r="C439" s="328"/>
      <c r="D439" s="328"/>
      <c r="E439" s="328"/>
      <c r="F439" s="327"/>
      <c r="G439" s="327"/>
      <c r="H439" s="327"/>
      <c r="I439" s="327"/>
      <c r="J439" s="327"/>
      <c r="K439" s="327"/>
      <c r="L439" s="327"/>
      <c r="M439" s="327"/>
      <c r="N439" s="327"/>
      <c r="O439" s="327"/>
      <c r="P439" s="327"/>
      <c r="Q439" s="327"/>
      <c r="R439" s="328"/>
      <c r="S439" s="327"/>
      <c r="T439" s="327"/>
      <c r="U439" s="327"/>
      <c r="V439" s="327"/>
      <c r="W439" s="327"/>
      <c r="X439" s="327"/>
    </row>
    <row r="440" spans="1:24" s="279" customFormat="1">
      <c r="A440" s="326"/>
      <c r="B440" s="328"/>
      <c r="C440" s="328"/>
      <c r="D440" s="328"/>
      <c r="E440" s="328"/>
      <c r="F440" s="327"/>
      <c r="G440" s="327"/>
      <c r="H440" s="327"/>
      <c r="I440" s="327"/>
      <c r="J440" s="327"/>
      <c r="K440" s="327"/>
      <c r="L440" s="327"/>
      <c r="M440" s="327"/>
      <c r="N440" s="327"/>
      <c r="O440" s="327"/>
      <c r="P440" s="327"/>
      <c r="Q440" s="327"/>
      <c r="R440" s="328"/>
      <c r="S440" s="327"/>
      <c r="T440" s="327"/>
      <c r="U440" s="327"/>
      <c r="V440" s="327"/>
      <c r="W440" s="327"/>
      <c r="X440" s="327"/>
    </row>
    <row r="441" spans="1:24" s="279" customFormat="1">
      <c r="A441" s="326"/>
      <c r="B441" s="328"/>
      <c r="C441" s="328"/>
      <c r="D441" s="328"/>
      <c r="E441" s="328"/>
      <c r="F441" s="327"/>
      <c r="G441" s="327"/>
      <c r="H441" s="327"/>
      <c r="I441" s="327"/>
      <c r="J441" s="327"/>
      <c r="K441" s="327"/>
      <c r="L441" s="327"/>
      <c r="M441" s="327"/>
      <c r="N441" s="327"/>
      <c r="O441" s="327"/>
      <c r="P441" s="327"/>
      <c r="Q441" s="327"/>
      <c r="R441" s="328"/>
      <c r="S441" s="327"/>
      <c r="T441" s="327"/>
      <c r="U441" s="327"/>
      <c r="V441" s="327"/>
      <c r="W441" s="327"/>
      <c r="X441" s="327"/>
    </row>
    <row r="442" spans="1:24" s="279" customFormat="1">
      <c r="A442" s="326"/>
      <c r="B442" s="328"/>
      <c r="C442" s="328"/>
      <c r="D442" s="328"/>
      <c r="E442" s="328"/>
      <c r="F442" s="327"/>
      <c r="G442" s="327"/>
      <c r="H442" s="327"/>
      <c r="I442" s="327"/>
      <c r="J442" s="327"/>
      <c r="K442" s="327"/>
      <c r="L442" s="327"/>
      <c r="M442" s="327"/>
      <c r="N442" s="327"/>
      <c r="O442" s="327"/>
      <c r="P442" s="327"/>
      <c r="Q442" s="327"/>
      <c r="R442" s="328"/>
      <c r="S442" s="327"/>
      <c r="T442" s="327"/>
      <c r="U442" s="327"/>
      <c r="V442" s="327"/>
      <c r="W442" s="327"/>
      <c r="X442" s="327"/>
    </row>
    <row r="443" spans="1:24" s="279" customFormat="1">
      <c r="A443" s="326"/>
      <c r="B443" s="328"/>
      <c r="C443" s="328"/>
      <c r="D443" s="328"/>
      <c r="E443" s="328"/>
      <c r="F443" s="327"/>
      <c r="G443" s="327"/>
      <c r="H443" s="327"/>
      <c r="I443" s="327"/>
      <c r="J443" s="327"/>
      <c r="K443" s="327"/>
      <c r="L443" s="327"/>
      <c r="M443" s="327"/>
      <c r="N443" s="327"/>
      <c r="O443" s="327"/>
      <c r="P443" s="327"/>
      <c r="Q443" s="327"/>
      <c r="R443" s="328"/>
      <c r="S443" s="327"/>
      <c r="T443" s="327"/>
      <c r="U443" s="327"/>
      <c r="V443" s="327"/>
      <c r="W443" s="327"/>
      <c r="X443" s="327"/>
    </row>
    <row r="444" spans="1:24" s="279" customFormat="1">
      <c r="A444" s="326"/>
      <c r="B444" s="328"/>
      <c r="C444" s="328"/>
      <c r="D444" s="328"/>
      <c r="E444" s="328"/>
      <c r="F444" s="327"/>
      <c r="G444" s="327"/>
      <c r="H444" s="327"/>
      <c r="I444" s="327"/>
      <c r="J444" s="327"/>
      <c r="K444" s="327"/>
      <c r="L444" s="327"/>
      <c r="M444" s="327"/>
      <c r="N444" s="327"/>
      <c r="O444" s="327"/>
      <c r="P444" s="327"/>
      <c r="Q444" s="327"/>
      <c r="R444" s="328"/>
      <c r="S444" s="327"/>
      <c r="T444" s="327"/>
      <c r="U444" s="327"/>
      <c r="V444" s="327"/>
      <c r="W444" s="327"/>
      <c r="X444" s="327"/>
    </row>
    <row r="445" spans="1:24" s="279" customFormat="1">
      <c r="A445" s="326"/>
      <c r="B445" s="328"/>
      <c r="C445" s="328"/>
      <c r="D445" s="328"/>
      <c r="E445" s="328"/>
      <c r="F445" s="327"/>
      <c r="G445" s="327"/>
      <c r="H445" s="327"/>
      <c r="I445" s="327"/>
      <c r="J445" s="327"/>
      <c r="K445" s="327"/>
      <c r="L445" s="327"/>
      <c r="M445" s="327"/>
      <c r="N445" s="327"/>
      <c r="O445" s="327"/>
      <c r="P445" s="327"/>
      <c r="Q445" s="327"/>
      <c r="R445" s="328"/>
      <c r="S445" s="327"/>
      <c r="T445" s="327"/>
      <c r="U445" s="327"/>
      <c r="V445" s="327"/>
      <c r="W445" s="327"/>
      <c r="X445" s="327"/>
    </row>
    <row r="446" spans="1:24" s="279" customFormat="1">
      <c r="A446" s="326"/>
      <c r="B446" s="328"/>
      <c r="C446" s="328"/>
      <c r="D446" s="328"/>
      <c r="E446" s="328"/>
      <c r="F446" s="327"/>
      <c r="G446" s="327"/>
      <c r="H446" s="327"/>
      <c r="I446" s="327"/>
      <c r="J446" s="327"/>
      <c r="K446" s="327"/>
      <c r="L446" s="327"/>
      <c r="M446" s="327"/>
      <c r="N446" s="327"/>
      <c r="O446" s="327"/>
      <c r="P446" s="327"/>
      <c r="Q446" s="327"/>
      <c r="R446" s="328"/>
      <c r="S446" s="327"/>
      <c r="T446" s="327"/>
      <c r="U446" s="327"/>
      <c r="V446" s="327"/>
      <c r="W446" s="327"/>
      <c r="X446" s="327"/>
    </row>
    <row r="447" spans="1:24" s="279" customFormat="1">
      <c r="A447" s="326"/>
      <c r="B447" s="328"/>
      <c r="C447" s="328"/>
      <c r="D447" s="328"/>
      <c r="E447" s="328"/>
      <c r="F447" s="327"/>
      <c r="G447" s="327"/>
      <c r="H447" s="327"/>
      <c r="I447" s="327"/>
      <c r="J447" s="327"/>
      <c r="K447" s="327"/>
      <c r="L447" s="327"/>
      <c r="M447" s="327"/>
      <c r="N447" s="327"/>
      <c r="O447" s="327"/>
      <c r="P447" s="327"/>
      <c r="Q447" s="327"/>
      <c r="R447" s="328"/>
      <c r="S447" s="327"/>
      <c r="T447" s="327"/>
      <c r="U447" s="327"/>
      <c r="V447" s="327"/>
      <c r="W447" s="327"/>
      <c r="X447" s="327"/>
    </row>
    <row r="448" spans="1:24" s="279" customFormat="1">
      <c r="A448" s="326"/>
      <c r="B448" s="328"/>
      <c r="C448" s="328"/>
      <c r="D448" s="328"/>
      <c r="E448" s="328"/>
      <c r="F448" s="327"/>
      <c r="G448" s="327"/>
      <c r="H448" s="327"/>
      <c r="I448" s="327"/>
      <c r="J448" s="327"/>
      <c r="K448" s="327"/>
      <c r="L448" s="327"/>
      <c r="M448" s="327"/>
      <c r="N448" s="327"/>
      <c r="O448" s="327"/>
      <c r="P448" s="327"/>
      <c r="Q448" s="327"/>
      <c r="R448" s="328"/>
      <c r="S448" s="327"/>
      <c r="T448" s="327"/>
      <c r="U448" s="327"/>
      <c r="V448" s="327"/>
      <c r="W448" s="327"/>
      <c r="X448" s="327"/>
    </row>
    <row r="449" spans="1:24" s="279" customFormat="1">
      <c r="A449" s="326"/>
      <c r="B449" s="328"/>
      <c r="C449" s="328"/>
      <c r="D449" s="328"/>
      <c r="E449" s="328"/>
      <c r="F449" s="327"/>
      <c r="G449" s="327"/>
      <c r="H449" s="327"/>
      <c r="I449" s="327"/>
      <c r="J449" s="327"/>
      <c r="K449" s="327"/>
      <c r="L449" s="327"/>
      <c r="M449" s="327"/>
      <c r="N449" s="327"/>
      <c r="O449" s="327"/>
      <c r="P449" s="327"/>
      <c r="Q449" s="327"/>
      <c r="R449" s="328"/>
      <c r="S449" s="327"/>
      <c r="T449" s="327"/>
      <c r="U449" s="327"/>
      <c r="V449" s="327"/>
      <c r="W449" s="327"/>
      <c r="X449" s="327"/>
    </row>
    <row r="450" spans="1:24" s="279" customFormat="1">
      <c r="A450" s="326"/>
      <c r="B450" s="328"/>
      <c r="C450" s="328"/>
      <c r="D450" s="328"/>
      <c r="E450" s="328"/>
      <c r="F450" s="327"/>
      <c r="G450" s="327"/>
      <c r="H450" s="327"/>
      <c r="I450" s="327"/>
      <c r="J450" s="327"/>
      <c r="K450" s="327"/>
      <c r="L450" s="327"/>
      <c r="M450" s="327"/>
      <c r="N450" s="327"/>
      <c r="O450" s="327"/>
      <c r="P450" s="327"/>
      <c r="Q450" s="327"/>
      <c r="R450" s="328"/>
      <c r="S450" s="327"/>
      <c r="T450" s="327"/>
      <c r="U450" s="327"/>
      <c r="V450" s="327"/>
      <c r="W450" s="327"/>
      <c r="X450" s="327"/>
    </row>
    <row r="451" spans="1:24" s="279" customFormat="1">
      <c r="A451" s="326"/>
      <c r="B451" s="328"/>
      <c r="C451" s="328"/>
      <c r="D451" s="328"/>
      <c r="E451" s="328"/>
      <c r="F451" s="327"/>
      <c r="G451" s="327"/>
      <c r="H451" s="327"/>
      <c r="I451" s="327"/>
      <c r="J451" s="327"/>
      <c r="K451" s="327"/>
      <c r="L451" s="327"/>
      <c r="M451" s="327"/>
      <c r="N451" s="327"/>
      <c r="O451" s="327"/>
      <c r="P451" s="327"/>
      <c r="Q451" s="327"/>
      <c r="R451" s="328"/>
      <c r="S451" s="327"/>
      <c r="T451" s="327"/>
      <c r="U451" s="327"/>
      <c r="V451" s="327"/>
      <c r="W451" s="327"/>
      <c r="X451" s="327"/>
    </row>
    <row r="452" spans="1:24" s="279" customFormat="1">
      <c r="A452" s="326"/>
      <c r="B452" s="328"/>
      <c r="C452" s="328"/>
      <c r="D452" s="328"/>
      <c r="E452" s="328"/>
      <c r="F452" s="327"/>
      <c r="G452" s="327"/>
      <c r="H452" s="327"/>
      <c r="I452" s="327"/>
      <c r="J452" s="327"/>
      <c r="K452" s="327"/>
      <c r="L452" s="327"/>
      <c r="M452" s="327"/>
      <c r="N452" s="327"/>
      <c r="O452" s="327"/>
      <c r="P452" s="327"/>
      <c r="Q452" s="327"/>
      <c r="R452" s="328"/>
      <c r="S452" s="327"/>
      <c r="T452" s="327"/>
      <c r="U452" s="327"/>
      <c r="V452" s="327"/>
      <c r="W452" s="327"/>
      <c r="X452" s="327"/>
    </row>
    <row r="453" spans="1:24" s="279" customFormat="1">
      <c r="A453" s="326"/>
      <c r="B453" s="328"/>
      <c r="C453" s="328"/>
      <c r="D453" s="328"/>
      <c r="E453" s="328"/>
      <c r="F453" s="327"/>
      <c r="G453" s="327"/>
      <c r="H453" s="327"/>
      <c r="I453" s="327"/>
      <c r="J453" s="327"/>
      <c r="K453" s="327"/>
      <c r="L453" s="327"/>
      <c r="M453" s="327"/>
      <c r="N453" s="327"/>
      <c r="O453" s="327"/>
      <c r="P453" s="327"/>
      <c r="Q453" s="327"/>
      <c r="R453" s="328"/>
      <c r="S453" s="327"/>
      <c r="T453" s="327"/>
      <c r="U453" s="327"/>
      <c r="V453" s="327"/>
      <c r="W453" s="327"/>
      <c r="X453" s="327"/>
    </row>
    <row r="454" spans="1:24" s="279" customFormat="1">
      <c r="A454" s="326"/>
      <c r="B454" s="328"/>
      <c r="C454" s="328"/>
      <c r="D454" s="328"/>
      <c r="E454" s="328"/>
      <c r="F454" s="327"/>
      <c r="G454" s="327"/>
      <c r="H454" s="327"/>
      <c r="I454" s="327"/>
      <c r="J454" s="327"/>
      <c r="K454" s="327"/>
      <c r="L454" s="327"/>
      <c r="M454" s="327"/>
      <c r="N454" s="327"/>
      <c r="O454" s="327"/>
      <c r="P454" s="327"/>
      <c r="Q454" s="327"/>
      <c r="R454" s="328"/>
      <c r="S454" s="327"/>
      <c r="T454" s="327"/>
      <c r="U454" s="327"/>
      <c r="V454" s="327"/>
      <c r="W454" s="327"/>
      <c r="X454" s="327"/>
    </row>
    <row r="455" spans="1:24" s="279" customFormat="1">
      <c r="A455" s="326"/>
      <c r="B455" s="328"/>
      <c r="C455" s="328"/>
      <c r="D455" s="328"/>
      <c r="E455" s="328"/>
      <c r="F455" s="327"/>
      <c r="G455" s="327"/>
      <c r="H455" s="327"/>
      <c r="I455" s="327"/>
      <c r="J455" s="327"/>
      <c r="K455" s="327"/>
      <c r="L455" s="327"/>
      <c r="M455" s="327"/>
      <c r="N455" s="327"/>
      <c r="O455" s="327"/>
      <c r="P455" s="327"/>
      <c r="Q455" s="327"/>
      <c r="R455" s="328"/>
      <c r="S455" s="327"/>
      <c r="T455" s="327"/>
      <c r="U455" s="327"/>
      <c r="V455" s="327"/>
      <c r="W455" s="327"/>
      <c r="X455" s="327"/>
    </row>
    <row r="456" spans="1:24" s="279" customFormat="1">
      <c r="A456" s="326"/>
      <c r="B456" s="328"/>
      <c r="C456" s="328"/>
      <c r="D456" s="328"/>
      <c r="E456" s="328"/>
      <c r="F456" s="327"/>
      <c r="G456" s="327"/>
      <c r="H456" s="327"/>
      <c r="I456" s="327"/>
      <c r="J456" s="327"/>
      <c r="K456" s="327"/>
      <c r="L456" s="327"/>
      <c r="M456" s="327"/>
      <c r="N456" s="327"/>
      <c r="O456" s="327"/>
      <c r="P456" s="327"/>
      <c r="Q456" s="327"/>
      <c r="R456" s="328"/>
      <c r="S456" s="327"/>
      <c r="T456" s="327"/>
      <c r="U456" s="327"/>
      <c r="V456" s="327"/>
      <c r="W456" s="327"/>
      <c r="X456" s="327"/>
    </row>
    <row r="457" spans="1:24" s="279" customFormat="1">
      <c r="A457" s="326"/>
      <c r="B457" s="328"/>
      <c r="C457" s="328"/>
      <c r="D457" s="328"/>
      <c r="E457" s="328"/>
      <c r="F457" s="327"/>
      <c r="G457" s="327"/>
      <c r="H457" s="327"/>
      <c r="I457" s="327"/>
      <c r="J457" s="327"/>
      <c r="K457" s="327"/>
      <c r="L457" s="327"/>
      <c r="M457" s="327"/>
      <c r="N457" s="327"/>
      <c r="O457" s="327"/>
      <c r="P457" s="327"/>
      <c r="Q457" s="327"/>
      <c r="R457" s="328"/>
      <c r="S457" s="327"/>
      <c r="T457" s="327"/>
      <c r="U457" s="327"/>
      <c r="V457" s="327"/>
      <c r="W457" s="327"/>
      <c r="X457" s="327"/>
    </row>
    <row r="458" spans="1:24" s="279" customFormat="1">
      <c r="A458" s="326"/>
      <c r="B458" s="328"/>
      <c r="C458" s="328"/>
      <c r="D458" s="328"/>
      <c r="E458" s="328"/>
      <c r="F458" s="327"/>
      <c r="G458" s="327"/>
      <c r="H458" s="327"/>
      <c r="I458" s="327"/>
      <c r="J458" s="327"/>
      <c r="K458" s="327"/>
      <c r="L458" s="327"/>
      <c r="M458" s="327"/>
      <c r="N458" s="327"/>
      <c r="O458" s="327"/>
      <c r="P458" s="327"/>
      <c r="Q458" s="327"/>
      <c r="R458" s="328"/>
      <c r="S458" s="327"/>
      <c r="T458" s="327"/>
      <c r="U458" s="327"/>
      <c r="V458" s="327"/>
      <c r="W458" s="327"/>
      <c r="X458" s="327"/>
    </row>
    <row r="459" spans="1:24" s="279" customFormat="1">
      <c r="A459" s="326"/>
      <c r="B459" s="328"/>
      <c r="C459" s="328"/>
      <c r="D459" s="328"/>
      <c r="E459" s="328"/>
      <c r="F459" s="327"/>
      <c r="G459" s="327"/>
      <c r="H459" s="327"/>
      <c r="I459" s="327"/>
      <c r="J459" s="327"/>
      <c r="K459" s="327"/>
      <c r="L459" s="327"/>
      <c r="M459" s="327"/>
      <c r="N459" s="327"/>
      <c r="O459" s="327"/>
      <c r="P459" s="327"/>
      <c r="Q459" s="327"/>
      <c r="R459" s="328"/>
      <c r="S459" s="327"/>
      <c r="T459" s="327"/>
      <c r="U459" s="327"/>
      <c r="V459" s="327"/>
      <c r="W459" s="327"/>
      <c r="X459" s="327"/>
    </row>
    <row r="460" spans="1:24" s="279" customFormat="1">
      <c r="A460" s="326"/>
      <c r="B460" s="328"/>
      <c r="C460" s="328"/>
      <c r="D460" s="328"/>
      <c r="E460" s="328"/>
      <c r="F460" s="327"/>
      <c r="G460" s="327"/>
      <c r="H460" s="327"/>
      <c r="I460" s="327"/>
      <c r="J460" s="327"/>
      <c r="K460" s="327"/>
      <c r="L460" s="327"/>
      <c r="M460" s="327"/>
      <c r="N460" s="327"/>
      <c r="O460" s="327"/>
      <c r="P460" s="327"/>
      <c r="Q460" s="327"/>
      <c r="R460" s="328"/>
      <c r="S460" s="327"/>
      <c r="T460" s="327"/>
      <c r="U460" s="327"/>
      <c r="V460" s="327"/>
      <c r="W460" s="327"/>
      <c r="X460" s="327"/>
    </row>
    <row r="461" spans="1:24" s="279" customFormat="1">
      <c r="A461" s="326"/>
      <c r="B461" s="328"/>
      <c r="C461" s="328"/>
      <c r="D461" s="328"/>
      <c r="E461" s="328"/>
      <c r="F461" s="327"/>
      <c r="G461" s="327"/>
      <c r="H461" s="327"/>
      <c r="I461" s="327"/>
      <c r="J461" s="327"/>
      <c r="K461" s="327"/>
      <c r="L461" s="327"/>
      <c r="M461" s="327"/>
      <c r="N461" s="327"/>
      <c r="O461" s="327"/>
      <c r="P461" s="327"/>
      <c r="Q461" s="327"/>
      <c r="R461" s="328"/>
      <c r="S461" s="327"/>
      <c r="T461" s="327"/>
      <c r="U461" s="327"/>
      <c r="V461" s="327"/>
      <c r="W461" s="327"/>
      <c r="X461" s="327"/>
    </row>
    <row r="462" spans="1:24" s="279" customFormat="1">
      <c r="A462" s="326"/>
      <c r="B462" s="328"/>
      <c r="C462" s="328"/>
      <c r="D462" s="328"/>
      <c r="E462" s="328"/>
      <c r="F462" s="327"/>
      <c r="G462" s="327"/>
      <c r="H462" s="327"/>
      <c r="I462" s="327"/>
      <c r="J462" s="327"/>
      <c r="K462" s="327"/>
      <c r="L462" s="327"/>
      <c r="M462" s="327"/>
      <c r="N462" s="327"/>
      <c r="O462" s="327"/>
      <c r="P462" s="327"/>
      <c r="Q462" s="327"/>
      <c r="R462" s="328"/>
      <c r="S462" s="327"/>
      <c r="T462" s="327"/>
      <c r="U462" s="327"/>
      <c r="V462" s="327"/>
      <c r="W462" s="327"/>
      <c r="X462" s="327"/>
    </row>
    <row r="463" spans="1:24" s="279" customFormat="1">
      <c r="A463" s="326"/>
      <c r="B463" s="328"/>
      <c r="C463" s="328"/>
      <c r="D463" s="328"/>
      <c r="E463" s="328"/>
      <c r="F463" s="327"/>
      <c r="G463" s="327"/>
      <c r="H463" s="327"/>
      <c r="I463" s="327"/>
      <c r="J463" s="327"/>
      <c r="K463" s="327"/>
      <c r="L463" s="327"/>
      <c r="M463" s="327"/>
      <c r="N463" s="327"/>
      <c r="O463" s="327"/>
      <c r="P463" s="327"/>
      <c r="Q463" s="327"/>
      <c r="R463" s="328"/>
      <c r="S463" s="327"/>
      <c r="T463" s="327"/>
      <c r="U463" s="327"/>
      <c r="V463" s="327"/>
      <c r="W463" s="327"/>
      <c r="X463" s="327"/>
    </row>
    <row r="464" spans="1:24" s="279" customFormat="1">
      <c r="A464" s="326"/>
      <c r="B464" s="328"/>
      <c r="C464" s="328"/>
      <c r="D464" s="328"/>
      <c r="E464" s="328"/>
      <c r="F464" s="327"/>
      <c r="G464" s="327"/>
      <c r="H464" s="327"/>
      <c r="I464" s="327"/>
      <c r="J464" s="327"/>
      <c r="K464" s="327"/>
      <c r="L464" s="327"/>
      <c r="M464" s="327"/>
      <c r="N464" s="327"/>
      <c r="O464" s="327"/>
      <c r="P464" s="327"/>
      <c r="Q464" s="327"/>
      <c r="R464" s="328"/>
      <c r="S464" s="327"/>
      <c r="T464" s="327"/>
      <c r="U464" s="327"/>
      <c r="V464" s="327"/>
      <c r="W464" s="327"/>
      <c r="X464" s="327"/>
    </row>
    <row r="465" spans="1:24" s="279" customFormat="1">
      <c r="A465" s="326"/>
      <c r="B465" s="328"/>
      <c r="C465" s="328"/>
      <c r="D465" s="328"/>
      <c r="E465" s="328"/>
      <c r="F465" s="327"/>
      <c r="G465" s="327"/>
      <c r="H465" s="327"/>
      <c r="I465" s="327"/>
      <c r="J465" s="327"/>
      <c r="K465" s="327"/>
      <c r="L465" s="327"/>
      <c r="M465" s="327"/>
      <c r="N465" s="327"/>
      <c r="O465" s="327"/>
      <c r="P465" s="327"/>
      <c r="Q465" s="327"/>
      <c r="R465" s="328"/>
      <c r="S465" s="327"/>
      <c r="T465" s="327"/>
      <c r="U465" s="327"/>
      <c r="V465" s="327"/>
      <c r="W465" s="327"/>
      <c r="X465" s="327"/>
    </row>
    <row r="466" spans="1:24" s="279" customFormat="1">
      <c r="A466" s="326"/>
      <c r="B466" s="328"/>
      <c r="C466" s="328"/>
      <c r="D466" s="328"/>
      <c r="E466" s="328"/>
      <c r="F466" s="327"/>
      <c r="G466" s="327"/>
      <c r="H466" s="327"/>
      <c r="I466" s="327"/>
      <c r="J466" s="327"/>
      <c r="K466" s="327"/>
      <c r="L466" s="327"/>
      <c r="M466" s="327"/>
      <c r="N466" s="327"/>
      <c r="O466" s="327"/>
      <c r="P466" s="327"/>
      <c r="Q466" s="327"/>
      <c r="R466" s="328"/>
      <c r="S466" s="327"/>
      <c r="T466" s="327"/>
      <c r="U466" s="327"/>
      <c r="V466" s="327"/>
      <c r="W466" s="327"/>
      <c r="X466" s="327"/>
    </row>
    <row r="467" spans="1:24" s="279" customFormat="1">
      <c r="A467" s="326"/>
      <c r="B467" s="328"/>
      <c r="C467" s="328"/>
      <c r="D467" s="328"/>
      <c r="E467" s="328"/>
      <c r="F467" s="327"/>
      <c r="G467" s="327"/>
      <c r="H467" s="327"/>
      <c r="I467" s="327"/>
      <c r="J467" s="327"/>
      <c r="K467" s="327"/>
      <c r="L467" s="327"/>
      <c r="M467" s="327"/>
      <c r="N467" s="327"/>
      <c r="O467" s="327"/>
      <c r="P467" s="327"/>
      <c r="Q467" s="327"/>
      <c r="R467" s="328"/>
      <c r="S467" s="327"/>
      <c r="T467" s="327"/>
      <c r="U467" s="327"/>
      <c r="V467" s="327"/>
      <c r="W467" s="327"/>
      <c r="X467" s="327"/>
    </row>
    <row r="468" spans="1:24" s="279" customFormat="1">
      <c r="A468" s="326"/>
      <c r="B468" s="328"/>
      <c r="C468" s="328"/>
      <c r="D468" s="328"/>
      <c r="E468" s="328"/>
      <c r="F468" s="327"/>
      <c r="G468" s="327"/>
      <c r="H468" s="327"/>
      <c r="I468" s="327"/>
      <c r="J468" s="327"/>
      <c r="K468" s="327"/>
      <c r="L468" s="327"/>
      <c r="M468" s="327"/>
      <c r="N468" s="327"/>
      <c r="O468" s="327"/>
      <c r="P468" s="327"/>
      <c r="Q468" s="327"/>
      <c r="R468" s="328"/>
      <c r="S468" s="327"/>
      <c r="T468" s="327"/>
      <c r="U468" s="327"/>
      <c r="V468" s="327"/>
      <c r="W468" s="327"/>
      <c r="X468" s="327"/>
    </row>
    <row r="469" spans="1:24" s="279" customFormat="1">
      <c r="A469" s="326"/>
      <c r="B469" s="328"/>
      <c r="C469" s="328"/>
      <c r="D469" s="328"/>
      <c r="E469" s="328"/>
      <c r="F469" s="327"/>
      <c r="G469" s="327"/>
      <c r="H469" s="327"/>
      <c r="I469" s="327"/>
      <c r="J469" s="327"/>
      <c r="K469" s="327"/>
      <c r="L469" s="327"/>
      <c r="M469" s="327"/>
      <c r="N469" s="327"/>
      <c r="O469" s="327"/>
      <c r="P469" s="327"/>
      <c r="Q469" s="327"/>
      <c r="R469" s="328"/>
      <c r="S469" s="327"/>
      <c r="T469" s="327"/>
      <c r="U469" s="327"/>
      <c r="V469" s="327"/>
      <c r="W469" s="327"/>
      <c r="X469" s="327"/>
    </row>
    <row r="470" spans="1:24" s="279" customFormat="1">
      <c r="A470" s="326"/>
      <c r="B470" s="328"/>
      <c r="C470" s="328"/>
      <c r="D470" s="328"/>
      <c r="E470" s="328"/>
      <c r="F470" s="327"/>
      <c r="G470" s="327"/>
      <c r="H470" s="327"/>
      <c r="I470" s="327"/>
      <c r="J470" s="327"/>
      <c r="K470" s="327"/>
      <c r="L470" s="327"/>
      <c r="M470" s="327"/>
      <c r="N470" s="327"/>
      <c r="O470" s="327"/>
      <c r="P470" s="327"/>
      <c r="Q470" s="327"/>
      <c r="R470" s="328"/>
      <c r="S470" s="327"/>
      <c r="T470" s="327"/>
      <c r="U470" s="327"/>
      <c r="V470" s="327"/>
      <c r="W470" s="327"/>
      <c r="X470" s="327"/>
    </row>
    <row r="471" spans="1:24" s="279" customFormat="1">
      <c r="A471" s="326"/>
      <c r="B471" s="328"/>
      <c r="C471" s="328"/>
      <c r="D471" s="328"/>
      <c r="E471" s="328"/>
      <c r="F471" s="327"/>
      <c r="G471" s="327"/>
      <c r="H471" s="327"/>
      <c r="I471" s="327"/>
      <c r="J471" s="327"/>
      <c r="K471" s="327"/>
      <c r="L471" s="327"/>
      <c r="M471" s="327"/>
      <c r="N471" s="327"/>
      <c r="O471" s="327"/>
      <c r="P471" s="327"/>
      <c r="Q471" s="327"/>
      <c r="R471" s="328"/>
      <c r="S471" s="327"/>
      <c r="T471" s="327"/>
      <c r="U471" s="327"/>
      <c r="V471" s="327"/>
      <c r="W471" s="327"/>
      <c r="X471" s="327"/>
    </row>
    <row r="472" spans="1:24" s="279" customFormat="1">
      <c r="A472" s="326"/>
      <c r="B472" s="328"/>
      <c r="C472" s="328"/>
      <c r="D472" s="328"/>
      <c r="E472" s="328"/>
      <c r="F472" s="327"/>
      <c r="G472" s="327"/>
      <c r="H472" s="327"/>
      <c r="I472" s="327"/>
      <c r="J472" s="327"/>
      <c r="K472" s="327"/>
      <c r="L472" s="327"/>
      <c r="M472" s="327"/>
      <c r="N472" s="327"/>
      <c r="O472" s="327"/>
      <c r="P472" s="327"/>
      <c r="Q472" s="327"/>
      <c r="R472" s="328"/>
      <c r="S472" s="327"/>
      <c r="T472" s="327"/>
      <c r="U472" s="327"/>
      <c r="V472" s="327"/>
      <c r="W472" s="327"/>
      <c r="X472" s="327"/>
    </row>
    <row r="473" spans="1:24" s="279" customFormat="1">
      <c r="A473" s="326"/>
      <c r="B473" s="328"/>
      <c r="C473" s="328"/>
      <c r="D473" s="328"/>
      <c r="E473" s="328"/>
      <c r="F473" s="327"/>
      <c r="G473" s="327"/>
      <c r="H473" s="327"/>
      <c r="I473" s="327"/>
      <c r="J473" s="327"/>
      <c r="K473" s="327"/>
      <c r="L473" s="327"/>
      <c r="M473" s="327"/>
      <c r="N473" s="327"/>
      <c r="O473" s="327"/>
      <c r="P473" s="327"/>
      <c r="Q473" s="327"/>
      <c r="R473" s="328"/>
      <c r="S473" s="327"/>
      <c r="T473" s="327"/>
      <c r="U473" s="327"/>
      <c r="V473" s="327"/>
      <c r="W473" s="327"/>
      <c r="X473" s="327"/>
    </row>
    <row r="474" spans="1:24" s="279" customFormat="1">
      <c r="A474" s="326"/>
      <c r="B474" s="328"/>
      <c r="C474" s="328"/>
      <c r="D474" s="328"/>
      <c r="E474" s="328"/>
      <c r="F474" s="327"/>
      <c r="G474" s="327"/>
      <c r="H474" s="327"/>
      <c r="I474" s="327"/>
      <c r="J474" s="327"/>
      <c r="K474" s="327"/>
      <c r="L474" s="327"/>
      <c r="M474" s="327"/>
      <c r="N474" s="327"/>
      <c r="O474" s="327"/>
      <c r="P474" s="327"/>
      <c r="Q474" s="327"/>
      <c r="R474" s="328"/>
      <c r="S474" s="327"/>
      <c r="T474" s="327"/>
      <c r="U474" s="327"/>
      <c r="V474" s="327"/>
      <c r="W474" s="327"/>
      <c r="X474" s="327"/>
    </row>
    <row r="475" spans="1:24" s="279" customFormat="1">
      <c r="A475" s="326"/>
      <c r="B475" s="328"/>
      <c r="C475" s="328"/>
      <c r="D475" s="328"/>
      <c r="E475" s="328"/>
      <c r="F475" s="327"/>
      <c r="G475" s="327"/>
      <c r="H475" s="327"/>
      <c r="I475" s="327"/>
      <c r="J475" s="327"/>
      <c r="K475" s="327"/>
      <c r="L475" s="327"/>
      <c r="M475" s="327"/>
      <c r="N475" s="327"/>
      <c r="O475" s="327"/>
      <c r="P475" s="327"/>
      <c r="Q475" s="327"/>
      <c r="R475" s="328"/>
      <c r="S475" s="327"/>
      <c r="T475" s="327"/>
      <c r="U475" s="327"/>
      <c r="V475" s="327"/>
      <c r="W475" s="327"/>
      <c r="X475" s="327"/>
    </row>
    <row r="476" spans="1:24" s="279" customFormat="1">
      <c r="A476" s="326"/>
      <c r="B476" s="328"/>
      <c r="C476" s="328"/>
      <c r="D476" s="328"/>
      <c r="E476" s="328"/>
      <c r="F476" s="327"/>
      <c r="G476" s="327"/>
      <c r="H476" s="327"/>
      <c r="I476" s="327"/>
      <c r="J476" s="327"/>
      <c r="K476" s="327"/>
      <c r="L476" s="327"/>
      <c r="M476" s="327"/>
      <c r="N476" s="327"/>
      <c r="O476" s="327"/>
      <c r="P476" s="327"/>
      <c r="Q476" s="327"/>
      <c r="R476" s="328"/>
      <c r="S476" s="327"/>
      <c r="T476" s="327"/>
      <c r="U476" s="327"/>
      <c r="V476" s="327"/>
      <c r="W476" s="327"/>
      <c r="X476" s="327"/>
    </row>
    <row r="477" spans="1:24" s="279" customFormat="1">
      <c r="A477" s="326"/>
      <c r="B477" s="328"/>
      <c r="C477" s="328"/>
      <c r="D477" s="328"/>
      <c r="E477" s="328"/>
      <c r="F477" s="327"/>
      <c r="G477" s="327"/>
      <c r="H477" s="327"/>
      <c r="I477" s="327"/>
      <c r="J477" s="327"/>
      <c r="K477" s="327"/>
      <c r="L477" s="327"/>
      <c r="M477" s="327"/>
      <c r="N477" s="327"/>
      <c r="O477" s="327"/>
      <c r="P477" s="327"/>
      <c r="Q477" s="327"/>
      <c r="R477" s="328"/>
      <c r="S477" s="327"/>
      <c r="T477" s="327"/>
      <c r="U477" s="327"/>
      <c r="V477" s="327"/>
      <c r="W477" s="327"/>
      <c r="X477" s="327"/>
    </row>
    <row r="478" spans="1:24" s="279" customFormat="1">
      <c r="A478" s="326"/>
      <c r="B478" s="328"/>
      <c r="C478" s="328"/>
      <c r="D478" s="328"/>
      <c r="E478" s="328"/>
      <c r="F478" s="327"/>
      <c r="G478" s="327"/>
      <c r="H478" s="327"/>
      <c r="I478" s="327"/>
      <c r="J478" s="327"/>
      <c r="K478" s="327"/>
      <c r="L478" s="327"/>
      <c r="M478" s="327"/>
      <c r="N478" s="327"/>
      <c r="O478" s="327"/>
      <c r="P478" s="327"/>
      <c r="Q478" s="327"/>
      <c r="R478" s="328"/>
      <c r="S478" s="327"/>
      <c r="T478" s="327"/>
      <c r="U478" s="327"/>
      <c r="V478" s="327"/>
      <c r="W478" s="327"/>
      <c r="X478" s="327"/>
    </row>
    <row r="479" spans="1:24" s="279" customFormat="1">
      <c r="A479" s="326"/>
      <c r="B479" s="328"/>
      <c r="C479" s="328"/>
      <c r="D479" s="328"/>
      <c r="E479" s="328"/>
      <c r="F479" s="327"/>
      <c r="G479" s="327"/>
      <c r="H479" s="327"/>
      <c r="I479" s="327"/>
      <c r="J479" s="327"/>
      <c r="K479" s="327"/>
      <c r="L479" s="327"/>
      <c r="M479" s="327"/>
      <c r="N479" s="327"/>
      <c r="O479" s="327"/>
      <c r="P479" s="327"/>
      <c r="Q479" s="327"/>
      <c r="R479" s="328"/>
      <c r="S479" s="327"/>
      <c r="T479" s="327"/>
      <c r="U479" s="327"/>
      <c r="V479" s="327"/>
      <c r="W479" s="327"/>
      <c r="X479" s="327"/>
    </row>
    <row r="480" spans="1:24" s="279" customFormat="1">
      <c r="A480" s="326"/>
      <c r="B480" s="328"/>
      <c r="C480" s="328"/>
      <c r="D480" s="328"/>
      <c r="E480" s="328"/>
      <c r="F480" s="327"/>
      <c r="G480" s="327"/>
      <c r="H480" s="327"/>
      <c r="I480" s="327"/>
      <c r="J480" s="327"/>
      <c r="K480" s="327"/>
      <c r="L480" s="327"/>
      <c r="M480" s="327"/>
      <c r="N480" s="327"/>
      <c r="O480" s="327"/>
      <c r="P480" s="327"/>
      <c r="Q480" s="327"/>
      <c r="R480" s="328"/>
      <c r="S480" s="327"/>
      <c r="T480" s="327"/>
      <c r="U480" s="327"/>
      <c r="V480" s="327"/>
      <c r="W480" s="327"/>
      <c r="X480" s="327"/>
    </row>
    <row r="481" spans="1:24" s="279" customFormat="1">
      <c r="A481" s="326"/>
      <c r="B481" s="328"/>
      <c r="C481" s="328"/>
      <c r="D481" s="328"/>
      <c r="E481" s="328"/>
      <c r="F481" s="327"/>
      <c r="G481" s="327"/>
      <c r="H481" s="327"/>
      <c r="I481" s="327"/>
      <c r="J481" s="327"/>
      <c r="K481" s="327"/>
      <c r="L481" s="327"/>
      <c r="M481" s="327"/>
      <c r="N481" s="327"/>
      <c r="O481" s="327"/>
      <c r="P481" s="327"/>
      <c r="Q481" s="327"/>
      <c r="R481" s="328"/>
      <c r="S481" s="327"/>
      <c r="T481" s="327"/>
      <c r="U481" s="327"/>
      <c r="V481" s="327"/>
      <c r="W481" s="327"/>
      <c r="X481" s="327"/>
    </row>
    <row r="482" spans="1:24" s="279" customFormat="1">
      <c r="A482" s="326"/>
      <c r="B482" s="328"/>
      <c r="C482" s="328"/>
      <c r="D482" s="328"/>
      <c r="E482" s="328"/>
      <c r="F482" s="327"/>
      <c r="G482" s="327"/>
      <c r="H482" s="327"/>
      <c r="I482" s="327"/>
      <c r="J482" s="327"/>
      <c r="K482" s="327"/>
      <c r="L482" s="327"/>
      <c r="M482" s="327"/>
      <c r="N482" s="327"/>
      <c r="O482" s="327"/>
      <c r="P482" s="327"/>
      <c r="Q482" s="327"/>
      <c r="R482" s="328"/>
      <c r="S482" s="327"/>
      <c r="T482" s="327"/>
      <c r="U482" s="327"/>
      <c r="V482" s="327"/>
      <c r="W482" s="327"/>
      <c r="X482" s="327"/>
    </row>
    <row r="483" spans="1:24" s="279" customFormat="1">
      <c r="A483" s="326"/>
      <c r="B483" s="328"/>
      <c r="C483" s="328"/>
      <c r="D483" s="328"/>
      <c r="E483" s="328"/>
      <c r="F483" s="327"/>
      <c r="G483" s="327"/>
      <c r="H483" s="327"/>
      <c r="I483" s="327"/>
      <c r="J483" s="327"/>
      <c r="K483" s="327"/>
      <c r="L483" s="327"/>
      <c r="M483" s="327"/>
      <c r="N483" s="327"/>
      <c r="O483" s="327"/>
      <c r="P483" s="327"/>
      <c r="Q483" s="327"/>
      <c r="R483" s="328"/>
      <c r="S483" s="327"/>
      <c r="T483" s="327"/>
      <c r="U483" s="327"/>
      <c r="V483" s="327"/>
      <c r="W483" s="327"/>
      <c r="X483" s="327"/>
    </row>
    <row r="484" spans="1:24" s="279" customFormat="1">
      <c r="A484" s="326"/>
      <c r="B484" s="328"/>
      <c r="C484" s="328"/>
      <c r="D484" s="328"/>
      <c r="E484" s="328"/>
      <c r="F484" s="327"/>
      <c r="G484" s="327"/>
      <c r="H484" s="327"/>
      <c r="I484" s="327"/>
      <c r="J484" s="327"/>
      <c r="K484" s="327"/>
      <c r="L484" s="327"/>
      <c r="M484" s="327"/>
      <c r="N484" s="327"/>
      <c r="O484" s="327"/>
      <c r="P484" s="327"/>
      <c r="Q484" s="327"/>
      <c r="R484" s="328"/>
      <c r="S484" s="327"/>
      <c r="T484" s="327"/>
      <c r="U484" s="327"/>
      <c r="V484" s="327"/>
      <c r="W484" s="327"/>
      <c r="X484" s="327"/>
    </row>
    <row r="485" spans="1:24" s="279" customFormat="1">
      <c r="A485" s="326"/>
      <c r="B485" s="328"/>
      <c r="C485" s="328"/>
      <c r="D485" s="328"/>
      <c r="E485" s="328"/>
      <c r="F485" s="327"/>
      <c r="G485" s="327"/>
      <c r="H485" s="327"/>
      <c r="I485" s="327"/>
      <c r="J485" s="327"/>
      <c r="K485" s="327"/>
      <c r="L485" s="327"/>
      <c r="M485" s="327"/>
      <c r="N485" s="327"/>
      <c r="O485" s="327"/>
      <c r="P485" s="327"/>
      <c r="Q485" s="327"/>
      <c r="R485" s="328"/>
      <c r="S485" s="327"/>
      <c r="T485" s="327"/>
      <c r="U485" s="327"/>
      <c r="V485" s="327"/>
      <c r="W485" s="327"/>
      <c r="X485" s="327"/>
    </row>
    <row r="486" spans="1:24" s="279" customFormat="1">
      <c r="A486" s="326"/>
      <c r="B486" s="328"/>
      <c r="C486" s="328"/>
      <c r="D486" s="328"/>
      <c r="E486" s="328"/>
      <c r="F486" s="327"/>
      <c r="G486" s="327"/>
      <c r="H486" s="327"/>
      <c r="I486" s="327"/>
      <c r="J486" s="327"/>
      <c r="K486" s="327"/>
      <c r="L486" s="327"/>
      <c r="M486" s="327"/>
      <c r="N486" s="327"/>
      <c r="O486" s="327"/>
      <c r="P486" s="327"/>
      <c r="Q486" s="327"/>
      <c r="R486" s="328"/>
      <c r="S486" s="327"/>
      <c r="T486" s="327"/>
      <c r="U486" s="327"/>
      <c r="V486" s="327"/>
      <c r="W486" s="327"/>
      <c r="X486" s="327"/>
    </row>
    <row r="487" spans="1:24" s="279" customFormat="1">
      <c r="A487" s="326"/>
      <c r="B487" s="328"/>
      <c r="C487" s="328"/>
      <c r="D487" s="328"/>
      <c r="E487" s="328"/>
      <c r="F487" s="327"/>
      <c r="G487" s="327"/>
      <c r="H487" s="327"/>
      <c r="I487" s="327"/>
      <c r="J487" s="327"/>
      <c r="K487" s="327"/>
      <c r="L487" s="327"/>
      <c r="M487" s="327"/>
      <c r="N487" s="327"/>
      <c r="O487" s="327"/>
      <c r="P487" s="327"/>
      <c r="Q487" s="327"/>
      <c r="R487" s="328"/>
      <c r="S487" s="327"/>
      <c r="T487" s="327"/>
      <c r="U487" s="327"/>
      <c r="V487" s="327"/>
      <c r="W487" s="327"/>
      <c r="X487" s="327"/>
    </row>
    <row r="488" spans="1:24" s="279" customFormat="1">
      <c r="A488" s="326"/>
      <c r="B488" s="328"/>
      <c r="C488" s="328"/>
      <c r="D488" s="328"/>
      <c r="E488" s="328"/>
      <c r="F488" s="327"/>
      <c r="G488" s="327"/>
      <c r="H488" s="327"/>
      <c r="I488" s="327"/>
      <c r="J488" s="327"/>
      <c r="K488" s="327"/>
      <c r="L488" s="327"/>
      <c r="M488" s="327"/>
      <c r="N488" s="327"/>
      <c r="O488" s="327"/>
      <c r="P488" s="327"/>
      <c r="Q488" s="327"/>
      <c r="R488" s="328"/>
      <c r="S488" s="327"/>
      <c r="T488" s="327"/>
      <c r="U488" s="327"/>
      <c r="V488" s="327"/>
      <c r="W488" s="327"/>
      <c r="X488" s="327"/>
    </row>
    <row r="489" spans="1:24" s="279" customFormat="1">
      <c r="A489" s="326"/>
      <c r="B489" s="328"/>
      <c r="C489" s="328"/>
      <c r="D489" s="328"/>
      <c r="E489" s="328"/>
      <c r="F489" s="327"/>
      <c r="G489" s="327"/>
      <c r="H489" s="327"/>
      <c r="I489" s="327"/>
      <c r="J489" s="327"/>
      <c r="K489" s="327"/>
      <c r="L489" s="327"/>
      <c r="M489" s="327"/>
      <c r="N489" s="327"/>
      <c r="O489" s="327"/>
      <c r="P489" s="327"/>
      <c r="Q489" s="327"/>
      <c r="R489" s="328"/>
      <c r="S489" s="327"/>
      <c r="T489" s="327"/>
      <c r="U489" s="327"/>
      <c r="V489" s="327"/>
      <c r="W489" s="327"/>
      <c r="X489" s="327"/>
    </row>
    <row r="490" spans="1:24" s="279" customFormat="1">
      <c r="A490" s="326"/>
      <c r="B490" s="328"/>
      <c r="C490" s="328"/>
      <c r="D490" s="328"/>
      <c r="E490" s="328"/>
      <c r="F490" s="327"/>
      <c r="G490" s="327"/>
      <c r="H490" s="327"/>
      <c r="I490" s="327"/>
      <c r="J490" s="327"/>
      <c r="K490" s="327"/>
      <c r="L490" s="327"/>
      <c r="M490" s="327"/>
      <c r="N490" s="327"/>
      <c r="O490" s="327"/>
      <c r="P490" s="327"/>
      <c r="Q490" s="327"/>
      <c r="R490" s="328"/>
      <c r="S490" s="327"/>
      <c r="T490" s="327"/>
      <c r="U490" s="327"/>
      <c r="V490" s="327"/>
      <c r="W490" s="327"/>
      <c r="X490" s="327"/>
    </row>
    <row r="491" spans="1:24" s="279" customFormat="1">
      <c r="A491" s="326"/>
      <c r="B491" s="328"/>
      <c r="C491" s="328"/>
      <c r="D491" s="328"/>
      <c r="E491" s="328"/>
      <c r="F491" s="327"/>
      <c r="G491" s="327"/>
      <c r="H491" s="327"/>
      <c r="I491" s="327"/>
      <c r="J491" s="327"/>
      <c r="K491" s="327"/>
      <c r="L491" s="327"/>
      <c r="M491" s="327"/>
      <c r="N491" s="327"/>
      <c r="O491" s="327"/>
      <c r="P491" s="327"/>
      <c r="Q491" s="327"/>
      <c r="R491" s="328"/>
      <c r="S491" s="327"/>
      <c r="T491" s="327"/>
      <c r="U491" s="327"/>
      <c r="V491" s="327"/>
      <c r="W491" s="327"/>
      <c r="X491" s="327"/>
    </row>
    <row r="492" spans="1:24" s="279" customFormat="1">
      <c r="A492" s="326"/>
      <c r="B492" s="328"/>
      <c r="C492" s="328"/>
      <c r="D492" s="328"/>
      <c r="E492" s="328"/>
      <c r="F492" s="327"/>
      <c r="G492" s="327"/>
      <c r="H492" s="327"/>
      <c r="I492" s="327"/>
      <c r="J492" s="327"/>
      <c r="K492" s="327"/>
      <c r="L492" s="327"/>
      <c r="M492" s="327"/>
      <c r="N492" s="327"/>
      <c r="O492" s="327"/>
      <c r="P492" s="327"/>
      <c r="Q492" s="327"/>
      <c r="R492" s="328"/>
      <c r="S492" s="327"/>
      <c r="T492" s="327"/>
      <c r="U492" s="327"/>
      <c r="V492" s="327"/>
      <c r="W492" s="327"/>
      <c r="X492" s="327"/>
    </row>
    <row r="493" spans="1:24" s="279" customFormat="1">
      <c r="A493" s="326"/>
      <c r="B493" s="328"/>
      <c r="C493" s="328"/>
      <c r="D493" s="328"/>
      <c r="E493" s="328"/>
      <c r="F493" s="327"/>
      <c r="G493" s="327"/>
      <c r="H493" s="327"/>
      <c r="I493" s="327"/>
      <c r="J493" s="327"/>
      <c r="K493" s="327"/>
      <c r="L493" s="327"/>
      <c r="M493" s="327"/>
      <c r="N493" s="327"/>
      <c r="O493" s="327"/>
      <c r="P493" s="327"/>
      <c r="Q493" s="327"/>
      <c r="R493" s="328"/>
      <c r="S493" s="327"/>
      <c r="T493" s="327"/>
      <c r="U493" s="327"/>
      <c r="V493" s="327"/>
      <c r="W493" s="327"/>
      <c r="X493" s="327"/>
    </row>
    <row r="494" spans="1:24" s="279" customFormat="1">
      <c r="A494" s="326"/>
      <c r="B494" s="328"/>
      <c r="C494" s="328"/>
      <c r="D494" s="328"/>
      <c r="E494" s="328"/>
      <c r="F494" s="327"/>
      <c r="G494" s="327"/>
      <c r="H494" s="327"/>
      <c r="I494" s="327"/>
      <c r="J494" s="327"/>
      <c r="K494" s="327"/>
      <c r="L494" s="327"/>
      <c r="M494" s="327"/>
      <c r="N494" s="327"/>
      <c r="O494" s="327"/>
      <c r="P494" s="327"/>
      <c r="Q494" s="327"/>
      <c r="R494" s="328"/>
      <c r="S494" s="327"/>
      <c r="T494" s="327"/>
      <c r="U494" s="327"/>
      <c r="V494" s="327"/>
      <c r="W494" s="327"/>
      <c r="X494" s="327"/>
    </row>
    <row r="495" spans="1:24" s="279" customFormat="1">
      <c r="A495" s="326"/>
      <c r="B495" s="328"/>
      <c r="C495" s="328"/>
      <c r="D495" s="328"/>
      <c r="E495" s="328"/>
      <c r="F495" s="327"/>
      <c r="G495" s="327"/>
      <c r="H495" s="327"/>
      <c r="I495" s="327"/>
      <c r="J495" s="327"/>
      <c r="K495" s="327"/>
      <c r="L495" s="327"/>
      <c r="M495" s="327"/>
      <c r="N495" s="327"/>
      <c r="O495" s="327"/>
      <c r="P495" s="327"/>
      <c r="Q495" s="327"/>
      <c r="R495" s="328"/>
      <c r="S495" s="327"/>
      <c r="T495" s="327"/>
      <c r="U495" s="327"/>
      <c r="V495" s="327"/>
      <c r="W495" s="327"/>
      <c r="X495" s="327"/>
    </row>
    <row r="496" spans="1:24" s="279" customFormat="1">
      <c r="A496" s="326"/>
      <c r="B496" s="328"/>
      <c r="C496" s="328"/>
      <c r="D496" s="328"/>
      <c r="E496" s="328"/>
      <c r="F496" s="327"/>
      <c r="G496" s="327"/>
      <c r="H496" s="327"/>
      <c r="I496" s="327"/>
      <c r="J496" s="327"/>
      <c r="K496" s="327"/>
      <c r="L496" s="327"/>
      <c r="M496" s="327"/>
      <c r="N496" s="327"/>
      <c r="O496" s="327"/>
      <c r="P496" s="327"/>
      <c r="Q496" s="327"/>
      <c r="R496" s="328"/>
      <c r="S496" s="327"/>
      <c r="T496" s="327"/>
      <c r="U496" s="327"/>
      <c r="V496" s="327"/>
      <c r="W496" s="327"/>
      <c r="X496" s="327"/>
    </row>
    <row r="497" spans="1:24" s="279" customFormat="1">
      <c r="A497" s="326"/>
      <c r="B497" s="328"/>
      <c r="C497" s="328"/>
      <c r="D497" s="328"/>
      <c r="E497" s="328"/>
      <c r="F497" s="327"/>
      <c r="G497" s="327"/>
      <c r="H497" s="327"/>
      <c r="I497" s="327"/>
      <c r="J497" s="327"/>
      <c r="K497" s="327"/>
      <c r="L497" s="327"/>
      <c r="M497" s="327"/>
      <c r="N497" s="327"/>
      <c r="O497" s="327"/>
      <c r="P497" s="327"/>
      <c r="Q497" s="327"/>
      <c r="R497" s="328"/>
      <c r="S497" s="327"/>
      <c r="T497" s="327"/>
      <c r="U497" s="327"/>
      <c r="V497" s="327"/>
      <c r="W497" s="327"/>
      <c r="X497" s="327"/>
    </row>
    <row r="498" spans="1:24" s="279" customFormat="1">
      <c r="A498" s="326"/>
      <c r="B498" s="328"/>
      <c r="C498" s="328"/>
      <c r="D498" s="328"/>
      <c r="E498" s="328"/>
      <c r="F498" s="327"/>
      <c r="G498" s="327"/>
      <c r="H498" s="327"/>
      <c r="I498" s="327"/>
      <c r="J498" s="327"/>
      <c r="K498" s="327"/>
      <c r="L498" s="327"/>
      <c r="M498" s="327"/>
      <c r="N498" s="327"/>
      <c r="O498" s="327"/>
      <c r="P498" s="327"/>
      <c r="Q498" s="327"/>
      <c r="R498" s="328"/>
      <c r="S498" s="327"/>
      <c r="T498" s="327"/>
      <c r="U498" s="327"/>
      <c r="V498" s="327"/>
      <c r="W498" s="327"/>
      <c r="X498" s="327"/>
    </row>
    <row r="499" spans="1:24" s="279" customFormat="1">
      <c r="A499" s="326"/>
      <c r="B499" s="328"/>
      <c r="C499" s="328"/>
      <c r="D499" s="328"/>
      <c r="E499" s="328"/>
      <c r="F499" s="327"/>
      <c r="G499" s="327"/>
      <c r="H499" s="327"/>
      <c r="I499" s="327"/>
      <c r="J499" s="327"/>
      <c r="K499" s="327"/>
      <c r="L499" s="327"/>
      <c r="M499" s="327"/>
      <c r="N499" s="327"/>
      <c r="O499" s="327"/>
      <c r="P499" s="327"/>
      <c r="Q499" s="327"/>
      <c r="R499" s="328"/>
      <c r="S499" s="327"/>
      <c r="T499" s="327"/>
      <c r="U499" s="327"/>
      <c r="V499" s="327"/>
      <c r="W499" s="327"/>
      <c r="X499" s="327"/>
    </row>
    <row r="500" spans="1:24" s="279" customFormat="1">
      <c r="A500" s="326"/>
      <c r="B500" s="328"/>
      <c r="C500" s="328"/>
      <c r="D500" s="328"/>
      <c r="E500" s="328"/>
      <c r="F500" s="327"/>
      <c r="G500" s="327"/>
      <c r="H500" s="327"/>
      <c r="I500" s="327"/>
      <c r="J500" s="327"/>
      <c r="K500" s="327"/>
      <c r="L500" s="327"/>
      <c r="M500" s="327"/>
      <c r="N500" s="327"/>
      <c r="O500" s="327"/>
      <c r="P500" s="327"/>
      <c r="Q500" s="327"/>
      <c r="R500" s="328"/>
      <c r="S500" s="327"/>
      <c r="T500" s="327"/>
      <c r="U500" s="327"/>
      <c r="V500" s="327"/>
      <c r="W500" s="327"/>
      <c r="X500" s="327"/>
    </row>
    <row r="501" spans="1:24" s="279" customFormat="1">
      <c r="A501" s="326"/>
      <c r="B501" s="328"/>
      <c r="C501" s="328"/>
      <c r="D501" s="328"/>
      <c r="E501" s="328"/>
      <c r="F501" s="327"/>
      <c r="G501" s="327"/>
      <c r="H501" s="327"/>
      <c r="I501" s="327"/>
      <c r="J501" s="327"/>
      <c r="K501" s="327"/>
      <c r="L501" s="327"/>
      <c r="M501" s="327"/>
      <c r="N501" s="327"/>
      <c r="O501" s="327"/>
      <c r="P501" s="327"/>
      <c r="Q501" s="327"/>
      <c r="R501" s="328"/>
      <c r="S501" s="327"/>
      <c r="T501" s="327"/>
      <c r="U501" s="327"/>
      <c r="V501" s="327"/>
      <c r="W501" s="327"/>
      <c r="X501" s="327"/>
    </row>
    <row r="502" spans="1:24" s="279" customFormat="1">
      <c r="A502" s="326"/>
      <c r="B502" s="328"/>
      <c r="C502" s="328"/>
      <c r="D502" s="328"/>
      <c r="E502" s="328"/>
      <c r="F502" s="327"/>
      <c r="G502" s="327"/>
      <c r="H502" s="327"/>
      <c r="I502" s="327"/>
      <c r="J502" s="327"/>
      <c r="K502" s="327"/>
      <c r="L502" s="327"/>
      <c r="M502" s="327"/>
      <c r="N502" s="327"/>
      <c r="O502" s="327"/>
      <c r="P502" s="327"/>
      <c r="Q502" s="327"/>
      <c r="R502" s="328"/>
      <c r="S502" s="327"/>
      <c r="T502" s="327"/>
      <c r="U502" s="327"/>
      <c r="V502" s="327"/>
      <c r="W502" s="327"/>
      <c r="X502" s="327"/>
    </row>
    <row r="503" spans="1:24" s="279" customFormat="1">
      <c r="A503" s="326"/>
      <c r="B503" s="328"/>
      <c r="C503" s="328"/>
      <c r="D503" s="328"/>
      <c r="E503" s="328"/>
      <c r="F503" s="327"/>
      <c r="G503" s="327"/>
      <c r="H503" s="327"/>
      <c r="I503" s="327"/>
      <c r="J503" s="327"/>
      <c r="K503" s="327"/>
      <c r="L503" s="327"/>
      <c r="M503" s="327"/>
      <c r="N503" s="327"/>
      <c r="O503" s="327"/>
      <c r="P503" s="327"/>
      <c r="Q503" s="327"/>
      <c r="R503" s="328"/>
      <c r="S503" s="327"/>
      <c r="T503" s="327"/>
      <c r="U503" s="327"/>
      <c r="V503" s="327"/>
      <c r="W503" s="327"/>
      <c r="X503" s="327"/>
    </row>
    <row r="504" spans="1:24" s="279" customFormat="1">
      <c r="A504" s="326"/>
      <c r="B504" s="328"/>
      <c r="C504" s="328"/>
      <c r="D504" s="328"/>
      <c r="E504" s="328"/>
      <c r="F504" s="327"/>
      <c r="G504" s="327"/>
      <c r="H504" s="327"/>
      <c r="I504" s="327"/>
      <c r="J504" s="327"/>
      <c r="K504" s="327"/>
      <c r="L504" s="327"/>
      <c r="M504" s="327"/>
      <c r="N504" s="327"/>
      <c r="O504" s="327"/>
      <c r="P504" s="327"/>
      <c r="Q504" s="327"/>
      <c r="R504" s="328"/>
      <c r="S504" s="327"/>
      <c r="T504" s="327"/>
      <c r="U504" s="327"/>
      <c r="V504" s="327"/>
      <c r="W504" s="327"/>
      <c r="X504" s="327"/>
    </row>
    <row r="505" spans="1:24" s="279" customFormat="1">
      <c r="A505" s="326"/>
      <c r="B505" s="328"/>
      <c r="C505" s="328"/>
      <c r="D505" s="328"/>
      <c r="E505" s="328"/>
      <c r="F505" s="327"/>
      <c r="G505" s="327"/>
      <c r="H505" s="327"/>
      <c r="I505" s="327"/>
      <c r="J505" s="327"/>
      <c r="K505" s="327"/>
      <c r="L505" s="327"/>
      <c r="M505" s="327"/>
      <c r="N505" s="327"/>
      <c r="O505" s="327"/>
      <c r="P505" s="327"/>
      <c r="Q505" s="327"/>
      <c r="R505" s="328"/>
      <c r="S505" s="327"/>
      <c r="T505" s="327"/>
      <c r="U505" s="327"/>
      <c r="V505" s="327"/>
      <c r="W505" s="327"/>
      <c r="X505" s="327"/>
    </row>
    <row r="506" spans="1:24" s="279" customFormat="1">
      <c r="A506" s="326"/>
      <c r="B506" s="328"/>
      <c r="C506" s="328"/>
      <c r="D506" s="328"/>
      <c r="E506" s="328"/>
      <c r="F506" s="327"/>
      <c r="G506" s="327"/>
      <c r="H506" s="327"/>
      <c r="I506" s="327"/>
      <c r="J506" s="327"/>
      <c r="K506" s="327"/>
      <c r="L506" s="327"/>
      <c r="M506" s="327"/>
      <c r="N506" s="327"/>
      <c r="O506" s="327"/>
      <c r="P506" s="327"/>
      <c r="Q506" s="327"/>
      <c r="R506" s="328"/>
      <c r="S506" s="327"/>
      <c r="T506" s="327"/>
      <c r="U506" s="327"/>
      <c r="V506" s="327"/>
      <c r="W506" s="327"/>
      <c r="X506" s="327"/>
    </row>
    <row r="507" spans="1:24" s="279" customFormat="1">
      <c r="A507" s="326"/>
      <c r="B507" s="328"/>
      <c r="C507" s="328"/>
      <c r="D507" s="328"/>
      <c r="E507" s="328"/>
      <c r="F507" s="327"/>
      <c r="G507" s="327"/>
      <c r="H507" s="327"/>
      <c r="I507" s="327"/>
      <c r="J507" s="327"/>
      <c r="K507" s="327"/>
      <c r="L507" s="327"/>
      <c r="M507" s="327"/>
      <c r="N507" s="327"/>
      <c r="O507" s="327"/>
      <c r="P507" s="327"/>
      <c r="Q507" s="327"/>
      <c r="R507" s="328"/>
      <c r="S507" s="327"/>
      <c r="T507" s="327"/>
      <c r="U507" s="327"/>
      <c r="V507" s="327"/>
      <c r="W507" s="327"/>
      <c r="X507" s="327"/>
    </row>
    <row r="508" spans="1:24" s="279" customFormat="1">
      <c r="A508" s="326"/>
      <c r="B508" s="328"/>
      <c r="C508" s="328"/>
      <c r="D508" s="328"/>
      <c r="E508" s="328"/>
      <c r="F508" s="327"/>
      <c r="G508" s="327"/>
      <c r="H508" s="327"/>
      <c r="I508" s="327"/>
      <c r="J508" s="327"/>
      <c r="K508" s="327"/>
      <c r="L508" s="327"/>
      <c r="M508" s="327"/>
      <c r="N508" s="327"/>
      <c r="O508" s="327"/>
      <c r="P508" s="327"/>
      <c r="Q508" s="327"/>
      <c r="R508" s="328"/>
      <c r="S508" s="327"/>
      <c r="T508" s="327"/>
      <c r="U508" s="327"/>
      <c r="V508" s="327"/>
      <c r="W508" s="327"/>
      <c r="X508" s="327"/>
    </row>
    <row r="509" spans="1:24" s="279" customFormat="1">
      <c r="A509" s="326"/>
      <c r="B509" s="328"/>
      <c r="C509" s="328"/>
      <c r="D509" s="328"/>
      <c r="E509" s="328"/>
      <c r="F509" s="327"/>
      <c r="G509" s="327"/>
      <c r="H509" s="327"/>
      <c r="I509" s="327"/>
      <c r="J509" s="327"/>
      <c r="K509" s="327"/>
      <c r="L509" s="327"/>
      <c r="M509" s="327"/>
      <c r="N509" s="327"/>
      <c r="O509" s="327"/>
      <c r="P509" s="327"/>
      <c r="Q509" s="327"/>
      <c r="R509" s="328"/>
      <c r="S509" s="327"/>
      <c r="T509" s="327"/>
      <c r="U509" s="327"/>
      <c r="V509" s="327"/>
      <c r="W509" s="327"/>
      <c r="X509" s="327"/>
    </row>
    <row r="510" spans="1:24" s="279" customFormat="1">
      <c r="A510" s="326"/>
      <c r="B510" s="328"/>
      <c r="C510" s="328"/>
      <c r="D510" s="328"/>
      <c r="E510" s="328"/>
      <c r="F510" s="327"/>
      <c r="G510" s="327"/>
      <c r="H510" s="327"/>
      <c r="I510" s="327"/>
      <c r="J510" s="327"/>
      <c r="K510" s="327"/>
      <c r="L510" s="327"/>
      <c r="M510" s="327"/>
      <c r="N510" s="327"/>
      <c r="O510" s="327"/>
      <c r="P510" s="327"/>
      <c r="Q510" s="327"/>
      <c r="R510" s="328"/>
      <c r="S510" s="327"/>
      <c r="T510" s="327"/>
      <c r="U510" s="327"/>
      <c r="V510" s="327"/>
      <c r="W510" s="327"/>
      <c r="X510" s="327"/>
    </row>
    <row r="511" spans="1:24" s="279" customFormat="1">
      <c r="A511" s="326"/>
      <c r="B511" s="328"/>
      <c r="C511" s="328"/>
      <c r="D511" s="328"/>
      <c r="E511" s="328"/>
      <c r="F511" s="327"/>
      <c r="G511" s="327"/>
      <c r="H511" s="327"/>
      <c r="I511" s="327"/>
      <c r="J511" s="327"/>
      <c r="K511" s="327"/>
      <c r="L511" s="327"/>
      <c r="M511" s="327"/>
      <c r="N511" s="327"/>
      <c r="O511" s="327"/>
      <c r="P511" s="327"/>
      <c r="Q511" s="327"/>
      <c r="R511" s="328"/>
      <c r="S511" s="327"/>
      <c r="T511" s="327"/>
      <c r="U511" s="327"/>
      <c r="V511" s="327"/>
      <c r="W511" s="327"/>
      <c r="X511" s="327"/>
    </row>
    <row r="512" spans="1:24" s="279" customFormat="1">
      <c r="A512" s="326"/>
      <c r="B512" s="328"/>
      <c r="C512" s="328"/>
      <c r="D512" s="328"/>
      <c r="E512" s="328"/>
      <c r="F512" s="327"/>
      <c r="G512" s="327"/>
      <c r="H512" s="327"/>
      <c r="I512" s="327"/>
      <c r="J512" s="327"/>
      <c r="K512" s="327"/>
      <c r="L512" s="327"/>
      <c r="M512" s="327"/>
      <c r="N512" s="327"/>
      <c r="O512" s="327"/>
      <c r="P512" s="327"/>
      <c r="Q512" s="327"/>
      <c r="R512" s="328"/>
      <c r="S512" s="327"/>
      <c r="T512" s="327"/>
      <c r="U512" s="327"/>
      <c r="V512" s="327"/>
      <c r="W512" s="327"/>
      <c r="X512" s="327"/>
    </row>
    <row r="513" spans="1:24" s="279" customFormat="1">
      <c r="A513" s="326"/>
      <c r="B513" s="328"/>
      <c r="C513" s="328"/>
      <c r="D513" s="328"/>
      <c r="E513" s="328"/>
      <c r="F513" s="327"/>
      <c r="G513" s="327"/>
      <c r="H513" s="327"/>
      <c r="I513" s="327"/>
      <c r="J513" s="327"/>
      <c r="K513" s="327"/>
      <c r="L513" s="327"/>
      <c r="M513" s="327"/>
      <c r="N513" s="327"/>
      <c r="O513" s="327"/>
      <c r="P513" s="327"/>
      <c r="Q513" s="327"/>
      <c r="R513" s="328"/>
      <c r="S513" s="327"/>
      <c r="T513" s="327"/>
      <c r="U513" s="327"/>
      <c r="V513" s="327"/>
      <c r="W513" s="327"/>
      <c r="X513" s="327"/>
    </row>
    <row r="514" spans="1:24" s="279" customFormat="1">
      <c r="A514" s="326"/>
      <c r="B514" s="328"/>
      <c r="C514" s="328"/>
      <c r="D514" s="328"/>
      <c r="E514" s="328"/>
      <c r="F514" s="327"/>
      <c r="G514" s="327"/>
      <c r="H514" s="327"/>
      <c r="I514" s="327"/>
      <c r="J514" s="327"/>
      <c r="K514" s="327"/>
      <c r="L514" s="327"/>
      <c r="M514" s="327"/>
      <c r="N514" s="327"/>
      <c r="O514" s="327"/>
      <c r="P514" s="327"/>
      <c r="Q514" s="327"/>
      <c r="R514" s="328"/>
      <c r="S514" s="327"/>
      <c r="T514" s="327"/>
      <c r="U514" s="327"/>
      <c r="V514" s="327"/>
      <c r="W514" s="327"/>
      <c r="X514" s="327"/>
    </row>
    <row r="515" spans="1:24" s="279" customFormat="1">
      <c r="A515" s="326"/>
      <c r="B515" s="328"/>
      <c r="C515" s="328"/>
      <c r="D515" s="328"/>
      <c r="E515" s="328"/>
      <c r="F515" s="327"/>
      <c r="G515" s="327"/>
      <c r="H515" s="327"/>
      <c r="I515" s="327"/>
      <c r="J515" s="327"/>
      <c r="K515" s="327"/>
      <c r="L515" s="327"/>
      <c r="M515" s="327"/>
      <c r="N515" s="327"/>
      <c r="O515" s="327"/>
      <c r="P515" s="327"/>
      <c r="Q515" s="327"/>
      <c r="R515" s="328"/>
      <c r="S515" s="327"/>
      <c r="T515" s="327"/>
      <c r="U515" s="327"/>
      <c r="V515" s="327"/>
      <c r="W515" s="327"/>
      <c r="X515" s="327"/>
    </row>
    <row r="516" spans="1:24" s="279" customFormat="1">
      <c r="A516" s="326"/>
      <c r="B516" s="328"/>
      <c r="C516" s="328"/>
      <c r="D516" s="328"/>
      <c r="E516" s="328"/>
      <c r="F516" s="327"/>
      <c r="G516" s="327"/>
      <c r="H516" s="327"/>
      <c r="I516" s="327"/>
      <c r="J516" s="327"/>
      <c r="K516" s="327"/>
      <c r="L516" s="327"/>
      <c r="M516" s="327"/>
      <c r="N516" s="327"/>
      <c r="O516" s="327"/>
      <c r="P516" s="327"/>
      <c r="Q516" s="327"/>
      <c r="R516" s="328"/>
      <c r="S516" s="327"/>
      <c r="T516" s="327"/>
      <c r="U516" s="327"/>
      <c r="V516" s="327"/>
      <c r="W516" s="327"/>
      <c r="X516" s="327"/>
    </row>
    <row r="517" spans="1:24" s="279" customFormat="1">
      <c r="A517" s="326"/>
      <c r="B517" s="328"/>
      <c r="C517" s="328"/>
      <c r="D517" s="328"/>
      <c r="E517" s="328"/>
      <c r="F517" s="327"/>
      <c r="G517" s="327"/>
      <c r="H517" s="327"/>
      <c r="I517" s="327"/>
      <c r="J517" s="327"/>
      <c r="K517" s="327"/>
      <c r="L517" s="327"/>
      <c r="M517" s="327"/>
      <c r="N517" s="327"/>
      <c r="O517" s="327"/>
      <c r="P517" s="327"/>
      <c r="Q517" s="327"/>
      <c r="R517" s="328"/>
      <c r="S517" s="327"/>
      <c r="T517" s="327"/>
      <c r="U517" s="327"/>
      <c r="V517" s="327"/>
      <c r="W517" s="327"/>
      <c r="X517" s="327"/>
    </row>
    <row r="518" spans="1:24" s="279" customFormat="1">
      <c r="A518" s="326"/>
      <c r="B518" s="328"/>
      <c r="C518" s="328"/>
      <c r="D518" s="328"/>
      <c r="E518" s="328"/>
      <c r="F518" s="327"/>
      <c r="G518" s="327"/>
      <c r="H518" s="327"/>
      <c r="I518" s="327"/>
      <c r="J518" s="327"/>
      <c r="K518" s="327"/>
      <c r="L518" s="327"/>
      <c r="M518" s="327"/>
      <c r="N518" s="327"/>
      <c r="O518" s="327"/>
      <c r="P518" s="327"/>
      <c r="Q518" s="327"/>
      <c r="R518" s="328"/>
      <c r="S518" s="327"/>
      <c r="T518" s="327"/>
      <c r="U518" s="327"/>
      <c r="V518" s="327"/>
      <c r="W518" s="327"/>
      <c r="X518" s="327"/>
    </row>
    <row r="519" spans="1:24" s="279" customFormat="1">
      <c r="A519" s="326"/>
      <c r="B519" s="328"/>
      <c r="C519" s="328"/>
      <c r="D519" s="328"/>
      <c r="E519" s="328"/>
      <c r="F519" s="327"/>
      <c r="G519" s="327"/>
      <c r="H519" s="327"/>
      <c r="I519" s="327"/>
      <c r="J519" s="327"/>
      <c r="K519" s="327"/>
      <c r="L519" s="327"/>
      <c r="M519" s="327"/>
      <c r="N519" s="327"/>
      <c r="O519" s="327"/>
      <c r="P519" s="327"/>
      <c r="Q519" s="327"/>
      <c r="R519" s="328"/>
      <c r="S519" s="327"/>
      <c r="T519" s="327"/>
      <c r="U519" s="327"/>
      <c r="V519" s="327"/>
      <c r="W519" s="327"/>
      <c r="X519" s="327"/>
    </row>
    <row r="520" spans="1:24" s="279" customFormat="1">
      <c r="A520" s="326"/>
      <c r="B520" s="328"/>
      <c r="C520" s="328"/>
      <c r="D520" s="328"/>
      <c r="E520" s="328"/>
      <c r="F520" s="327"/>
      <c r="G520" s="327"/>
      <c r="H520" s="327"/>
      <c r="I520" s="327"/>
      <c r="J520" s="327"/>
      <c r="K520" s="327"/>
      <c r="L520" s="327"/>
      <c r="M520" s="327"/>
      <c r="N520" s="327"/>
      <c r="O520" s="327"/>
      <c r="P520" s="327"/>
      <c r="Q520" s="327"/>
      <c r="R520" s="328"/>
      <c r="S520" s="327"/>
      <c r="T520" s="327"/>
      <c r="U520" s="327"/>
      <c r="V520" s="327"/>
      <c r="W520" s="327"/>
      <c r="X520" s="327"/>
    </row>
    <row r="521" spans="1:24" s="279" customFormat="1">
      <c r="A521" s="326"/>
      <c r="B521" s="328"/>
      <c r="C521" s="328"/>
      <c r="D521" s="328"/>
      <c r="E521" s="328"/>
      <c r="F521" s="327"/>
      <c r="G521" s="327"/>
      <c r="H521" s="327"/>
      <c r="I521" s="327"/>
      <c r="J521" s="327"/>
      <c r="K521" s="327"/>
      <c r="L521" s="327"/>
      <c r="M521" s="327"/>
      <c r="N521" s="327"/>
      <c r="O521" s="327"/>
      <c r="P521" s="327"/>
      <c r="Q521" s="327"/>
      <c r="R521" s="328"/>
      <c r="S521" s="327"/>
      <c r="T521" s="327"/>
      <c r="U521" s="327"/>
      <c r="V521" s="327"/>
      <c r="W521" s="327"/>
      <c r="X521" s="327"/>
    </row>
    <row r="522" spans="1:24" s="279" customFormat="1">
      <c r="A522" s="326"/>
      <c r="B522" s="328"/>
      <c r="C522" s="328"/>
      <c r="D522" s="328"/>
      <c r="E522" s="328"/>
      <c r="F522" s="327"/>
      <c r="G522" s="327"/>
      <c r="H522" s="327"/>
      <c r="I522" s="327"/>
      <c r="J522" s="327"/>
      <c r="K522" s="327"/>
      <c r="L522" s="327"/>
      <c r="M522" s="327"/>
      <c r="N522" s="327"/>
      <c r="O522" s="327"/>
      <c r="P522" s="327"/>
      <c r="Q522" s="327"/>
      <c r="R522" s="328"/>
      <c r="S522" s="327"/>
      <c r="T522" s="327"/>
      <c r="U522" s="327"/>
      <c r="V522" s="327"/>
      <c r="W522" s="327"/>
      <c r="X522" s="327"/>
    </row>
    <row r="523" spans="1:24" s="279" customFormat="1">
      <c r="A523" s="326"/>
      <c r="B523" s="328"/>
      <c r="C523" s="328"/>
      <c r="D523" s="328"/>
      <c r="E523" s="328"/>
      <c r="F523" s="327"/>
      <c r="G523" s="327"/>
      <c r="H523" s="327"/>
      <c r="I523" s="327"/>
      <c r="J523" s="327"/>
      <c r="K523" s="327"/>
      <c r="L523" s="327"/>
      <c r="M523" s="327"/>
      <c r="N523" s="327"/>
      <c r="O523" s="327"/>
      <c r="P523" s="327"/>
      <c r="Q523" s="327"/>
      <c r="R523" s="328"/>
      <c r="S523" s="327"/>
      <c r="T523" s="327"/>
      <c r="U523" s="327"/>
      <c r="V523" s="327"/>
      <c r="W523" s="327"/>
      <c r="X523" s="327"/>
    </row>
    <row r="524" spans="1:24" s="279" customFormat="1">
      <c r="A524" s="326"/>
      <c r="B524" s="328"/>
      <c r="C524" s="328"/>
      <c r="D524" s="328"/>
      <c r="E524" s="328"/>
      <c r="F524" s="327"/>
      <c r="G524" s="327"/>
      <c r="H524" s="327"/>
      <c r="I524" s="327"/>
      <c r="J524" s="327"/>
      <c r="K524" s="327"/>
      <c r="L524" s="327"/>
      <c r="M524" s="327"/>
      <c r="N524" s="327"/>
      <c r="O524" s="327"/>
      <c r="P524" s="327"/>
      <c r="Q524" s="327"/>
      <c r="R524" s="328"/>
      <c r="S524" s="327"/>
      <c r="T524" s="327"/>
      <c r="U524" s="327"/>
      <c r="V524" s="327"/>
      <c r="W524" s="327"/>
      <c r="X524" s="327"/>
    </row>
    <row r="525" spans="1:24" s="279" customFormat="1">
      <c r="A525" s="326"/>
      <c r="B525" s="328"/>
      <c r="C525" s="328"/>
      <c r="D525" s="328"/>
      <c r="E525" s="328"/>
      <c r="F525" s="327"/>
      <c r="G525" s="327"/>
      <c r="H525" s="327"/>
      <c r="I525" s="327"/>
      <c r="J525" s="327"/>
      <c r="K525" s="327"/>
      <c r="L525" s="327"/>
      <c r="M525" s="327"/>
      <c r="N525" s="327"/>
      <c r="O525" s="327"/>
      <c r="P525" s="327"/>
      <c r="Q525" s="327"/>
      <c r="R525" s="328"/>
      <c r="S525" s="327"/>
      <c r="T525" s="327"/>
      <c r="U525" s="327"/>
      <c r="V525" s="327"/>
      <c r="W525" s="327"/>
      <c r="X525" s="327"/>
    </row>
    <row r="526" spans="1:24" s="279" customFormat="1">
      <c r="A526" s="326"/>
      <c r="B526" s="328"/>
      <c r="C526" s="328"/>
      <c r="D526" s="328"/>
      <c r="E526" s="328"/>
      <c r="F526" s="327"/>
      <c r="G526" s="327"/>
      <c r="H526" s="327"/>
      <c r="I526" s="327"/>
      <c r="J526" s="327"/>
      <c r="K526" s="327"/>
      <c r="L526" s="327"/>
      <c r="M526" s="327"/>
      <c r="N526" s="327"/>
      <c r="O526" s="327"/>
      <c r="P526" s="327"/>
      <c r="Q526" s="327"/>
      <c r="R526" s="328"/>
      <c r="S526" s="327"/>
      <c r="T526" s="327"/>
      <c r="U526" s="327"/>
      <c r="V526" s="327"/>
      <c r="W526" s="327"/>
      <c r="X526" s="327"/>
    </row>
    <row r="527" spans="1:24" s="279" customFormat="1">
      <c r="A527" s="326"/>
      <c r="B527" s="328"/>
      <c r="C527" s="328"/>
      <c r="D527" s="328"/>
      <c r="E527" s="328"/>
      <c r="F527" s="327"/>
      <c r="G527" s="327"/>
      <c r="H527" s="327"/>
      <c r="I527" s="327"/>
      <c r="J527" s="327"/>
      <c r="K527" s="327"/>
      <c r="L527" s="327"/>
      <c r="M527" s="327"/>
      <c r="N527" s="327"/>
      <c r="O527" s="327"/>
      <c r="P527" s="327"/>
      <c r="Q527" s="327"/>
      <c r="R527" s="328"/>
      <c r="S527" s="327"/>
      <c r="T527" s="327"/>
      <c r="U527" s="327"/>
      <c r="V527" s="327"/>
      <c r="W527" s="327"/>
      <c r="X527" s="327"/>
    </row>
    <row r="528" spans="1:24" s="279" customFormat="1">
      <c r="A528" s="326"/>
      <c r="B528" s="328"/>
      <c r="C528" s="328"/>
      <c r="D528" s="328"/>
      <c r="E528" s="328"/>
      <c r="F528" s="327"/>
      <c r="G528" s="327"/>
      <c r="H528" s="327"/>
      <c r="I528" s="327"/>
      <c r="J528" s="327"/>
      <c r="K528" s="327"/>
      <c r="L528" s="327"/>
      <c r="M528" s="327"/>
      <c r="N528" s="327"/>
      <c r="O528" s="327"/>
      <c r="P528" s="327"/>
      <c r="Q528" s="327"/>
      <c r="R528" s="328"/>
      <c r="S528" s="327"/>
      <c r="T528" s="327"/>
      <c r="U528" s="327"/>
      <c r="V528" s="327"/>
      <c r="W528" s="327"/>
      <c r="X528" s="327"/>
    </row>
    <row r="529" spans="1:24" s="279" customFormat="1">
      <c r="A529" s="326"/>
      <c r="B529" s="328"/>
      <c r="C529" s="328"/>
      <c r="D529" s="328"/>
      <c r="E529" s="328"/>
      <c r="F529" s="327"/>
      <c r="G529" s="327"/>
      <c r="H529" s="327"/>
      <c r="I529" s="327"/>
      <c r="J529" s="327"/>
      <c r="K529" s="327"/>
      <c r="L529" s="327"/>
      <c r="M529" s="327"/>
      <c r="N529" s="327"/>
      <c r="O529" s="327"/>
      <c r="P529" s="327"/>
      <c r="Q529" s="327"/>
      <c r="R529" s="328"/>
      <c r="S529" s="327"/>
      <c r="T529" s="327"/>
      <c r="U529" s="327"/>
      <c r="V529" s="327"/>
      <c r="W529" s="327"/>
      <c r="X529" s="327"/>
    </row>
    <row r="530" spans="1:24" s="279" customFormat="1">
      <c r="A530" s="326"/>
      <c r="B530" s="328"/>
      <c r="C530" s="328"/>
      <c r="D530" s="328"/>
      <c r="E530" s="328"/>
      <c r="F530" s="327"/>
      <c r="G530" s="327"/>
      <c r="H530" s="327"/>
      <c r="I530" s="327"/>
      <c r="J530" s="327"/>
      <c r="K530" s="327"/>
      <c r="L530" s="327"/>
      <c r="M530" s="327"/>
      <c r="N530" s="327"/>
      <c r="O530" s="327"/>
      <c r="P530" s="327"/>
      <c r="Q530" s="327"/>
      <c r="R530" s="328"/>
      <c r="S530" s="327"/>
      <c r="T530" s="327"/>
      <c r="U530" s="327"/>
      <c r="V530" s="327"/>
      <c r="W530" s="327"/>
      <c r="X530" s="327"/>
    </row>
    <row r="531" spans="1:24" s="279" customFormat="1">
      <c r="A531" s="326"/>
      <c r="B531" s="328"/>
      <c r="C531" s="328"/>
      <c r="D531" s="328"/>
      <c r="E531" s="328"/>
      <c r="F531" s="327"/>
      <c r="G531" s="327"/>
      <c r="H531" s="327"/>
      <c r="I531" s="327"/>
      <c r="J531" s="327"/>
      <c r="K531" s="327"/>
      <c r="L531" s="327"/>
      <c r="M531" s="327"/>
      <c r="N531" s="327"/>
      <c r="O531" s="327"/>
      <c r="P531" s="327"/>
      <c r="Q531" s="327"/>
      <c r="R531" s="328"/>
      <c r="S531" s="327"/>
      <c r="T531" s="327"/>
      <c r="U531" s="327"/>
      <c r="V531" s="327"/>
      <c r="W531" s="327"/>
      <c r="X531" s="327"/>
    </row>
    <row r="532" spans="1:24" s="279" customFormat="1">
      <c r="A532" s="326"/>
      <c r="B532" s="328"/>
      <c r="C532" s="328"/>
      <c r="D532" s="328"/>
      <c r="E532" s="328"/>
      <c r="F532" s="327"/>
      <c r="G532" s="327"/>
      <c r="H532" s="327"/>
      <c r="I532" s="327"/>
      <c r="J532" s="327"/>
      <c r="K532" s="327"/>
      <c r="L532" s="327"/>
      <c r="M532" s="327"/>
      <c r="N532" s="327"/>
      <c r="O532" s="327"/>
      <c r="P532" s="327"/>
      <c r="Q532" s="327"/>
      <c r="R532" s="328"/>
      <c r="S532" s="327"/>
      <c r="T532" s="327"/>
      <c r="U532" s="327"/>
      <c r="V532" s="327"/>
      <c r="W532" s="327"/>
      <c r="X532" s="327"/>
    </row>
    <row r="533" spans="1:24" s="279" customFormat="1">
      <c r="A533" s="326"/>
      <c r="B533" s="328"/>
      <c r="C533" s="328"/>
      <c r="D533" s="328"/>
      <c r="E533" s="328"/>
      <c r="F533" s="327"/>
      <c r="G533" s="327"/>
      <c r="H533" s="327"/>
      <c r="I533" s="327"/>
      <c r="J533" s="327"/>
      <c r="K533" s="327"/>
      <c r="L533" s="327"/>
      <c r="M533" s="327"/>
      <c r="N533" s="327"/>
      <c r="O533" s="327"/>
      <c r="P533" s="327"/>
      <c r="Q533" s="327"/>
      <c r="R533" s="328"/>
      <c r="S533" s="327"/>
      <c r="T533" s="327"/>
      <c r="U533" s="327"/>
      <c r="V533" s="327"/>
      <c r="W533" s="327"/>
      <c r="X533" s="327"/>
    </row>
    <row r="534" spans="1:24" s="279" customFormat="1">
      <c r="A534" s="326"/>
      <c r="B534" s="328"/>
      <c r="C534" s="328"/>
      <c r="D534" s="328"/>
      <c r="E534" s="328"/>
      <c r="F534" s="327"/>
      <c r="G534" s="327"/>
      <c r="H534" s="327"/>
      <c r="I534" s="327"/>
      <c r="J534" s="327"/>
      <c r="K534" s="327"/>
      <c r="L534" s="327"/>
      <c r="M534" s="327"/>
      <c r="N534" s="327"/>
      <c r="O534" s="327"/>
      <c r="P534" s="327"/>
      <c r="Q534" s="327"/>
      <c r="R534" s="328"/>
      <c r="S534" s="327"/>
      <c r="T534" s="327"/>
      <c r="U534" s="327"/>
      <c r="V534" s="327"/>
      <c r="W534" s="327"/>
      <c r="X534" s="327"/>
    </row>
    <row r="535" spans="1:24" s="279" customFormat="1">
      <c r="A535" s="326"/>
      <c r="B535" s="328"/>
      <c r="C535" s="328"/>
      <c r="D535" s="328"/>
      <c r="E535" s="328"/>
      <c r="F535" s="327"/>
      <c r="G535" s="327"/>
      <c r="H535" s="327"/>
      <c r="I535" s="327"/>
      <c r="J535" s="327"/>
      <c r="K535" s="327"/>
      <c r="L535" s="327"/>
      <c r="M535" s="327"/>
      <c r="N535" s="327"/>
      <c r="O535" s="327"/>
      <c r="P535" s="327"/>
      <c r="Q535" s="327"/>
      <c r="R535" s="328"/>
      <c r="S535" s="327"/>
      <c r="T535" s="327"/>
      <c r="U535" s="327"/>
      <c r="V535" s="327"/>
      <c r="W535" s="327"/>
      <c r="X535" s="327"/>
    </row>
    <row r="536" spans="1:24" s="279" customFormat="1">
      <c r="A536" s="326"/>
      <c r="B536" s="328"/>
      <c r="C536" s="328"/>
      <c r="D536" s="328"/>
      <c r="E536" s="328"/>
      <c r="F536" s="327"/>
      <c r="G536" s="327"/>
      <c r="H536" s="327"/>
      <c r="I536" s="327"/>
      <c r="J536" s="327"/>
      <c r="K536" s="327"/>
      <c r="L536" s="327"/>
      <c r="M536" s="327"/>
      <c r="N536" s="327"/>
      <c r="O536" s="327"/>
      <c r="P536" s="327"/>
      <c r="Q536" s="327"/>
      <c r="R536" s="328"/>
      <c r="S536" s="327"/>
      <c r="T536" s="327"/>
      <c r="U536" s="327"/>
      <c r="V536" s="327"/>
      <c r="W536" s="327"/>
      <c r="X536" s="327"/>
    </row>
    <row r="537" spans="1:24" s="279" customFormat="1">
      <c r="A537" s="326"/>
      <c r="B537" s="328"/>
      <c r="C537" s="328"/>
      <c r="D537" s="328"/>
      <c r="E537" s="328"/>
      <c r="F537" s="327"/>
      <c r="G537" s="327"/>
      <c r="H537" s="327"/>
      <c r="I537" s="327"/>
      <c r="J537" s="327"/>
      <c r="K537" s="327"/>
      <c r="L537" s="327"/>
      <c r="M537" s="327"/>
      <c r="N537" s="327"/>
      <c r="O537" s="327"/>
      <c r="P537" s="327"/>
      <c r="Q537" s="327"/>
      <c r="R537" s="328"/>
      <c r="S537" s="327"/>
      <c r="T537" s="327"/>
      <c r="U537" s="327"/>
      <c r="V537" s="327"/>
      <c r="W537" s="327"/>
      <c r="X537" s="327"/>
    </row>
    <row r="538" spans="1:24" s="279" customFormat="1">
      <c r="A538" s="326"/>
      <c r="B538" s="328"/>
      <c r="C538" s="328"/>
      <c r="D538" s="328"/>
      <c r="E538" s="328"/>
      <c r="F538" s="327"/>
      <c r="G538" s="327"/>
      <c r="H538" s="327"/>
      <c r="I538" s="327"/>
      <c r="J538" s="327"/>
      <c r="K538" s="327"/>
      <c r="L538" s="327"/>
      <c r="M538" s="327"/>
      <c r="N538" s="327"/>
      <c r="O538" s="327"/>
      <c r="P538" s="327"/>
      <c r="Q538" s="327"/>
      <c r="R538" s="328"/>
      <c r="S538" s="327"/>
      <c r="T538" s="327"/>
      <c r="U538" s="327"/>
      <c r="V538" s="327"/>
      <c r="W538" s="327"/>
      <c r="X538" s="327"/>
    </row>
    <row r="539" spans="1:24" s="279" customFormat="1">
      <c r="A539" s="326"/>
      <c r="B539" s="328"/>
      <c r="C539" s="328"/>
      <c r="D539" s="328"/>
      <c r="E539" s="328"/>
      <c r="F539" s="327"/>
      <c r="G539" s="327"/>
      <c r="H539" s="327"/>
      <c r="I539" s="327"/>
      <c r="J539" s="327"/>
      <c r="K539" s="327"/>
      <c r="L539" s="327"/>
      <c r="M539" s="327"/>
      <c r="N539" s="327"/>
      <c r="O539" s="327"/>
      <c r="P539" s="327"/>
      <c r="Q539" s="327"/>
      <c r="R539" s="328"/>
      <c r="S539" s="327"/>
      <c r="T539" s="327"/>
      <c r="U539" s="327"/>
      <c r="V539" s="327"/>
      <c r="W539" s="327"/>
      <c r="X539" s="327"/>
    </row>
    <row r="540" spans="1:24" s="279" customFormat="1">
      <c r="A540" s="326"/>
      <c r="B540" s="328"/>
      <c r="C540" s="328"/>
      <c r="D540" s="328"/>
      <c r="E540" s="328"/>
      <c r="F540" s="327"/>
      <c r="G540" s="327"/>
      <c r="H540" s="327"/>
      <c r="I540" s="327"/>
      <c r="J540" s="327"/>
      <c r="K540" s="327"/>
      <c r="L540" s="327"/>
      <c r="M540" s="327"/>
      <c r="N540" s="327"/>
      <c r="O540" s="327"/>
      <c r="P540" s="327"/>
      <c r="Q540" s="327"/>
      <c r="R540" s="328"/>
      <c r="S540" s="327"/>
      <c r="T540" s="327"/>
      <c r="U540" s="327"/>
      <c r="V540" s="327"/>
      <c r="W540" s="327"/>
      <c r="X540" s="327"/>
    </row>
    <row r="541" spans="1:24" s="279" customFormat="1">
      <c r="A541" s="326"/>
      <c r="B541" s="328"/>
      <c r="C541" s="328"/>
      <c r="D541" s="328"/>
      <c r="E541" s="328"/>
      <c r="F541" s="327"/>
      <c r="G541" s="327"/>
      <c r="H541" s="327"/>
      <c r="I541" s="327"/>
      <c r="J541" s="327"/>
      <c r="K541" s="327"/>
      <c r="L541" s="327"/>
      <c r="M541" s="327"/>
      <c r="N541" s="327"/>
      <c r="O541" s="327"/>
      <c r="P541" s="327"/>
      <c r="Q541" s="327"/>
      <c r="R541" s="328"/>
      <c r="S541" s="327"/>
      <c r="T541" s="327"/>
      <c r="U541" s="327"/>
      <c r="V541" s="327"/>
      <c r="W541" s="327"/>
      <c r="X541" s="327"/>
    </row>
    <row r="542" spans="1:24" s="279" customFormat="1">
      <c r="A542" s="326"/>
      <c r="B542" s="328"/>
      <c r="C542" s="328"/>
      <c r="D542" s="328"/>
      <c r="E542" s="328"/>
      <c r="F542" s="327"/>
      <c r="G542" s="327"/>
      <c r="H542" s="327"/>
      <c r="I542" s="327"/>
      <c r="J542" s="327"/>
      <c r="K542" s="327"/>
      <c r="L542" s="327"/>
      <c r="M542" s="327"/>
      <c r="N542" s="327"/>
      <c r="O542" s="327"/>
      <c r="P542" s="327"/>
      <c r="Q542" s="327"/>
      <c r="R542" s="328"/>
      <c r="S542" s="327"/>
      <c r="T542" s="327"/>
      <c r="U542" s="327"/>
      <c r="V542" s="327"/>
      <c r="W542" s="327"/>
      <c r="X542" s="327"/>
    </row>
    <row r="543" spans="1:24" s="279" customFormat="1">
      <c r="A543" s="326"/>
      <c r="B543" s="328"/>
      <c r="C543" s="328"/>
      <c r="D543" s="328"/>
      <c r="E543" s="328"/>
      <c r="F543" s="327"/>
      <c r="G543" s="327"/>
      <c r="H543" s="327"/>
      <c r="I543" s="327"/>
      <c r="J543" s="327"/>
      <c r="K543" s="327"/>
      <c r="L543" s="327"/>
      <c r="M543" s="327"/>
      <c r="N543" s="327"/>
      <c r="O543" s="327"/>
      <c r="P543" s="327"/>
      <c r="Q543" s="327"/>
      <c r="R543" s="328"/>
      <c r="S543" s="327"/>
      <c r="T543" s="327"/>
      <c r="U543" s="327"/>
      <c r="V543" s="327"/>
      <c r="W543" s="327"/>
      <c r="X543" s="327"/>
    </row>
    <row r="544" spans="1:24" s="279" customFormat="1">
      <c r="A544" s="326"/>
      <c r="B544" s="328"/>
      <c r="C544" s="328"/>
      <c r="D544" s="328"/>
      <c r="E544" s="328"/>
      <c r="F544" s="327"/>
      <c r="G544" s="327"/>
      <c r="H544" s="327"/>
      <c r="I544" s="327"/>
      <c r="J544" s="327"/>
      <c r="K544" s="327"/>
      <c r="L544" s="327"/>
      <c r="M544" s="327"/>
      <c r="N544" s="327"/>
      <c r="O544" s="327"/>
      <c r="P544" s="327"/>
      <c r="Q544" s="327"/>
      <c r="R544" s="328"/>
      <c r="S544" s="327"/>
      <c r="T544" s="327"/>
      <c r="U544" s="327"/>
      <c r="V544" s="327"/>
      <c r="W544" s="327"/>
      <c r="X544" s="327"/>
    </row>
    <row r="545" spans="1:24" s="279" customFormat="1">
      <c r="A545" s="326"/>
      <c r="B545" s="328"/>
      <c r="C545" s="328"/>
      <c r="D545" s="328"/>
      <c r="E545" s="328"/>
      <c r="F545" s="327"/>
      <c r="G545" s="327"/>
      <c r="H545" s="327"/>
      <c r="I545" s="327"/>
      <c r="J545" s="327"/>
      <c r="K545" s="327"/>
      <c r="L545" s="327"/>
      <c r="M545" s="327"/>
      <c r="N545" s="327"/>
      <c r="O545" s="327"/>
      <c r="P545" s="327"/>
      <c r="Q545" s="327"/>
      <c r="R545" s="328"/>
      <c r="S545" s="327"/>
      <c r="T545" s="327"/>
      <c r="U545" s="327"/>
      <c r="V545" s="327"/>
      <c r="W545" s="327"/>
      <c r="X545" s="327"/>
    </row>
    <row r="546" spans="1:24" s="279" customFormat="1">
      <c r="A546" s="326"/>
      <c r="B546" s="328"/>
      <c r="C546" s="328"/>
      <c r="D546" s="328"/>
      <c r="E546" s="328"/>
      <c r="F546" s="327"/>
      <c r="G546" s="327"/>
      <c r="H546" s="327"/>
      <c r="I546" s="327"/>
      <c r="J546" s="327"/>
      <c r="K546" s="327"/>
      <c r="L546" s="327"/>
      <c r="M546" s="327"/>
      <c r="N546" s="327"/>
      <c r="O546" s="327"/>
      <c r="P546" s="327"/>
      <c r="Q546" s="327"/>
      <c r="R546" s="328"/>
      <c r="S546" s="327"/>
      <c r="T546" s="327"/>
      <c r="U546" s="327"/>
      <c r="V546" s="327"/>
      <c r="W546" s="327"/>
      <c r="X546" s="327"/>
    </row>
    <row r="547" spans="1:24" s="279" customFormat="1">
      <c r="A547" s="326"/>
      <c r="B547" s="328"/>
      <c r="C547" s="328"/>
      <c r="D547" s="328"/>
      <c r="E547" s="328"/>
      <c r="F547" s="327"/>
      <c r="G547" s="327"/>
      <c r="H547" s="327"/>
      <c r="I547" s="327"/>
      <c r="J547" s="327"/>
      <c r="K547" s="327"/>
      <c r="L547" s="327"/>
      <c r="M547" s="327"/>
      <c r="N547" s="327"/>
      <c r="O547" s="327"/>
      <c r="P547" s="327"/>
      <c r="Q547" s="327"/>
      <c r="R547" s="328"/>
      <c r="S547" s="327"/>
      <c r="T547" s="327"/>
      <c r="U547" s="327"/>
      <c r="V547" s="327"/>
      <c r="W547" s="327"/>
      <c r="X547" s="327"/>
    </row>
    <row r="548" spans="1:24" s="279" customFormat="1">
      <c r="A548" s="326"/>
      <c r="B548" s="328"/>
      <c r="C548" s="328"/>
      <c r="D548" s="328"/>
      <c r="E548" s="328"/>
      <c r="F548" s="327"/>
      <c r="G548" s="327"/>
      <c r="H548" s="327"/>
      <c r="I548" s="327"/>
      <c r="J548" s="327"/>
      <c r="K548" s="327"/>
      <c r="L548" s="327"/>
      <c r="M548" s="327"/>
      <c r="N548" s="327"/>
      <c r="O548" s="327"/>
      <c r="P548" s="327"/>
      <c r="Q548" s="327"/>
      <c r="R548" s="328"/>
      <c r="S548" s="327"/>
      <c r="T548" s="327"/>
      <c r="U548" s="327"/>
      <c r="V548" s="327"/>
      <c r="W548" s="327"/>
      <c r="X548" s="327"/>
    </row>
    <row r="549" spans="1:24" s="279" customFormat="1">
      <c r="A549" s="326"/>
      <c r="B549" s="328"/>
      <c r="C549" s="328"/>
      <c r="D549" s="328"/>
      <c r="E549" s="328"/>
      <c r="F549" s="327"/>
      <c r="G549" s="327"/>
      <c r="H549" s="327"/>
      <c r="I549" s="327"/>
      <c r="J549" s="327"/>
      <c r="K549" s="327"/>
      <c r="L549" s="327"/>
      <c r="M549" s="327"/>
      <c r="N549" s="327"/>
      <c r="O549" s="327"/>
      <c r="P549" s="327"/>
      <c r="Q549" s="327"/>
      <c r="R549" s="328"/>
      <c r="S549" s="327"/>
      <c r="T549" s="327"/>
      <c r="U549" s="327"/>
      <c r="V549" s="327"/>
      <c r="W549" s="327"/>
      <c r="X549" s="327"/>
    </row>
    <row r="550" spans="1:24" s="279" customFormat="1">
      <c r="A550" s="326"/>
      <c r="B550" s="328"/>
      <c r="C550" s="328"/>
      <c r="D550" s="328"/>
      <c r="E550" s="328"/>
      <c r="F550" s="327"/>
      <c r="G550" s="327"/>
      <c r="H550" s="327"/>
      <c r="I550" s="327"/>
      <c r="J550" s="327"/>
      <c r="K550" s="327"/>
      <c r="L550" s="327"/>
      <c r="M550" s="327"/>
      <c r="N550" s="327"/>
      <c r="O550" s="327"/>
      <c r="P550" s="327"/>
      <c r="Q550" s="327"/>
      <c r="R550" s="328"/>
      <c r="S550" s="327"/>
      <c r="T550" s="327"/>
      <c r="U550" s="327"/>
      <c r="V550" s="327"/>
      <c r="W550" s="327"/>
      <c r="X550" s="327"/>
    </row>
    <row r="551" spans="1:24" s="279" customFormat="1">
      <c r="A551" s="326"/>
      <c r="B551" s="328"/>
      <c r="C551" s="328"/>
      <c r="D551" s="328"/>
      <c r="E551" s="328"/>
      <c r="F551" s="327"/>
      <c r="G551" s="327"/>
      <c r="H551" s="327"/>
      <c r="I551" s="327"/>
      <c r="J551" s="327"/>
      <c r="K551" s="327"/>
      <c r="L551" s="327"/>
      <c r="M551" s="327"/>
      <c r="N551" s="327"/>
      <c r="O551" s="327"/>
      <c r="P551" s="327"/>
      <c r="Q551" s="327"/>
      <c r="R551" s="328"/>
      <c r="S551" s="327"/>
      <c r="T551" s="327"/>
      <c r="U551" s="327"/>
      <c r="V551" s="327"/>
      <c r="W551" s="327"/>
      <c r="X551" s="327"/>
    </row>
    <row r="552" spans="1:24" s="279" customFormat="1">
      <c r="A552" s="326"/>
      <c r="B552" s="328"/>
      <c r="C552" s="328"/>
      <c r="D552" s="328"/>
      <c r="E552" s="328"/>
      <c r="F552" s="327"/>
      <c r="G552" s="327"/>
      <c r="H552" s="327"/>
      <c r="I552" s="327"/>
      <c r="J552" s="327"/>
      <c r="K552" s="327"/>
      <c r="L552" s="327"/>
      <c r="M552" s="327"/>
      <c r="N552" s="327"/>
      <c r="O552" s="327"/>
      <c r="P552" s="327"/>
      <c r="Q552" s="327"/>
      <c r="R552" s="328"/>
      <c r="S552" s="327"/>
      <c r="T552" s="327"/>
      <c r="U552" s="327"/>
      <c r="V552" s="327"/>
      <c r="W552" s="327"/>
      <c r="X552" s="327"/>
    </row>
    <row r="553" spans="1:24" s="279" customFormat="1">
      <c r="A553" s="326"/>
      <c r="B553" s="328"/>
      <c r="C553" s="328"/>
      <c r="D553" s="328"/>
      <c r="E553" s="328"/>
      <c r="F553" s="327"/>
      <c r="G553" s="327"/>
      <c r="H553" s="327"/>
      <c r="I553" s="327"/>
      <c r="J553" s="327"/>
      <c r="K553" s="327"/>
      <c r="L553" s="327"/>
      <c r="M553" s="327"/>
      <c r="N553" s="327"/>
      <c r="O553" s="327"/>
      <c r="P553" s="327"/>
      <c r="Q553" s="327"/>
      <c r="R553" s="328"/>
      <c r="S553" s="327"/>
      <c r="T553" s="327"/>
      <c r="U553" s="327"/>
      <c r="V553" s="327"/>
      <c r="W553" s="327"/>
      <c r="X553" s="327"/>
    </row>
    <row r="554" spans="1:24" s="279" customFormat="1">
      <c r="A554" s="326"/>
      <c r="B554" s="328"/>
      <c r="C554" s="328"/>
      <c r="D554" s="328"/>
      <c r="E554" s="328"/>
      <c r="F554" s="327"/>
      <c r="G554" s="327"/>
      <c r="H554" s="327"/>
      <c r="I554" s="327"/>
      <c r="J554" s="327"/>
      <c r="K554" s="327"/>
      <c r="L554" s="327"/>
      <c r="M554" s="327"/>
      <c r="N554" s="327"/>
      <c r="O554" s="327"/>
      <c r="P554" s="327"/>
      <c r="Q554" s="327"/>
      <c r="R554" s="328"/>
      <c r="S554" s="327"/>
      <c r="T554" s="327"/>
      <c r="U554" s="327"/>
      <c r="V554" s="327"/>
      <c r="W554" s="327"/>
      <c r="X554" s="327"/>
    </row>
    <row r="555" spans="1:24" s="279" customFormat="1">
      <c r="A555" s="326"/>
      <c r="B555" s="328"/>
      <c r="C555" s="328"/>
      <c r="D555" s="328"/>
      <c r="E555" s="328"/>
      <c r="F555" s="327"/>
      <c r="G555" s="327"/>
      <c r="H555" s="327"/>
      <c r="I555" s="327"/>
      <c r="J555" s="327"/>
      <c r="K555" s="327"/>
      <c r="L555" s="327"/>
      <c r="M555" s="327"/>
      <c r="N555" s="327"/>
      <c r="O555" s="327"/>
      <c r="P555" s="327"/>
      <c r="Q555" s="327"/>
      <c r="R555" s="328"/>
      <c r="S555" s="327"/>
      <c r="T555" s="327"/>
      <c r="U555" s="327"/>
      <c r="V555" s="327"/>
      <c r="W555" s="327"/>
      <c r="X555" s="327"/>
    </row>
    <row r="556" spans="1:24" s="279" customFormat="1">
      <c r="A556" s="326"/>
      <c r="B556" s="328"/>
      <c r="C556" s="328"/>
      <c r="D556" s="328"/>
      <c r="E556" s="328"/>
      <c r="F556" s="327"/>
      <c r="G556" s="327"/>
      <c r="H556" s="327"/>
      <c r="I556" s="327"/>
      <c r="J556" s="327"/>
      <c r="K556" s="327"/>
      <c r="L556" s="327"/>
      <c r="M556" s="327"/>
      <c r="N556" s="327"/>
      <c r="O556" s="327"/>
      <c r="P556" s="327"/>
      <c r="Q556" s="327"/>
      <c r="R556" s="328"/>
      <c r="S556" s="327"/>
      <c r="T556" s="327"/>
      <c r="U556" s="327"/>
      <c r="V556" s="327"/>
      <c r="W556" s="327"/>
      <c r="X556" s="327"/>
    </row>
    <row r="557" spans="1:24" s="279" customFormat="1">
      <c r="A557" s="326"/>
      <c r="B557" s="328"/>
      <c r="C557" s="328"/>
      <c r="D557" s="328"/>
      <c r="E557" s="328"/>
      <c r="F557" s="327"/>
      <c r="G557" s="327"/>
      <c r="H557" s="327"/>
      <c r="I557" s="327"/>
      <c r="J557" s="327"/>
      <c r="K557" s="327"/>
      <c r="L557" s="327"/>
      <c r="M557" s="327"/>
      <c r="N557" s="327"/>
      <c r="O557" s="327"/>
      <c r="P557" s="327"/>
      <c r="Q557" s="327"/>
      <c r="R557" s="328"/>
      <c r="S557" s="327"/>
      <c r="T557" s="327"/>
      <c r="U557" s="327"/>
      <c r="V557" s="327"/>
      <c r="W557" s="327"/>
      <c r="X557" s="327"/>
    </row>
    <row r="558" spans="1:24" s="279" customFormat="1">
      <c r="A558" s="326"/>
      <c r="B558" s="328"/>
      <c r="C558" s="328"/>
      <c r="D558" s="328"/>
      <c r="E558" s="328"/>
      <c r="F558" s="327"/>
      <c r="G558" s="327"/>
      <c r="H558" s="327"/>
      <c r="I558" s="327"/>
      <c r="J558" s="327"/>
      <c r="K558" s="327"/>
      <c r="L558" s="327"/>
      <c r="M558" s="327"/>
      <c r="N558" s="327"/>
      <c r="O558" s="327"/>
      <c r="P558" s="327"/>
      <c r="Q558" s="327"/>
      <c r="R558" s="328"/>
      <c r="S558" s="327"/>
      <c r="T558" s="327"/>
      <c r="U558" s="327"/>
      <c r="V558" s="327"/>
      <c r="W558" s="327"/>
      <c r="X558" s="327"/>
    </row>
    <row r="559" spans="1:24" s="279" customFormat="1">
      <c r="A559" s="326"/>
      <c r="B559" s="328"/>
      <c r="C559" s="328"/>
      <c r="D559" s="328"/>
      <c r="E559" s="328"/>
      <c r="F559" s="327"/>
      <c r="G559" s="327"/>
      <c r="H559" s="327"/>
      <c r="I559" s="327"/>
      <c r="J559" s="327"/>
      <c r="K559" s="327"/>
      <c r="L559" s="327"/>
      <c r="M559" s="327"/>
      <c r="N559" s="327"/>
      <c r="O559" s="327"/>
      <c r="P559" s="327"/>
      <c r="Q559" s="327"/>
      <c r="R559" s="328"/>
      <c r="S559" s="327"/>
      <c r="T559" s="327"/>
      <c r="U559" s="327"/>
      <c r="V559" s="327"/>
      <c r="W559" s="327"/>
      <c r="X559" s="327"/>
    </row>
    <row r="560" spans="1:24" s="279" customFormat="1">
      <c r="A560" s="326"/>
      <c r="B560" s="328"/>
      <c r="C560" s="328"/>
      <c r="D560" s="328"/>
      <c r="E560" s="328"/>
      <c r="F560" s="327"/>
      <c r="G560" s="327"/>
      <c r="H560" s="327"/>
      <c r="I560" s="327"/>
      <c r="J560" s="327"/>
      <c r="K560" s="327"/>
      <c r="L560" s="327"/>
      <c r="M560" s="327"/>
      <c r="N560" s="327"/>
      <c r="O560" s="327"/>
      <c r="P560" s="327"/>
      <c r="Q560" s="327"/>
      <c r="R560" s="328"/>
      <c r="S560" s="327"/>
      <c r="T560" s="327"/>
      <c r="U560" s="327"/>
      <c r="V560" s="327"/>
      <c r="W560" s="327"/>
      <c r="X560" s="327"/>
    </row>
    <row r="561" spans="1:24" s="279" customFormat="1">
      <c r="A561" s="326"/>
      <c r="B561" s="328"/>
      <c r="C561" s="328"/>
      <c r="D561" s="328"/>
      <c r="E561" s="328"/>
      <c r="F561" s="327"/>
      <c r="G561" s="327"/>
      <c r="H561" s="327"/>
      <c r="I561" s="327"/>
      <c r="J561" s="327"/>
      <c r="K561" s="327"/>
      <c r="L561" s="327"/>
      <c r="M561" s="327"/>
      <c r="N561" s="327"/>
      <c r="O561" s="327"/>
      <c r="P561" s="327"/>
      <c r="Q561" s="327"/>
      <c r="R561" s="328"/>
      <c r="S561" s="327"/>
      <c r="T561" s="327"/>
      <c r="U561" s="327"/>
      <c r="V561" s="327"/>
      <c r="W561" s="327"/>
      <c r="X561" s="327"/>
    </row>
    <row r="562" spans="1:24" s="279" customFormat="1">
      <c r="A562" s="326"/>
      <c r="B562" s="328"/>
      <c r="C562" s="328"/>
      <c r="D562" s="328"/>
      <c r="E562" s="328"/>
      <c r="F562" s="327"/>
      <c r="G562" s="327"/>
      <c r="H562" s="327"/>
      <c r="I562" s="327"/>
      <c r="J562" s="327"/>
      <c r="K562" s="327"/>
      <c r="L562" s="327"/>
      <c r="M562" s="327"/>
      <c r="N562" s="327"/>
      <c r="O562" s="327"/>
      <c r="P562" s="327"/>
      <c r="Q562" s="327"/>
      <c r="R562" s="328"/>
      <c r="S562" s="327"/>
      <c r="T562" s="327"/>
      <c r="U562" s="327"/>
      <c r="V562" s="327"/>
      <c r="W562" s="327"/>
      <c r="X562" s="327"/>
    </row>
    <row r="563" spans="1:24" s="279" customFormat="1">
      <c r="A563" s="326"/>
      <c r="B563" s="328"/>
      <c r="C563" s="328"/>
      <c r="D563" s="328"/>
      <c r="E563" s="328"/>
      <c r="F563" s="327"/>
      <c r="G563" s="327"/>
      <c r="H563" s="327"/>
      <c r="I563" s="327"/>
      <c r="J563" s="327"/>
      <c r="K563" s="327"/>
      <c r="L563" s="327"/>
      <c r="M563" s="327"/>
      <c r="N563" s="327"/>
      <c r="O563" s="327"/>
      <c r="P563" s="327"/>
      <c r="Q563" s="327"/>
      <c r="R563" s="328"/>
      <c r="S563" s="327"/>
      <c r="T563" s="327"/>
      <c r="U563" s="327"/>
      <c r="V563" s="327"/>
      <c r="W563" s="327"/>
      <c r="X563" s="327"/>
    </row>
    <row r="564" spans="1:24" s="279" customFormat="1">
      <c r="A564" s="326"/>
      <c r="B564" s="328"/>
      <c r="C564" s="328"/>
      <c r="D564" s="328"/>
      <c r="E564" s="328"/>
      <c r="F564" s="327"/>
      <c r="G564" s="327"/>
      <c r="H564" s="327"/>
      <c r="I564" s="327"/>
      <c r="J564" s="327"/>
      <c r="K564" s="327"/>
      <c r="L564" s="327"/>
      <c r="M564" s="327"/>
      <c r="N564" s="327"/>
      <c r="O564" s="327"/>
      <c r="P564" s="327"/>
      <c r="Q564" s="327"/>
      <c r="R564" s="328"/>
      <c r="S564" s="327"/>
      <c r="T564" s="327"/>
      <c r="U564" s="327"/>
      <c r="V564" s="327"/>
      <c r="W564" s="327"/>
      <c r="X564" s="327"/>
    </row>
    <row r="565" spans="1:24" s="279" customFormat="1">
      <c r="A565" s="326"/>
      <c r="B565" s="328"/>
      <c r="C565" s="328"/>
      <c r="D565" s="328"/>
      <c r="E565" s="328"/>
      <c r="F565" s="327"/>
      <c r="G565" s="327"/>
      <c r="H565" s="327"/>
      <c r="I565" s="327"/>
      <c r="J565" s="327"/>
      <c r="K565" s="327"/>
      <c r="L565" s="327"/>
      <c r="M565" s="327"/>
      <c r="N565" s="327"/>
      <c r="O565" s="327"/>
      <c r="P565" s="327"/>
      <c r="Q565" s="327"/>
      <c r="R565" s="328"/>
      <c r="S565" s="327"/>
      <c r="T565" s="327"/>
      <c r="U565" s="327"/>
      <c r="V565" s="327"/>
      <c r="W565" s="327"/>
      <c r="X565" s="327"/>
    </row>
    <row r="566" spans="1:24" s="279" customFormat="1">
      <c r="A566" s="326"/>
      <c r="B566" s="328"/>
      <c r="C566" s="328"/>
      <c r="D566" s="328"/>
      <c r="E566" s="328"/>
      <c r="F566" s="327"/>
      <c r="G566" s="327"/>
      <c r="H566" s="327"/>
      <c r="I566" s="327"/>
      <c r="J566" s="327"/>
      <c r="K566" s="327"/>
      <c r="L566" s="327"/>
      <c r="M566" s="327"/>
      <c r="N566" s="327"/>
      <c r="O566" s="327"/>
      <c r="P566" s="327"/>
      <c r="Q566" s="327"/>
      <c r="R566" s="328"/>
      <c r="S566" s="327"/>
      <c r="T566" s="327"/>
      <c r="U566" s="327"/>
      <c r="V566" s="327"/>
      <c r="W566" s="327"/>
      <c r="X566" s="327"/>
    </row>
    <row r="567" spans="1:24" s="279" customFormat="1">
      <c r="A567" s="326"/>
      <c r="B567" s="328"/>
      <c r="C567" s="328"/>
      <c r="D567" s="328"/>
      <c r="E567" s="328"/>
      <c r="F567" s="327"/>
      <c r="G567" s="327"/>
      <c r="H567" s="327"/>
      <c r="I567" s="327"/>
      <c r="J567" s="327"/>
      <c r="K567" s="327"/>
      <c r="L567" s="327"/>
      <c r="M567" s="327"/>
      <c r="N567" s="327"/>
      <c r="O567" s="327"/>
      <c r="P567" s="327"/>
      <c r="Q567" s="327"/>
      <c r="R567" s="328"/>
      <c r="S567" s="327"/>
      <c r="T567" s="327"/>
      <c r="U567" s="327"/>
      <c r="V567" s="327"/>
      <c r="W567" s="327"/>
      <c r="X567" s="327"/>
    </row>
    <row r="568" spans="1:24" s="279" customFormat="1">
      <c r="A568" s="326"/>
      <c r="B568" s="328"/>
      <c r="C568" s="328"/>
      <c r="D568" s="328"/>
      <c r="E568" s="328"/>
      <c r="F568" s="327"/>
      <c r="G568" s="327"/>
      <c r="H568" s="327"/>
      <c r="I568" s="327"/>
      <c r="J568" s="327"/>
      <c r="K568" s="327"/>
      <c r="L568" s="327"/>
      <c r="M568" s="327"/>
      <c r="N568" s="327"/>
      <c r="O568" s="327"/>
      <c r="P568" s="327"/>
      <c r="Q568" s="327"/>
      <c r="R568" s="328"/>
      <c r="S568" s="327"/>
      <c r="T568" s="327"/>
      <c r="U568" s="327"/>
      <c r="V568" s="327"/>
      <c r="W568" s="327"/>
      <c r="X568" s="327"/>
    </row>
    <row r="569" spans="1:24" s="279" customFormat="1">
      <c r="A569" s="326"/>
      <c r="B569" s="328"/>
      <c r="C569" s="328"/>
      <c r="D569" s="328"/>
      <c r="E569" s="328"/>
      <c r="F569" s="327"/>
      <c r="G569" s="327"/>
      <c r="H569" s="327"/>
      <c r="I569" s="327"/>
      <c r="J569" s="327"/>
      <c r="K569" s="327"/>
      <c r="L569" s="327"/>
      <c r="M569" s="327"/>
      <c r="N569" s="327"/>
      <c r="O569" s="327"/>
      <c r="P569" s="327"/>
      <c r="Q569" s="327"/>
      <c r="R569" s="328"/>
      <c r="S569" s="327"/>
      <c r="T569" s="327"/>
      <c r="U569" s="327"/>
      <c r="V569" s="327"/>
      <c r="W569" s="327"/>
      <c r="X569" s="327"/>
    </row>
    <row r="570" spans="1:24" s="279" customFormat="1">
      <c r="A570" s="326"/>
      <c r="B570" s="328"/>
      <c r="C570" s="328"/>
      <c r="D570" s="328"/>
      <c r="E570" s="328"/>
      <c r="F570" s="327"/>
      <c r="G570" s="327"/>
      <c r="H570" s="327"/>
      <c r="I570" s="327"/>
      <c r="J570" s="327"/>
      <c r="K570" s="327"/>
      <c r="L570" s="327"/>
      <c r="M570" s="327"/>
      <c r="N570" s="327"/>
      <c r="O570" s="327"/>
      <c r="P570" s="327"/>
      <c r="Q570" s="327"/>
      <c r="R570" s="328"/>
      <c r="S570" s="327"/>
      <c r="T570" s="327"/>
      <c r="U570" s="327"/>
      <c r="V570" s="327"/>
      <c r="W570" s="327"/>
      <c r="X570" s="327"/>
    </row>
    <row r="571" spans="1:24" s="279" customFormat="1">
      <c r="A571" s="326"/>
      <c r="B571" s="328"/>
      <c r="C571" s="328"/>
      <c r="D571" s="328"/>
      <c r="E571" s="328"/>
      <c r="F571" s="327"/>
      <c r="G571" s="327"/>
      <c r="H571" s="327"/>
      <c r="I571" s="327"/>
      <c r="J571" s="327"/>
      <c r="K571" s="327"/>
      <c r="L571" s="327"/>
      <c r="M571" s="327"/>
      <c r="N571" s="327"/>
      <c r="O571" s="327"/>
      <c r="P571" s="327"/>
      <c r="Q571" s="327"/>
      <c r="R571" s="328"/>
      <c r="S571" s="327"/>
      <c r="T571" s="327"/>
      <c r="U571" s="327"/>
      <c r="V571" s="327"/>
      <c r="W571" s="327"/>
      <c r="X571" s="327"/>
    </row>
    <row r="572" spans="1:24" s="279" customFormat="1">
      <c r="A572" s="326"/>
      <c r="B572" s="328"/>
      <c r="C572" s="328"/>
      <c r="D572" s="328"/>
      <c r="E572" s="328"/>
      <c r="F572" s="327"/>
      <c r="G572" s="327"/>
      <c r="H572" s="327"/>
      <c r="I572" s="327"/>
      <c r="J572" s="327"/>
      <c r="K572" s="327"/>
      <c r="L572" s="327"/>
      <c r="M572" s="327"/>
      <c r="N572" s="327"/>
      <c r="O572" s="327"/>
      <c r="P572" s="327"/>
      <c r="Q572" s="327"/>
      <c r="R572" s="328"/>
      <c r="S572" s="327"/>
      <c r="T572" s="327"/>
      <c r="U572" s="327"/>
      <c r="V572" s="327"/>
      <c r="W572" s="327"/>
      <c r="X572" s="327"/>
    </row>
    <row r="573" spans="1:24" s="279" customFormat="1">
      <c r="A573" s="326"/>
      <c r="B573" s="328"/>
      <c r="C573" s="328"/>
      <c r="D573" s="328"/>
      <c r="E573" s="328"/>
      <c r="F573" s="327"/>
      <c r="G573" s="327"/>
      <c r="H573" s="327"/>
      <c r="I573" s="327"/>
      <c r="J573" s="327"/>
      <c r="K573" s="327"/>
      <c r="L573" s="327"/>
      <c r="M573" s="327"/>
      <c r="N573" s="327"/>
      <c r="O573" s="327"/>
      <c r="P573" s="327"/>
      <c r="Q573" s="327"/>
      <c r="R573" s="328"/>
      <c r="S573" s="327"/>
      <c r="T573" s="327"/>
      <c r="U573" s="327"/>
      <c r="V573" s="327"/>
      <c r="W573" s="327"/>
      <c r="X573" s="327"/>
    </row>
    <row r="574" spans="1:24" s="279" customFormat="1">
      <c r="A574" s="326"/>
      <c r="B574" s="328"/>
      <c r="C574" s="328"/>
      <c r="D574" s="328"/>
      <c r="E574" s="328"/>
      <c r="F574" s="327"/>
      <c r="G574" s="327"/>
      <c r="H574" s="327"/>
      <c r="I574" s="327"/>
      <c r="J574" s="327"/>
      <c r="K574" s="327"/>
      <c r="L574" s="327"/>
      <c r="M574" s="327"/>
      <c r="N574" s="327"/>
      <c r="O574" s="327"/>
      <c r="P574" s="327"/>
      <c r="Q574" s="327"/>
      <c r="R574" s="328"/>
      <c r="S574" s="327"/>
      <c r="T574" s="327"/>
      <c r="U574" s="327"/>
      <c r="V574" s="327"/>
      <c r="W574" s="327"/>
      <c r="X574" s="327"/>
    </row>
    <row r="575" spans="1:24" s="279" customFormat="1">
      <c r="A575" s="326"/>
      <c r="B575" s="328"/>
      <c r="C575" s="328"/>
      <c r="D575" s="328"/>
      <c r="E575" s="328"/>
      <c r="F575" s="327"/>
      <c r="G575" s="327"/>
      <c r="H575" s="327"/>
      <c r="I575" s="327"/>
      <c r="J575" s="327"/>
      <c r="K575" s="327"/>
      <c r="L575" s="327"/>
      <c r="M575" s="327"/>
      <c r="N575" s="327"/>
      <c r="O575" s="327"/>
      <c r="P575" s="327"/>
      <c r="Q575" s="327"/>
      <c r="R575" s="328"/>
      <c r="S575" s="327"/>
      <c r="T575" s="327"/>
      <c r="U575" s="327"/>
      <c r="V575" s="327"/>
      <c r="W575" s="327"/>
      <c r="X575" s="327"/>
    </row>
    <row r="576" spans="1:24" s="279" customFormat="1">
      <c r="A576" s="326"/>
      <c r="B576" s="328"/>
      <c r="C576" s="328"/>
      <c r="D576" s="328"/>
      <c r="E576" s="328"/>
      <c r="F576" s="327"/>
      <c r="G576" s="327"/>
      <c r="H576" s="327"/>
      <c r="I576" s="327"/>
      <c r="J576" s="327"/>
      <c r="K576" s="327"/>
      <c r="L576" s="327"/>
      <c r="M576" s="327"/>
      <c r="N576" s="327"/>
      <c r="O576" s="327"/>
      <c r="P576" s="327"/>
      <c r="Q576" s="327"/>
      <c r="R576" s="328"/>
      <c r="S576" s="327"/>
      <c r="T576" s="327"/>
      <c r="U576" s="327"/>
      <c r="V576" s="327"/>
      <c r="W576" s="327"/>
      <c r="X576" s="327"/>
    </row>
    <row r="577" spans="1:24" s="279" customFormat="1">
      <c r="A577" s="326"/>
      <c r="B577" s="328"/>
      <c r="C577" s="328"/>
      <c r="D577" s="328"/>
      <c r="E577" s="328"/>
      <c r="F577" s="327"/>
      <c r="G577" s="327"/>
      <c r="H577" s="327"/>
      <c r="I577" s="327"/>
      <c r="J577" s="327"/>
      <c r="K577" s="327"/>
      <c r="L577" s="327"/>
      <c r="M577" s="327"/>
      <c r="N577" s="327"/>
      <c r="O577" s="327"/>
      <c r="P577" s="327"/>
      <c r="Q577" s="327"/>
      <c r="R577" s="328"/>
      <c r="S577" s="327"/>
      <c r="T577" s="327"/>
      <c r="U577" s="327"/>
      <c r="V577" s="327"/>
      <c r="W577" s="327"/>
      <c r="X577" s="327"/>
    </row>
    <row r="578" spans="1:24" s="279" customFormat="1">
      <c r="A578" s="326"/>
      <c r="B578" s="328"/>
      <c r="C578" s="328"/>
      <c r="D578" s="328"/>
      <c r="E578" s="328"/>
      <c r="F578" s="327"/>
      <c r="G578" s="327"/>
      <c r="H578" s="327"/>
      <c r="I578" s="327"/>
      <c r="J578" s="327"/>
      <c r="K578" s="327"/>
      <c r="L578" s="327"/>
      <c r="M578" s="327"/>
      <c r="N578" s="327"/>
      <c r="O578" s="327"/>
      <c r="P578" s="327"/>
      <c r="Q578" s="327"/>
      <c r="R578" s="328"/>
      <c r="S578" s="327"/>
      <c r="T578" s="327"/>
      <c r="U578" s="327"/>
      <c r="V578" s="327"/>
      <c r="W578" s="327"/>
      <c r="X578" s="327"/>
    </row>
    <row r="579" spans="1:24" s="279" customFormat="1">
      <c r="A579" s="326"/>
      <c r="B579" s="328"/>
      <c r="C579" s="328"/>
      <c r="D579" s="328"/>
      <c r="E579" s="328"/>
      <c r="F579" s="327"/>
      <c r="G579" s="327"/>
      <c r="H579" s="327"/>
      <c r="I579" s="327"/>
      <c r="J579" s="327"/>
      <c r="K579" s="327"/>
      <c r="L579" s="327"/>
      <c r="M579" s="327"/>
      <c r="N579" s="327"/>
      <c r="O579" s="327"/>
      <c r="P579" s="327"/>
      <c r="Q579" s="327"/>
      <c r="R579" s="328"/>
      <c r="S579" s="327"/>
      <c r="T579" s="327"/>
      <c r="U579" s="327"/>
      <c r="V579" s="327"/>
      <c r="W579" s="327"/>
      <c r="X579" s="327"/>
    </row>
    <row r="580" spans="1:24" s="279" customFormat="1">
      <c r="A580" s="326"/>
      <c r="B580" s="328"/>
      <c r="C580" s="328"/>
      <c r="D580" s="328"/>
      <c r="E580" s="328"/>
      <c r="F580" s="327"/>
      <c r="G580" s="327"/>
      <c r="H580" s="327"/>
      <c r="I580" s="327"/>
      <c r="J580" s="327"/>
      <c r="K580" s="327"/>
      <c r="L580" s="327"/>
      <c r="M580" s="327"/>
      <c r="N580" s="327"/>
      <c r="O580" s="327"/>
      <c r="P580" s="327"/>
      <c r="Q580" s="327"/>
      <c r="R580" s="328"/>
      <c r="S580" s="327"/>
      <c r="T580" s="327"/>
      <c r="U580" s="327"/>
      <c r="V580" s="327"/>
      <c r="W580" s="327"/>
      <c r="X580" s="327"/>
    </row>
    <row r="581" spans="1:24" s="279" customFormat="1">
      <c r="A581" s="326"/>
      <c r="B581" s="328"/>
      <c r="C581" s="328"/>
      <c r="D581" s="328"/>
      <c r="E581" s="328"/>
      <c r="F581" s="327"/>
      <c r="G581" s="327"/>
      <c r="H581" s="327"/>
      <c r="I581" s="327"/>
      <c r="J581" s="327"/>
      <c r="K581" s="327"/>
      <c r="L581" s="327"/>
      <c r="M581" s="327"/>
      <c r="N581" s="327"/>
      <c r="O581" s="327"/>
      <c r="P581" s="327"/>
      <c r="Q581" s="327"/>
      <c r="R581" s="328"/>
      <c r="S581" s="327"/>
      <c r="T581" s="327"/>
      <c r="U581" s="327"/>
      <c r="V581" s="327"/>
      <c r="W581" s="327"/>
      <c r="X581" s="327"/>
    </row>
    <row r="582" spans="1:24" s="279" customFormat="1">
      <c r="A582" s="326"/>
      <c r="B582" s="328"/>
      <c r="C582" s="328"/>
      <c r="D582" s="328"/>
      <c r="E582" s="328"/>
      <c r="F582" s="327"/>
      <c r="G582" s="327"/>
      <c r="H582" s="327"/>
      <c r="I582" s="327"/>
      <c r="J582" s="327"/>
      <c r="K582" s="327"/>
      <c r="L582" s="327"/>
      <c r="M582" s="327"/>
      <c r="N582" s="327"/>
      <c r="O582" s="327"/>
      <c r="P582" s="327"/>
      <c r="Q582" s="327"/>
      <c r="R582" s="328"/>
      <c r="S582" s="327"/>
      <c r="T582" s="327"/>
      <c r="U582" s="327"/>
      <c r="V582" s="327"/>
      <c r="W582" s="327"/>
      <c r="X582" s="327"/>
    </row>
    <row r="583" spans="1:24" s="279" customFormat="1">
      <c r="A583" s="326"/>
      <c r="B583" s="328"/>
      <c r="C583" s="328"/>
      <c r="D583" s="328"/>
      <c r="E583" s="328"/>
      <c r="F583" s="327"/>
      <c r="G583" s="327"/>
      <c r="H583" s="327"/>
      <c r="I583" s="327"/>
      <c r="J583" s="327"/>
      <c r="K583" s="327"/>
      <c r="L583" s="327"/>
      <c r="M583" s="327"/>
      <c r="N583" s="327"/>
      <c r="O583" s="327"/>
      <c r="P583" s="327"/>
      <c r="Q583" s="327"/>
      <c r="R583" s="328"/>
      <c r="S583" s="327"/>
      <c r="T583" s="327"/>
      <c r="U583" s="327"/>
      <c r="V583" s="327"/>
      <c r="W583" s="327"/>
      <c r="X583" s="327"/>
    </row>
    <row r="584" spans="1:24" s="279" customFormat="1">
      <c r="A584" s="326"/>
      <c r="B584" s="328"/>
      <c r="C584" s="328"/>
      <c r="D584" s="328"/>
      <c r="E584" s="328"/>
      <c r="F584" s="327"/>
      <c r="G584" s="327"/>
      <c r="H584" s="327"/>
      <c r="I584" s="327"/>
      <c r="J584" s="327"/>
      <c r="K584" s="327"/>
      <c r="L584" s="327"/>
      <c r="M584" s="327"/>
      <c r="N584" s="327"/>
      <c r="O584" s="327"/>
      <c r="P584" s="327"/>
      <c r="Q584" s="327"/>
      <c r="R584" s="328"/>
      <c r="S584" s="327"/>
      <c r="T584" s="327"/>
      <c r="U584" s="327"/>
      <c r="V584" s="327"/>
      <c r="W584" s="327"/>
      <c r="X584" s="327"/>
    </row>
    <row r="585" spans="1:24" s="279" customFormat="1">
      <c r="A585" s="326"/>
      <c r="B585" s="328"/>
      <c r="C585" s="328"/>
      <c r="D585" s="328"/>
      <c r="E585" s="328"/>
      <c r="F585" s="327"/>
      <c r="G585" s="327"/>
      <c r="H585" s="327"/>
      <c r="I585" s="327"/>
      <c r="J585" s="327"/>
      <c r="K585" s="327"/>
      <c r="L585" s="327"/>
      <c r="M585" s="327"/>
      <c r="N585" s="327"/>
      <c r="O585" s="327"/>
      <c r="P585" s="327"/>
      <c r="Q585" s="327"/>
      <c r="R585" s="328"/>
      <c r="S585" s="327"/>
      <c r="T585" s="327"/>
      <c r="U585" s="327"/>
      <c r="V585" s="327"/>
      <c r="W585" s="327"/>
      <c r="X585" s="327"/>
    </row>
    <row r="586" spans="1:24" s="279" customFormat="1">
      <c r="A586" s="326"/>
      <c r="B586" s="328"/>
      <c r="C586" s="328"/>
      <c r="D586" s="328"/>
      <c r="E586" s="328"/>
      <c r="F586" s="327"/>
      <c r="G586" s="327"/>
      <c r="H586" s="327"/>
      <c r="I586" s="327"/>
      <c r="J586" s="327"/>
      <c r="K586" s="327"/>
      <c r="L586" s="327"/>
      <c r="M586" s="327"/>
      <c r="N586" s="327"/>
      <c r="O586" s="327"/>
      <c r="P586" s="327"/>
      <c r="Q586" s="327"/>
      <c r="R586" s="328"/>
      <c r="S586" s="327"/>
      <c r="T586" s="327"/>
      <c r="U586" s="327"/>
      <c r="V586" s="327"/>
      <c r="W586" s="327"/>
      <c r="X586" s="327"/>
    </row>
    <row r="587" spans="1:24" s="279" customFormat="1">
      <c r="A587" s="326"/>
      <c r="B587" s="328"/>
      <c r="C587" s="328"/>
      <c r="D587" s="328"/>
      <c r="E587" s="328"/>
      <c r="F587" s="327"/>
      <c r="G587" s="327"/>
      <c r="H587" s="327"/>
      <c r="I587" s="327"/>
      <c r="J587" s="327"/>
      <c r="K587" s="327"/>
      <c r="L587" s="327"/>
      <c r="M587" s="327"/>
      <c r="N587" s="327"/>
      <c r="O587" s="327"/>
      <c r="P587" s="327"/>
      <c r="Q587" s="327"/>
      <c r="R587" s="328"/>
      <c r="S587" s="327"/>
      <c r="T587" s="327"/>
      <c r="U587" s="327"/>
      <c r="V587" s="327"/>
      <c r="W587" s="327"/>
      <c r="X587" s="327"/>
    </row>
    <row r="588" spans="1:24" s="279" customFormat="1">
      <c r="A588" s="326"/>
      <c r="B588" s="328"/>
      <c r="C588" s="328"/>
      <c r="D588" s="328"/>
      <c r="E588" s="328"/>
      <c r="F588" s="327"/>
      <c r="G588" s="327"/>
      <c r="H588" s="327"/>
      <c r="I588" s="327"/>
      <c r="J588" s="327"/>
      <c r="K588" s="327"/>
      <c r="L588" s="327"/>
      <c r="M588" s="327"/>
      <c r="N588" s="327"/>
      <c r="O588" s="327"/>
      <c r="P588" s="327"/>
      <c r="Q588" s="327"/>
      <c r="R588" s="328"/>
      <c r="S588" s="327"/>
      <c r="T588" s="327"/>
      <c r="U588" s="327"/>
      <c r="V588" s="327"/>
      <c r="W588" s="327"/>
      <c r="X588" s="327"/>
    </row>
    <row r="589" spans="1:24" s="279" customFormat="1">
      <c r="A589" s="326"/>
      <c r="B589" s="328"/>
      <c r="C589" s="328"/>
      <c r="D589" s="328"/>
      <c r="E589" s="328"/>
      <c r="F589" s="327"/>
      <c r="G589" s="327"/>
      <c r="H589" s="327"/>
      <c r="I589" s="327"/>
      <c r="J589" s="327"/>
      <c r="K589" s="327"/>
      <c r="L589" s="327"/>
      <c r="M589" s="327"/>
      <c r="N589" s="327"/>
      <c r="O589" s="327"/>
      <c r="P589" s="327"/>
      <c r="Q589" s="327"/>
      <c r="R589" s="328"/>
      <c r="S589" s="327"/>
      <c r="T589" s="327"/>
      <c r="U589" s="327"/>
      <c r="V589" s="327"/>
      <c r="W589" s="327"/>
      <c r="X589" s="327"/>
    </row>
    <row r="590" spans="1:24" s="279" customFormat="1">
      <c r="A590" s="326"/>
      <c r="B590" s="328"/>
      <c r="C590" s="328"/>
      <c r="D590" s="328"/>
      <c r="E590" s="328"/>
      <c r="F590" s="327"/>
      <c r="G590" s="327"/>
      <c r="H590" s="327"/>
      <c r="I590" s="327"/>
      <c r="J590" s="327"/>
      <c r="K590" s="327"/>
      <c r="L590" s="327"/>
      <c r="M590" s="327"/>
      <c r="N590" s="327"/>
      <c r="O590" s="327"/>
      <c r="P590" s="327"/>
      <c r="Q590" s="327"/>
      <c r="R590" s="328"/>
      <c r="S590" s="327"/>
      <c r="T590" s="327"/>
      <c r="U590" s="327"/>
      <c r="V590" s="327"/>
      <c r="W590" s="327"/>
      <c r="X590" s="327"/>
    </row>
    <row r="591" spans="1:24" s="279" customFormat="1">
      <c r="A591" s="326"/>
      <c r="B591" s="328"/>
      <c r="C591" s="328"/>
      <c r="D591" s="328"/>
      <c r="E591" s="328"/>
      <c r="F591" s="327"/>
      <c r="G591" s="327"/>
      <c r="H591" s="327"/>
      <c r="I591" s="327"/>
      <c r="J591" s="327"/>
      <c r="K591" s="327"/>
      <c r="L591" s="327"/>
      <c r="M591" s="327"/>
      <c r="N591" s="327"/>
      <c r="O591" s="327"/>
      <c r="P591" s="327"/>
      <c r="Q591" s="327"/>
      <c r="R591" s="328"/>
      <c r="S591" s="327"/>
      <c r="T591" s="327"/>
      <c r="U591" s="327"/>
      <c r="V591" s="327"/>
      <c r="W591" s="327"/>
      <c r="X591" s="327"/>
    </row>
    <row r="592" spans="1:24" s="279" customFormat="1">
      <c r="A592" s="326"/>
      <c r="B592" s="328"/>
      <c r="C592" s="328"/>
      <c r="D592" s="328"/>
      <c r="E592" s="328"/>
      <c r="F592" s="327"/>
      <c r="G592" s="327"/>
      <c r="H592" s="327"/>
      <c r="I592" s="327"/>
      <c r="J592" s="327"/>
      <c r="K592" s="327"/>
      <c r="L592" s="327"/>
      <c r="M592" s="327"/>
      <c r="N592" s="327"/>
      <c r="O592" s="327"/>
      <c r="P592" s="327"/>
      <c r="Q592" s="327"/>
      <c r="R592" s="328"/>
      <c r="S592" s="327"/>
      <c r="T592" s="327"/>
      <c r="U592" s="327"/>
      <c r="V592" s="327"/>
      <c r="W592" s="327"/>
      <c r="X592" s="327"/>
    </row>
    <row r="593" spans="1:24" s="279" customFormat="1">
      <c r="A593" s="326"/>
      <c r="B593" s="328"/>
      <c r="C593" s="328"/>
      <c r="D593" s="328"/>
      <c r="E593" s="328"/>
      <c r="F593" s="327"/>
      <c r="G593" s="327"/>
      <c r="H593" s="327"/>
      <c r="I593" s="327"/>
      <c r="J593" s="327"/>
      <c r="K593" s="327"/>
      <c r="L593" s="327"/>
      <c r="M593" s="327"/>
      <c r="N593" s="327"/>
      <c r="O593" s="327"/>
      <c r="P593" s="327"/>
      <c r="Q593" s="327"/>
      <c r="R593" s="328"/>
      <c r="S593" s="327"/>
      <c r="T593" s="327"/>
      <c r="U593" s="327"/>
      <c r="V593" s="327"/>
      <c r="W593" s="327"/>
      <c r="X593" s="327"/>
    </row>
    <row r="594" spans="1:24" s="279" customFormat="1">
      <c r="A594" s="326"/>
      <c r="B594" s="328"/>
      <c r="C594" s="328"/>
      <c r="D594" s="328"/>
      <c r="E594" s="328"/>
      <c r="F594" s="327"/>
      <c r="G594" s="327"/>
      <c r="H594" s="327"/>
      <c r="I594" s="327"/>
      <c r="J594" s="327"/>
      <c r="K594" s="327"/>
      <c r="L594" s="327"/>
      <c r="M594" s="327"/>
      <c r="N594" s="327"/>
      <c r="O594" s="327"/>
      <c r="P594" s="327"/>
      <c r="Q594" s="327"/>
      <c r="R594" s="328"/>
      <c r="S594" s="327"/>
      <c r="T594" s="327"/>
      <c r="U594" s="327"/>
      <c r="V594" s="327"/>
      <c r="W594" s="327"/>
      <c r="X594" s="327"/>
    </row>
    <row r="595" spans="1:24" s="279" customFormat="1">
      <c r="A595" s="326"/>
      <c r="B595" s="328"/>
      <c r="C595" s="328"/>
      <c r="D595" s="328"/>
      <c r="E595" s="328"/>
      <c r="F595" s="327"/>
      <c r="G595" s="327"/>
      <c r="H595" s="327"/>
      <c r="I595" s="327"/>
      <c r="J595" s="327"/>
      <c r="K595" s="327"/>
      <c r="L595" s="327"/>
      <c r="M595" s="327"/>
      <c r="N595" s="327"/>
      <c r="O595" s="327"/>
      <c r="P595" s="327"/>
      <c r="Q595" s="327"/>
      <c r="R595" s="328"/>
      <c r="S595" s="327"/>
      <c r="T595" s="327"/>
      <c r="U595" s="327"/>
      <c r="V595" s="327"/>
      <c r="W595" s="327"/>
      <c r="X595" s="327"/>
    </row>
    <row r="596" spans="1:24" s="279" customFormat="1">
      <c r="A596" s="326"/>
      <c r="B596" s="328"/>
      <c r="C596" s="328"/>
      <c r="D596" s="328"/>
      <c r="E596" s="328"/>
      <c r="F596" s="327"/>
      <c r="G596" s="327"/>
      <c r="H596" s="327"/>
      <c r="I596" s="327"/>
      <c r="J596" s="327"/>
      <c r="K596" s="327"/>
      <c r="L596" s="327"/>
      <c r="M596" s="327"/>
      <c r="N596" s="327"/>
      <c r="O596" s="327"/>
      <c r="P596" s="327"/>
      <c r="Q596" s="327"/>
      <c r="R596" s="328"/>
      <c r="S596" s="327"/>
      <c r="T596" s="327"/>
      <c r="U596" s="327"/>
      <c r="V596" s="327"/>
      <c r="W596" s="327"/>
      <c r="X596" s="327"/>
    </row>
    <row r="597" spans="1:24" s="279" customFormat="1">
      <c r="A597" s="326"/>
      <c r="B597" s="328"/>
      <c r="C597" s="328"/>
      <c r="D597" s="328"/>
      <c r="E597" s="328"/>
      <c r="F597" s="327"/>
      <c r="G597" s="327"/>
      <c r="H597" s="327"/>
      <c r="I597" s="327"/>
      <c r="J597" s="327"/>
      <c r="K597" s="327"/>
      <c r="L597" s="327"/>
      <c r="M597" s="327"/>
      <c r="N597" s="327"/>
      <c r="O597" s="327"/>
      <c r="P597" s="327"/>
      <c r="Q597" s="327"/>
      <c r="R597" s="328"/>
      <c r="S597" s="327"/>
      <c r="T597" s="327"/>
      <c r="U597" s="327"/>
      <c r="V597" s="327"/>
      <c r="W597" s="327"/>
      <c r="X597" s="327"/>
    </row>
    <row r="598" spans="1:24" s="279" customFormat="1">
      <c r="A598" s="326"/>
      <c r="B598" s="328"/>
      <c r="C598" s="328"/>
      <c r="D598" s="328"/>
      <c r="E598" s="328"/>
      <c r="F598" s="327"/>
      <c r="G598" s="327"/>
      <c r="H598" s="327"/>
      <c r="I598" s="327"/>
      <c r="J598" s="327"/>
      <c r="K598" s="327"/>
      <c r="L598" s="327"/>
      <c r="M598" s="327"/>
      <c r="N598" s="327"/>
      <c r="O598" s="327"/>
      <c r="P598" s="327"/>
      <c r="Q598" s="327"/>
      <c r="R598" s="328"/>
      <c r="S598" s="327"/>
      <c r="T598" s="327"/>
      <c r="U598" s="327"/>
      <c r="V598" s="327"/>
      <c r="W598" s="327"/>
      <c r="X598" s="327"/>
    </row>
    <row r="599" spans="1:24" s="279" customFormat="1">
      <c r="A599" s="326"/>
      <c r="B599" s="328"/>
      <c r="C599" s="328"/>
      <c r="D599" s="328"/>
      <c r="E599" s="328"/>
      <c r="F599" s="327"/>
      <c r="G599" s="327"/>
      <c r="H599" s="327"/>
      <c r="I599" s="327"/>
      <c r="J599" s="327"/>
      <c r="K599" s="327"/>
      <c r="L599" s="327"/>
      <c r="M599" s="327"/>
      <c r="N599" s="327"/>
      <c r="O599" s="327"/>
      <c r="P599" s="327"/>
      <c r="Q599" s="327"/>
      <c r="R599" s="328"/>
      <c r="S599" s="327"/>
      <c r="T599" s="327"/>
      <c r="U599" s="327"/>
      <c r="V599" s="327"/>
      <c r="W599" s="327"/>
      <c r="X599" s="327"/>
    </row>
    <row r="600" spans="1:24" s="279" customFormat="1">
      <c r="A600" s="326"/>
      <c r="B600" s="328"/>
      <c r="C600" s="328"/>
      <c r="D600" s="328"/>
      <c r="E600" s="328"/>
      <c r="F600" s="327"/>
      <c r="G600" s="327"/>
      <c r="H600" s="327"/>
      <c r="I600" s="327"/>
      <c r="J600" s="327"/>
      <c r="K600" s="327"/>
      <c r="L600" s="327"/>
      <c r="M600" s="327"/>
      <c r="N600" s="327"/>
      <c r="O600" s="327"/>
      <c r="P600" s="327"/>
      <c r="Q600" s="327"/>
      <c r="R600" s="328"/>
      <c r="S600" s="327"/>
      <c r="T600" s="327"/>
      <c r="U600" s="327"/>
      <c r="V600" s="327"/>
      <c r="W600" s="327"/>
      <c r="X600" s="327"/>
    </row>
    <row r="601" spans="1:24" s="279" customFormat="1">
      <c r="A601" s="326"/>
      <c r="B601" s="328"/>
      <c r="C601" s="328"/>
      <c r="D601" s="328"/>
      <c r="E601" s="328"/>
      <c r="F601" s="327"/>
      <c r="G601" s="327"/>
      <c r="H601" s="327"/>
      <c r="I601" s="327"/>
      <c r="J601" s="327"/>
      <c r="K601" s="327"/>
      <c r="L601" s="327"/>
      <c r="M601" s="327"/>
      <c r="N601" s="327"/>
      <c r="O601" s="327"/>
      <c r="P601" s="327"/>
      <c r="Q601" s="327"/>
      <c r="R601" s="328"/>
      <c r="S601" s="327"/>
      <c r="T601" s="327"/>
      <c r="U601" s="327"/>
      <c r="V601" s="327"/>
      <c r="W601" s="327"/>
      <c r="X601" s="327"/>
    </row>
    <row r="602" spans="1:24" s="279" customFormat="1">
      <c r="A602" s="326"/>
      <c r="B602" s="328"/>
      <c r="C602" s="328"/>
      <c r="D602" s="328"/>
      <c r="E602" s="328"/>
      <c r="F602" s="327"/>
      <c r="G602" s="327"/>
      <c r="H602" s="327"/>
      <c r="I602" s="327"/>
      <c r="J602" s="327"/>
      <c r="K602" s="327"/>
      <c r="L602" s="327"/>
      <c r="M602" s="327"/>
      <c r="N602" s="327"/>
      <c r="O602" s="327"/>
      <c r="P602" s="327"/>
      <c r="Q602" s="327"/>
      <c r="R602" s="328"/>
      <c r="S602" s="327"/>
      <c r="T602" s="327"/>
      <c r="U602" s="327"/>
      <c r="V602" s="327"/>
      <c r="W602" s="327"/>
      <c r="X602" s="327"/>
    </row>
    <row r="603" spans="1:24" s="279" customFormat="1">
      <c r="A603" s="326"/>
      <c r="B603" s="328"/>
      <c r="C603" s="328"/>
      <c r="D603" s="328"/>
      <c r="E603" s="328"/>
      <c r="F603" s="327"/>
      <c r="G603" s="327"/>
      <c r="H603" s="327"/>
      <c r="I603" s="327"/>
      <c r="J603" s="327"/>
      <c r="K603" s="327"/>
      <c r="L603" s="327"/>
      <c r="M603" s="327"/>
      <c r="N603" s="327"/>
      <c r="O603" s="327"/>
      <c r="P603" s="327"/>
      <c r="Q603" s="327"/>
      <c r="R603" s="328"/>
      <c r="S603" s="327"/>
      <c r="T603" s="327"/>
      <c r="U603" s="327"/>
      <c r="V603" s="327"/>
      <c r="W603" s="327"/>
      <c r="X603" s="327"/>
    </row>
    <row r="604" spans="1:24" s="279" customFormat="1">
      <c r="A604" s="326"/>
      <c r="B604" s="328"/>
      <c r="C604" s="328"/>
      <c r="D604" s="328"/>
      <c r="E604" s="328"/>
      <c r="F604" s="327"/>
      <c r="G604" s="327"/>
      <c r="H604" s="327"/>
      <c r="I604" s="327"/>
      <c r="J604" s="327"/>
      <c r="K604" s="327"/>
      <c r="L604" s="327"/>
      <c r="M604" s="327"/>
      <c r="N604" s="327"/>
      <c r="O604" s="327"/>
      <c r="P604" s="327"/>
      <c r="Q604" s="327"/>
      <c r="R604" s="328"/>
      <c r="S604" s="327"/>
      <c r="T604" s="327"/>
      <c r="U604" s="327"/>
      <c r="V604" s="327"/>
      <c r="W604" s="327"/>
      <c r="X604" s="327"/>
    </row>
    <row r="605" spans="1:24" s="279" customFormat="1">
      <c r="A605" s="326"/>
      <c r="B605" s="328"/>
      <c r="C605" s="328"/>
      <c r="D605" s="328"/>
      <c r="E605" s="328"/>
      <c r="F605" s="327"/>
      <c r="G605" s="327"/>
      <c r="H605" s="327"/>
      <c r="I605" s="327"/>
      <c r="J605" s="327"/>
      <c r="K605" s="327"/>
      <c r="L605" s="327"/>
      <c r="M605" s="327"/>
      <c r="N605" s="327"/>
      <c r="O605" s="327"/>
      <c r="P605" s="327"/>
      <c r="Q605" s="327"/>
      <c r="R605" s="328"/>
      <c r="S605" s="327"/>
      <c r="T605" s="327"/>
      <c r="U605" s="327"/>
      <c r="V605" s="327"/>
      <c r="W605" s="327"/>
      <c r="X605" s="327"/>
    </row>
    <row r="606" spans="1:24" s="279" customFormat="1">
      <c r="A606" s="326"/>
      <c r="B606" s="328"/>
      <c r="C606" s="328"/>
      <c r="D606" s="328"/>
      <c r="E606" s="328"/>
      <c r="F606" s="327"/>
      <c r="G606" s="327"/>
      <c r="H606" s="327"/>
      <c r="I606" s="327"/>
      <c r="J606" s="327"/>
      <c r="K606" s="327"/>
      <c r="L606" s="327"/>
      <c r="M606" s="327"/>
      <c r="N606" s="327"/>
      <c r="O606" s="327"/>
      <c r="P606" s="327"/>
      <c r="Q606" s="327"/>
      <c r="R606" s="328"/>
      <c r="S606" s="327"/>
      <c r="T606" s="327"/>
      <c r="U606" s="327"/>
      <c r="V606" s="327"/>
      <c r="W606" s="327"/>
      <c r="X606" s="327"/>
    </row>
    <row r="607" spans="1:24" s="279" customFormat="1">
      <c r="A607" s="326"/>
      <c r="B607" s="328"/>
      <c r="C607" s="328"/>
      <c r="D607" s="328"/>
      <c r="E607" s="328"/>
      <c r="F607" s="327"/>
      <c r="G607" s="327"/>
      <c r="H607" s="327"/>
      <c r="I607" s="327"/>
      <c r="J607" s="327"/>
      <c r="K607" s="327"/>
      <c r="L607" s="327"/>
      <c r="M607" s="327"/>
      <c r="N607" s="327"/>
      <c r="O607" s="327"/>
      <c r="P607" s="327"/>
      <c r="Q607" s="327"/>
      <c r="R607" s="328"/>
      <c r="S607" s="327"/>
      <c r="T607" s="327"/>
      <c r="U607" s="327"/>
      <c r="V607" s="327"/>
      <c r="W607" s="327"/>
      <c r="X607" s="327"/>
    </row>
    <row r="608" spans="1:24" s="279" customFormat="1">
      <c r="A608" s="326"/>
      <c r="B608" s="328"/>
      <c r="C608" s="328"/>
      <c r="D608" s="328"/>
      <c r="E608" s="328"/>
      <c r="F608" s="327"/>
      <c r="G608" s="327"/>
      <c r="H608" s="327"/>
      <c r="I608" s="327"/>
      <c r="J608" s="327"/>
      <c r="K608" s="327"/>
      <c r="L608" s="327"/>
      <c r="M608" s="327"/>
      <c r="N608" s="327"/>
      <c r="O608" s="327"/>
      <c r="P608" s="327"/>
      <c r="Q608" s="327"/>
      <c r="R608" s="328"/>
      <c r="S608" s="327"/>
      <c r="T608" s="327"/>
      <c r="U608" s="327"/>
      <c r="V608" s="327"/>
      <c r="W608" s="327"/>
      <c r="X608" s="327"/>
    </row>
    <row r="609" spans="1:24" s="279" customFormat="1">
      <c r="A609" s="326"/>
      <c r="B609" s="328"/>
      <c r="C609" s="328"/>
      <c r="D609" s="328"/>
      <c r="E609" s="328"/>
      <c r="F609" s="327"/>
      <c r="G609" s="327"/>
      <c r="H609" s="327"/>
      <c r="I609" s="327"/>
      <c r="J609" s="327"/>
      <c r="K609" s="327"/>
      <c r="L609" s="327"/>
      <c r="M609" s="327"/>
      <c r="N609" s="327"/>
      <c r="O609" s="327"/>
      <c r="P609" s="327"/>
      <c r="Q609" s="327"/>
      <c r="R609" s="328"/>
      <c r="S609" s="327"/>
      <c r="T609" s="327"/>
      <c r="U609" s="327"/>
      <c r="V609" s="327"/>
      <c r="W609" s="327"/>
      <c r="X609" s="327"/>
    </row>
    <row r="610" spans="1:24" s="279" customFormat="1">
      <c r="A610" s="326"/>
      <c r="B610" s="328"/>
      <c r="C610" s="328"/>
      <c r="D610" s="328"/>
      <c r="E610" s="328"/>
      <c r="F610" s="327"/>
      <c r="G610" s="327"/>
      <c r="H610" s="327"/>
      <c r="I610" s="327"/>
      <c r="J610" s="327"/>
      <c r="K610" s="327"/>
      <c r="L610" s="327"/>
      <c r="M610" s="327"/>
      <c r="N610" s="327"/>
      <c r="O610" s="327"/>
      <c r="P610" s="327"/>
      <c r="Q610" s="327"/>
      <c r="R610" s="328"/>
      <c r="S610" s="327"/>
      <c r="T610" s="327"/>
      <c r="U610" s="327"/>
      <c r="V610" s="327"/>
      <c r="W610" s="327"/>
      <c r="X610" s="327"/>
    </row>
    <row r="611" spans="1:24" s="279" customFormat="1">
      <c r="A611" s="326"/>
      <c r="B611" s="328"/>
      <c r="C611" s="328"/>
      <c r="D611" s="328"/>
      <c r="E611" s="328"/>
      <c r="F611" s="327"/>
      <c r="G611" s="327"/>
      <c r="H611" s="327"/>
      <c r="I611" s="327"/>
      <c r="J611" s="327"/>
      <c r="K611" s="327"/>
      <c r="L611" s="327"/>
      <c r="M611" s="327"/>
      <c r="N611" s="327"/>
      <c r="O611" s="327"/>
      <c r="P611" s="327"/>
      <c r="Q611" s="327"/>
      <c r="R611" s="328"/>
      <c r="S611" s="327"/>
      <c r="T611" s="327"/>
      <c r="U611" s="327"/>
      <c r="V611" s="327"/>
      <c r="W611" s="327"/>
      <c r="X611" s="327"/>
    </row>
    <row r="612" spans="1:24" s="279" customFormat="1">
      <c r="A612" s="326"/>
      <c r="B612" s="328"/>
      <c r="C612" s="328"/>
      <c r="D612" s="328"/>
      <c r="E612" s="328"/>
      <c r="F612" s="327"/>
      <c r="G612" s="327"/>
      <c r="H612" s="327"/>
      <c r="I612" s="327"/>
      <c r="J612" s="327"/>
      <c r="K612" s="327"/>
      <c r="L612" s="327"/>
      <c r="M612" s="327"/>
      <c r="N612" s="327"/>
      <c r="O612" s="327"/>
      <c r="P612" s="327"/>
      <c r="Q612" s="327"/>
      <c r="R612" s="328"/>
      <c r="S612" s="327"/>
      <c r="T612" s="327"/>
      <c r="U612" s="327"/>
      <c r="V612" s="327"/>
      <c r="W612" s="327"/>
      <c r="X612" s="327"/>
    </row>
    <row r="613" spans="1:24" s="279" customFormat="1">
      <c r="A613" s="326"/>
      <c r="B613" s="328"/>
      <c r="C613" s="328"/>
      <c r="D613" s="328"/>
      <c r="E613" s="328"/>
      <c r="F613" s="327"/>
      <c r="G613" s="327"/>
      <c r="H613" s="327"/>
      <c r="I613" s="327"/>
      <c r="J613" s="327"/>
      <c r="K613" s="327"/>
      <c r="L613" s="327"/>
      <c r="M613" s="327"/>
      <c r="N613" s="327"/>
      <c r="O613" s="327"/>
      <c r="P613" s="327"/>
      <c r="Q613" s="327"/>
      <c r="R613" s="328"/>
      <c r="S613" s="327"/>
      <c r="T613" s="327"/>
      <c r="U613" s="327"/>
      <c r="V613" s="327"/>
      <c r="W613" s="327"/>
      <c r="X613" s="327"/>
    </row>
    <row r="614" spans="1:24" s="279" customFormat="1">
      <c r="A614" s="326"/>
      <c r="B614" s="328"/>
      <c r="C614" s="328"/>
      <c r="D614" s="328"/>
      <c r="E614" s="328"/>
      <c r="F614" s="327"/>
      <c r="G614" s="327"/>
      <c r="H614" s="327"/>
      <c r="I614" s="327"/>
      <c r="J614" s="327"/>
      <c r="K614" s="327"/>
      <c r="L614" s="327"/>
      <c r="M614" s="327"/>
      <c r="N614" s="327"/>
      <c r="O614" s="327"/>
      <c r="P614" s="327"/>
      <c r="Q614" s="327"/>
      <c r="R614" s="328"/>
      <c r="S614" s="327"/>
      <c r="T614" s="327"/>
      <c r="U614" s="327"/>
      <c r="V614" s="327"/>
      <c r="W614" s="327"/>
      <c r="X614" s="327"/>
    </row>
    <row r="615" spans="1:24" s="279" customFormat="1">
      <c r="A615" s="326"/>
      <c r="B615" s="328"/>
      <c r="C615" s="328"/>
      <c r="D615" s="328"/>
      <c r="E615" s="328"/>
      <c r="F615" s="327"/>
      <c r="G615" s="327"/>
      <c r="H615" s="327"/>
      <c r="I615" s="327"/>
      <c r="J615" s="327"/>
      <c r="K615" s="327"/>
      <c r="L615" s="327"/>
      <c r="M615" s="327"/>
      <c r="N615" s="327"/>
      <c r="O615" s="327"/>
      <c r="P615" s="327"/>
      <c r="Q615" s="327"/>
      <c r="R615" s="328"/>
      <c r="S615" s="327"/>
      <c r="T615" s="327"/>
      <c r="U615" s="327"/>
      <c r="V615" s="327"/>
      <c r="W615" s="327"/>
      <c r="X615" s="327"/>
    </row>
    <row r="616" spans="1:24" s="279" customFormat="1">
      <c r="A616" s="326"/>
      <c r="B616" s="328"/>
      <c r="C616" s="328"/>
      <c r="D616" s="328"/>
      <c r="E616" s="328"/>
      <c r="F616" s="327"/>
      <c r="G616" s="327"/>
      <c r="H616" s="327"/>
      <c r="I616" s="327"/>
      <c r="J616" s="327"/>
      <c r="K616" s="327"/>
      <c r="L616" s="327"/>
      <c r="M616" s="327"/>
      <c r="N616" s="327"/>
      <c r="O616" s="327"/>
      <c r="P616" s="327"/>
      <c r="Q616" s="327"/>
      <c r="R616" s="328"/>
      <c r="S616" s="327"/>
      <c r="T616" s="327"/>
      <c r="U616" s="327"/>
      <c r="V616" s="327"/>
      <c r="W616" s="327"/>
      <c r="X616" s="327"/>
    </row>
    <row r="617" spans="1:24" s="279" customFormat="1">
      <c r="A617" s="326"/>
      <c r="B617" s="328"/>
      <c r="C617" s="328"/>
      <c r="D617" s="328"/>
      <c r="E617" s="328"/>
      <c r="F617" s="327"/>
      <c r="G617" s="327"/>
      <c r="H617" s="327"/>
      <c r="I617" s="327"/>
      <c r="J617" s="327"/>
      <c r="K617" s="327"/>
      <c r="L617" s="327"/>
      <c r="M617" s="327"/>
      <c r="N617" s="327"/>
      <c r="O617" s="327"/>
      <c r="P617" s="327"/>
      <c r="Q617" s="327"/>
      <c r="R617" s="328"/>
      <c r="S617" s="327"/>
      <c r="T617" s="327"/>
      <c r="U617" s="327"/>
      <c r="V617" s="327"/>
      <c r="W617" s="327"/>
      <c r="X617" s="327"/>
    </row>
    <row r="618" spans="1:24" s="279" customFormat="1">
      <c r="A618" s="326"/>
      <c r="B618" s="328"/>
      <c r="C618" s="328"/>
      <c r="D618" s="328"/>
      <c r="E618" s="328"/>
      <c r="F618" s="327"/>
      <c r="G618" s="327"/>
      <c r="H618" s="327"/>
      <c r="I618" s="327"/>
      <c r="J618" s="327"/>
      <c r="K618" s="327"/>
      <c r="L618" s="327"/>
      <c r="M618" s="327"/>
      <c r="N618" s="327"/>
      <c r="O618" s="327"/>
      <c r="P618" s="327"/>
      <c r="Q618" s="327"/>
      <c r="R618" s="328"/>
      <c r="S618" s="327"/>
      <c r="T618" s="327"/>
      <c r="U618" s="327"/>
      <c r="V618" s="327"/>
      <c r="W618" s="327"/>
      <c r="X618" s="327"/>
    </row>
    <row r="619" spans="1:24" s="279" customFormat="1">
      <c r="A619" s="326"/>
      <c r="B619" s="328"/>
      <c r="C619" s="328"/>
      <c r="D619" s="328"/>
      <c r="E619" s="328"/>
      <c r="F619" s="327"/>
      <c r="G619" s="327"/>
      <c r="H619" s="327"/>
      <c r="I619" s="327"/>
      <c r="J619" s="327"/>
      <c r="K619" s="327"/>
      <c r="L619" s="327"/>
      <c r="M619" s="327"/>
      <c r="N619" s="327"/>
      <c r="O619" s="327"/>
      <c r="P619" s="327"/>
      <c r="Q619" s="327"/>
      <c r="R619" s="328"/>
      <c r="S619" s="327"/>
      <c r="T619" s="327"/>
      <c r="U619" s="327"/>
      <c r="V619" s="327"/>
      <c r="W619" s="327"/>
      <c r="X619" s="327"/>
    </row>
    <row r="620" spans="1:24" s="279" customFormat="1">
      <c r="A620" s="326"/>
      <c r="B620" s="328"/>
      <c r="C620" s="328"/>
      <c r="D620" s="328"/>
      <c r="E620" s="328"/>
      <c r="F620" s="327"/>
      <c r="G620" s="327"/>
      <c r="H620" s="327"/>
      <c r="I620" s="327"/>
      <c r="J620" s="327"/>
      <c r="K620" s="327"/>
      <c r="L620" s="327"/>
      <c r="M620" s="327"/>
      <c r="N620" s="327"/>
      <c r="O620" s="327"/>
      <c r="P620" s="327"/>
      <c r="Q620" s="327"/>
      <c r="R620" s="328"/>
      <c r="S620" s="327"/>
      <c r="T620" s="327"/>
      <c r="U620" s="327"/>
      <c r="V620" s="327"/>
      <c r="W620" s="327"/>
      <c r="X620" s="327"/>
    </row>
    <row r="621" spans="1:24" s="279" customFormat="1">
      <c r="A621" s="326"/>
      <c r="B621" s="328"/>
      <c r="C621" s="328"/>
      <c r="D621" s="328"/>
      <c r="E621" s="328"/>
      <c r="F621" s="327"/>
      <c r="G621" s="327"/>
      <c r="H621" s="327"/>
      <c r="I621" s="327"/>
      <c r="J621" s="327"/>
      <c r="K621" s="327"/>
      <c r="L621" s="327"/>
      <c r="M621" s="327"/>
      <c r="N621" s="327"/>
      <c r="O621" s="327"/>
      <c r="P621" s="327"/>
      <c r="Q621" s="327"/>
      <c r="R621" s="328"/>
      <c r="S621" s="327"/>
      <c r="T621" s="327"/>
      <c r="U621" s="327"/>
      <c r="V621" s="327"/>
      <c r="W621" s="327"/>
      <c r="X621" s="327"/>
    </row>
    <row r="622" spans="1:24" s="279" customFormat="1">
      <c r="A622" s="326"/>
      <c r="B622" s="328"/>
      <c r="C622" s="328"/>
      <c r="D622" s="328"/>
      <c r="E622" s="328"/>
      <c r="F622" s="327"/>
      <c r="G622" s="327"/>
      <c r="H622" s="327"/>
      <c r="I622" s="327"/>
      <c r="J622" s="327"/>
      <c r="K622" s="327"/>
      <c r="L622" s="327"/>
      <c r="M622" s="327"/>
      <c r="N622" s="327"/>
      <c r="O622" s="327"/>
      <c r="P622" s="327"/>
      <c r="Q622" s="327"/>
      <c r="R622" s="328"/>
      <c r="S622" s="327"/>
      <c r="T622" s="327"/>
      <c r="U622" s="327"/>
      <c r="V622" s="327"/>
      <c r="W622" s="327"/>
      <c r="X622" s="327"/>
    </row>
    <row r="623" spans="1:24" s="279" customFormat="1">
      <c r="A623" s="326"/>
      <c r="B623" s="328"/>
      <c r="C623" s="328"/>
      <c r="D623" s="328"/>
      <c r="E623" s="328"/>
      <c r="F623" s="327"/>
      <c r="G623" s="327"/>
      <c r="H623" s="327"/>
      <c r="I623" s="327"/>
      <c r="J623" s="327"/>
      <c r="K623" s="327"/>
      <c r="L623" s="327"/>
      <c r="M623" s="327"/>
      <c r="N623" s="327"/>
      <c r="O623" s="327"/>
      <c r="P623" s="327"/>
      <c r="Q623" s="327"/>
      <c r="R623" s="328"/>
      <c r="S623" s="327"/>
      <c r="T623" s="327"/>
      <c r="U623" s="327"/>
      <c r="V623" s="327"/>
      <c r="W623" s="327"/>
      <c r="X623" s="327"/>
    </row>
    <row r="624" spans="1:24" s="279" customFormat="1">
      <c r="A624" s="326"/>
      <c r="B624" s="328"/>
      <c r="C624" s="328"/>
      <c r="D624" s="328"/>
      <c r="E624" s="328"/>
      <c r="F624" s="327"/>
      <c r="G624" s="327"/>
      <c r="H624" s="327"/>
      <c r="I624" s="327"/>
      <c r="J624" s="327"/>
      <c r="K624" s="327"/>
      <c r="L624" s="327"/>
      <c r="M624" s="327"/>
      <c r="N624" s="327"/>
      <c r="O624" s="327"/>
      <c r="P624" s="327"/>
      <c r="Q624" s="327"/>
      <c r="R624" s="328"/>
      <c r="S624" s="327"/>
      <c r="T624" s="327"/>
      <c r="U624" s="327"/>
      <c r="V624" s="327"/>
      <c r="W624" s="327"/>
      <c r="X624" s="327"/>
    </row>
    <row r="625" spans="1:24" s="279" customFormat="1">
      <c r="A625" s="326"/>
      <c r="B625" s="328"/>
      <c r="C625" s="328"/>
      <c r="D625" s="328"/>
      <c r="E625" s="328"/>
      <c r="F625" s="327"/>
      <c r="G625" s="327"/>
      <c r="H625" s="327"/>
      <c r="I625" s="327"/>
      <c r="J625" s="327"/>
      <c r="K625" s="327"/>
      <c r="L625" s="327"/>
      <c r="M625" s="327"/>
      <c r="N625" s="327"/>
      <c r="O625" s="327"/>
      <c r="P625" s="327"/>
      <c r="Q625" s="327"/>
      <c r="R625" s="328"/>
      <c r="S625" s="327"/>
      <c r="T625" s="327"/>
      <c r="U625" s="327"/>
      <c r="V625" s="327"/>
      <c r="W625" s="327"/>
      <c r="X625" s="327"/>
    </row>
    <row r="626" spans="1:24" s="279" customFormat="1">
      <c r="A626" s="326"/>
      <c r="B626" s="328"/>
      <c r="C626" s="328"/>
      <c r="D626" s="328"/>
      <c r="E626" s="328"/>
      <c r="F626" s="327"/>
      <c r="G626" s="327"/>
      <c r="H626" s="327"/>
      <c r="I626" s="327"/>
      <c r="J626" s="327"/>
      <c r="K626" s="327"/>
      <c r="L626" s="327"/>
      <c r="M626" s="327"/>
      <c r="N626" s="327"/>
      <c r="O626" s="327"/>
      <c r="P626" s="327"/>
      <c r="Q626" s="327"/>
      <c r="R626" s="328"/>
      <c r="S626" s="327"/>
      <c r="T626" s="327"/>
      <c r="U626" s="327"/>
      <c r="V626" s="327"/>
      <c r="W626" s="327"/>
      <c r="X626" s="327"/>
    </row>
    <row r="627" spans="1:24" s="279" customFormat="1">
      <c r="A627" s="326"/>
      <c r="B627" s="328"/>
      <c r="C627" s="328"/>
      <c r="D627" s="328"/>
      <c r="E627" s="328"/>
      <c r="F627" s="327"/>
      <c r="G627" s="327"/>
      <c r="H627" s="327"/>
      <c r="I627" s="327"/>
      <c r="J627" s="327"/>
      <c r="K627" s="327"/>
      <c r="L627" s="327"/>
      <c r="M627" s="327"/>
      <c r="N627" s="327"/>
      <c r="O627" s="327"/>
      <c r="P627" s="327"/>
      <c r="Q627" s="327"/>
      <c r="R627" s="328"/>
      <c r="S627" s="327"/>
      <c r="T627" s="327"/>
      <c r="U627" s="327"/>
      <c r="V627" s="327"/>
      <c r="W627" s="327"/>
      <c r="X627" s="327"/>
    </row>
    <row r="628" spans="1:24" s="279" customFormat="1">
      <c r="A628" s="326"/>
      <c r="B628" s="328"/>
      <c r="C628" s="328"/>
      <c r="D628" s="328"/>
      <c r="E628" s="328"/>
      <c r="F628" s="327"/>
      <c r="G628" s="327"/>
      <c r="H628" s="327"/>
      <c r="I628" s="327"/>
      <c r="J628" s="327"/>
      <c r="K628" s="327"/>
      <c r="L628" s="327"/>
      <c r="M628" s="327"/>
      <c r="N628" s="327"/>
      <c r="O628" s="327"/>
      <c r="P628" s="327"/>
      <c r="Q628" s="327"/>
      <c r="R628" s="328"/>
      <c r="S628" s="327"/>
      <c r="T628" s="327"/>
      <c r="U628" s="327"/>
      <c r="V628" s="327"/>
      <c r="W628" s="327"/>
      <c r="X628" s="327"/>
    </row>
    <row r="629" spans="1:24" s="279" customFormat="1">
      <c r="A629" s="326"/>
      <c r="B629" s="328"/>
      <c r="C629" s="328"/>
      <c r="D629" s="328"/>
      <c r="E629" s="328"/>
      <c r="F629" s="327"/>
      <c r="G629" s="327"/>
      <c r="H629" s="327"/>
      <c r="I629" s="327"/>
      <c r="J629" s="327"/>
      <c r="K629" s="327"/>
      <c r="L629" s="327"/>
      <c r="M629" s="327"/>
      <c r="N629" s="327"/>
      <c r="O629" s="327"/>
      <c r="P629" s="327"/>
      <c r="Q629" s="327"/>
      <c r="R629" s="328"/>
      <c r="S629" s="327"/>
      <c r="T629" s="327"/>
      <c r="U629" s="327"/>
      <c r="V629" s="327"/>
      <c r="W629" s="327"/>
      <c r="X629" s="327"/>
    </row>
    <row r="630" spans="1:24" s="279" customFormat="1">
      <c r="A630" s="326"/>
      <c r="B630" s="328"/>
      <c r="C630" s="328"/>
      <c r="D630" s="328"/>
      <c r="E630" s="328"/>
      <c r="F630" s="327"/>
      <c r="G630" s="327"/>
      <c r="H630" s="327"/>
      <c r="I630" s="327"/>
      <c r="J630" s="327"/>
      <c r="K630" s="327"/>
      <c r="L630" s="327"/>
      <c r="M630" s="327"/>
      <c r="N630" s="327"/>
      <c r="O630" s="327"/>
      <c r="P630" s="327"/>
      <c r="Q630" s="327"/>
      <c r="R630" s="328"/>
      <c r="S630" s="327"/>
      <c r="T630" s="327"/>
      <c r="U630" s="327"/>
      <c r="V630" s="327"/>
      <c r="W630" s="327"/>
      <c r="X630" s="327"/>
    </row>
    <row r="631" spans="1:24" s="279" customFormat="1">
      <c r="A631" s="326"/>
      <c r="B631" s="328"/>
      <c r="C631" s="328"/>
      <c r="D631" s="328"/>
      <c r="E631" s="328"/>
      <c r="F631" s="327"/>
      <c r="G631" s="327"/>
      <c r="H631" s="327"/>
      <c r="I631" s="327"/>
      <c r="J631" s="327"/>
      <c r="K631" s="327"/>
      <c r="L631" s="327"/>
      <c r="M631" s="327"/>
      <c r="N631" s="327"/>
      <c r="O631" s="327"/>
      <c r="P631" s="327"/>
      <c r="Q631" s="327"/>
      <c r="R631" s="328"/>
      <c r="S631" s="327"/>
      <c r="T631" s="327"/>
      <c r="U631" s="327"/>
      <c r="V631" s="327"/>
      <c r="W631" s="327"/>
      <c r="X631" s="327"/>
    </row>
    <row r="632" spans="1:24" s="279" customFormat="1">
      <c r="A632" s="326"/>
      <c r="B632" s="328"/>
      <c r="C632" s="328"/>
      <c r="D632" s="328"/>
      <c r="E632" s="328"/>
      <c r="F632" s="327"/>
      <c r="G632" s="327"/>
      <c r="H632" s="327"/>
      <c r="I632" s="327"/>
      <c r="J632" s="327"/>
      <c r="K632" s="327"/>
      <c r="L632" s="327"/>
      <c r="M632" s="327"/>
      <c r="N632" s="327"/>
      <c r="O632" s="327"/>
      <c r="P632" s="327"/>
      <c r="Q632" s="327"/>
      <c r="R632" s="328"/>
      <c r="S632" s="327"/>
      <c r="T632" s="327"/>
      <c r="U632" s="327"/>
      <c r="V632" s="327"/>
      <c r="W632" s="327"/>
      <c r="X632" s="327"/>
    </row>
    <row r="633" spans="1:24" s="279" customFormat="1">
      <c r="A633" s="326"/>
      <c r="B633" s="328"/>
      <c r="C633" s="328"/>
      <c r="D633" s="328"/>
      <c r="E633" s="328"/>
      <c r="F633" s="327"/>
      <c r="G633" s="327"/>
      <c r="H633" s="327"/>
      <c r="I633" s="327"/>
      <c r="J633" s="327"/>
      <c r="K633" s="327"/>
      <c r="L633" s="327"/>
      <c r="M633" s="327"/>
      <c r="N633" s="327"/>
      <c r="O633" s="327"/>
      <c r="P633" s="327"/>
      <c r="Q633" s="327"/>
      <c r="R633" s="328"/>
      <c r="S633" s="327"/>
      <c r="T633" s="327"/>
      <c r="U633" s="327"/>
      <c r="V633" s="327"/>
      <c r="W633" s="327"/>
      <c r="X633" s="327"/>
    </row>
    <row r="634" spans="1:24" s="279" customFormat="1">
      <c r="A634" s="326"/>
      <c r="B634" s="328"/>
      <c r="C634" s="328"/>
      <c r="D634" s="328"/>
      <c r="E634" s="328"/>
      <c r="F634" s="327"/>
      <c r="G634" s="327"/>
      <c r="H634" s="327"/>
      <c r="I634" s="327"/>
      <c r="J634" s="327"/>
      <c r="K634" s="327"/>
      <c r="L634" s="327"/>
      <c r="M634" s="327"/>
      <c r="N634" s="327"/>
      <c r="O634" s="327"/>
      <c r="P634" s="327"/>
      <c r="Q634" s="327"/>
      <c r="R634" s="328"/>
      <c r="S634" s="327"/>
      <c r="T634" s="327"/>
      <c r="U634" s="327"/>
      <c r="V634" s="327"/>
      <c r="W634" s="327"/>
      <c r="X634" s="327"/>
    </row>
    <row r="635" spans="1:24" s="279" customFormat="1">
      <c r="A635" s="326"/>
      <c r="B635" s="328"/>
      <c r="C635" s="328"/>
      <c r="D635" s="328"/>
      <c r="E635" s="328"/>
      <c r="F635" s="327"/>
      <c r="G635" s="327"/>
      <c r="H635" s="327"/>
      <c r="I635" s="327"/>
      <c r="J635" s="327"/>
      <c r="K635" s="327"/>
      <c r="L635" s="327"/>
      <c r="M635" s="327"/>
      <c r="N635" s="327"/>
      <c r="O635" s="327"/>
      <c r="P635" s="327"/>
      <c r="Q635" s="327"/>
      <c r="R635" s="328"/>
      <c r="S635" s="327"/>
      <c r="T635" s="327"/>
      <c r="U635" s="327"/>
      <c r="V635" s="327"/>
      <c r="W635" s="327"/>
      <c r="X635" s="327"/>
    </row>
    <row r="636" spans="1:24" s="279" customFormat="1">
      <c r="A636" s="326"/>
      <c r="B636" s="328"/>
      <c r="C636" s="328"/>
      <c r="D636" s="328"/>
      <c r="E636" s="328"/>
      <c r="F636" s="327"/>
      <c r="G636" s="327"/>
      <c r="H636" s="327"/>
      <c r="I636" s="327"/>
      <c r="J636" s="327"/>
      <c r="K636" s="327"/>
      <c r="L636" s="327"/>
      <c r="M636" s="327"/>
      <c r="N636" s="327"/>
      <c r="O636" s="327"/>
      <c r="P636" s="327"/>
      <c r="Q636" s="327"/>
      <c r="R636" s="328"/>
      <c r="S636" s="327"/>
      <c r="T636" s="327"/>
      <c r="U636" s="327"/>
      <c r="V636" s="327"/>
      <c r="W636" s="327"/>
      <c r="X636" s="327"/>
    </row>
    <row r="637" spans="1:24" s="279" customFormat="1">
      <c r="A637" s="326"/>
      <c r="B637" s="328"/>
      <c r="C637" s="328"/>
      <c r="D637" s="328"/>
      <c r="E637" s="328"/>
      <c r="F637" s="327"/>
      <c r="G637" s="327"/>
      <c r="H637" s="327"/>
      <c r="I637" s="327"/>
      <c r="J637" s="327"/>
      <c r="K637" s="327"/>
      <c r="L637" s="327"/>
      <c r="M637" s="327"/>
      <c r="N637" s="327"/>
      <c r="O637" s="327"/>
      <c r="P637" s="327"/>
      <c r="Q637" s="327"/>
      <c r="R637" s="328"/>
      <c r="S637" s="327"/>
      <c r="T637" s="327"/>
      <c r="U637" s="327"/>
      <c r="V637" s="327"/>
      <c r="W637" s="327"/>
      <c r="X637" s="327"/>
    </row>
    <row r="638" spans="1:24" s="279" customFormat="1">
      <c r="A638" s="326"/>
      <c r="B638" s="328"/>
      <c r="C638" s="328"/>
      <c r="D638" s="328"/>
      <c r="E638" s="328"/>
      <c r="F638" s="327"/>
      <c r="G638" s="327"/>
      <c r="H638" s="327"/>
      <c r="I638" s="327"/>
      <c r="J638" s="327"/>
      <c r="K638" s="327"/>
      <c r="L638" s="327"/>
      <c r="M638" s="327"/>
      <c r="N638" s="327"/>
      <c r="O638" s="327"/>
      <c r="P638" s="327"/>
      <c r="Q638" s="327"/>
      <c r="R638" s="328"/>
      <c r="S638" s="327"/>
      <c r="T638" s="327"/>
      <c r="U638" s="327"/>
      <c r="V638" s="327"/>
      <c r="W638" s="327"/>
      <c r="X638" s="327"/>
    </row>
    <row r="639" spans="1:24" s="279" customFormat="1">
      <c r="A639" s="326"/>
      <c r="B639" s="328"/>
      <c r="C639" s="328"/>
      <c r="D639" s="328"/>
      <c r="E639" s="328"/>
      <c r="F639" s="327"/>
      <c r="G639" s="327"/>
      <c r="H639" s="327"/>
      <c r="I639" s="327"/>
      <c r="J639" s="327"/>
      <c r="K639" s="327"/>
      <c r="L639" s="327"/>
      <c r="M639" s="327"/>
      <c r="N639" s="327"/>
      <c r="O639" s="327"/>
      <c r="P639" s="327"/>
      <c r="Q639" s="327"/>
      <c r="R639" s="328"/>
      <c r="S639" s="327"/>
      <c r="T639" s="327"/>
      <c r="U639" s="327"/>
      <c r="V639" s="327"/>
      <c r="W639" s="327"/>
      <c r="X639" s="327"/>
    </row>
    <row r="640" spans="1:24" s="279" customFormat="1">
      <c r="A640" s="326"/>
      <c r="B640" s="328"/>
      <c r="C640" s="328"/>
      <c r="D640" s="328"/>
      <c r="E640" s="328"/>
      <c r="F640" s="327"/>
      <c r="G640" s="327"/>
      <c r="H640" s="327"/>
      <c r="I640" s="327"/>
      <c r="J640" s="327"/>
      <c r="K640" s="327"/>
      <c r="L640" s="327"/>
      <c r="M640" s="327"/>
      <c r="N640" s="327"/>
      <c r="O640" s="327"/>
      <c r="P640" s="327"/>
      <c r="Q640" s="327"/>
      <c r="R640" s="328"/>
      <c r="S640" s="327"/>
      <c r="T640" s="327"/>
      <c r="U640" s="327"/>
      <c r="V640" s="327"/>
      <c r="W640" s="327"/>
      <c r="X640" s="327"/>
    </row>
    <row r="641" spans="1:24" s="279" customFormat="1">
      <c r="A641" s="326"/>
      <c r="B641" s="328"/>
      <c r="C641" s="328"/>
      <c r="D641" s="328"/>
      <c r="E641" s="328"/>
      <c r="F641" s="327"/>
      <c r="G641" s="327"/>
      <c r="H641" s="327"/>
      <c r="I641" s="327"/>
      <c r="J641" s="327"/>
      <c r="K641" s="327"/>
      <c r="L641" s="327"/>
      <c r="M641" s="327"/>
      <c r="N641" s="327"/>
      <c r="O641" s="327"/>
      <c r="P641" s="327"/>
      <c r="Q641" s="327"/>
      <c r="R641" s="328"/>
      <c r="S641" s="327"/>
      <c r="T641" s="327"/>
      <c r="U641" s="327"/>
      <c r="V641" s="327"/>
      <c r="W641" s="327"/>
      <c r="X641" s="327"/>
    </row>
    <row r="642" spans="1:24" s="279" customFormat="1">
      <c r="A642" s="326"/>
      <c r="B642" s="328"/>
      <c r="C642" s="328"/>
      <c r="D642" s="328"/>
      <c r="E642" s="328"/>
      <c r="F642" s="327"/>
      <c r="G642" s="327"/>
      <c r="H642" s="327"/>
      <c r="I642" s="327"/>
      <c r="J642" s="327"/>
      <c r="K642" s="327"/>
      <c r="L642" s="327"/>
      <c r="M642" s="327"/>
      <c r="N642" s="327"/>
      <c r="O642" s="327"/>
      <c r="P642" s="327"/>
      <c r="Q642" s="327"/>
      <c r="R642" s="328"/>
      <c r="S642" s="327"/>
      <c r="T642" s="327"/>
      <c r="U642" s="327"/>
      <c r="V642" s="327"/>
      <c r="W642" s="327"/>
      <c r="X642" s="327"/>
    </row>
    <row r="643" spans="1:24" s="279" customFormat="1">
      <c r="A643" s="326"/>
      <c r="B643" s="328"/>
      <c r="C643" s="328"/>
      <c r="D643" s="328"/>
      <c r="E643" s="328"/>
      <c r="F643" s="327"/>
      <c r="G643" s="327"/>
      <c r="H643" s="327"/>
      <c r="I643" s="327"/>
      <c r="J643" s="327"/>
      <c r="K643" s="327"/>
      <c r="L643" s="327"/>
      <c r="M643" s="327"/>
      <c r="N643" s="327"/>
      <c r="O643" s="327"/>
      <c r="P643" s="327"/>
      <c r="Q643" s="327"/>
      <c r="R643" s="328"/>
      <c r="S643" s="327"/>
      <c r="T643" s="327"/>
      <c r="U643" s="327"/>
      <c r="V643" s="327"/>
      <c r="W643" s="327"/>
      <c r="X643" s="327"/>
    </row>
    <row r="644" spans="1:24" s="279" customFormat="1">
      <c r="A644" s="326"/>
      <c r="B644" s="328"/>
      <c r="C644" s="328"/>
      <c r="D644" s="328"/>
      <c r="E644" s="328"/>
      <c r="F644" s="327"/>
      <c r="G644" s="327"/>
      <c r="H644" s="327"/>
      <c r="I644" s="327"/>
      <c r="J644" s="327"/>
      <c r="K644" s="327"/>
      <c r="L644" s="327"/>
      <c r="M644" s="327"/>
      <c r="N644" s="327"/>
      <c r="O644" s="327"/>
      <c r="P644" s="327"/>
      <c r="Q644" s="327"/>
      <c r="R644" s="328"/>
      <c r="S644" s="327"/>
      <c r="T644" s="327"/>
      <c r="U644" s="327"/>
      <c r="V644" s="327"/>
      <c r="W644" s="327"/>
      <c r="X644" s="327"/>
    </row>
    <row r="645" spans="1:24" s="279" customFormat="1">
      <c r="A645" s="326"/>
      <c r="B645" s="328"/>
      <c r="C645" s="328"/>
      <c r="D645" s="328"/>
      <c r="E645" s="328"/>
      <c r="F645" s="327"/>
      <c r="G645" s="327"/>
      <c r="H645" s="327"/>
      <c r="I645" s="327"/>
      <c r="J645" s="327"/>
      <c r="K645" s="327"/>
      <c r="L645" s="327"/>
      <c r="M645" s="327"/>
      <c r="N645" s="327"/>
      <c r="O645" s="327"/>
      <c r="P645" s="327"/>
      <c r="Q645" s="327"/>
      <c r="R645" s="328"/>
      <c r="S645" s="327"/>
      <c r="T645" s="327"/>
      <c r="U645" s="327"/>
      <c r="V645" s="327"/>
      <c r="W645" s="327"/>
      <c r="X645" s="327"/>
    </row>
    <row r="646" spans="1:24" s="279" customFormat="1">
      <c r="A646" s="326"/>
      <c r="B646" s="328"/>
      <c r="C646" s="328"/>
      <c r="D646" s="328"/>
      <c r="E646" s="328"/>
      <c r="F646" s="327"/>
      <c r="G646" s="327"/>
      <c r="H646" s="327"/>
      <c r="I646" s="327"/>
      <c r="J646" s="327"/>
      <c r="K646" s="327"/>
      <c r="L646" s="327"/>
      <c r="M646" s="327"/>
      <c r="N646" s="327"/>
      <c r="O646" s="327"/>
      <c r="P646" s="327"/>
      <c r="Q646" s="327"/>
      <c r="R646" s="328"/>
      <c r="S646" s="327"/>
      <c r="T646" s="327"/>
      <c r="U646" s="327"/>
      <c r="V646" s="327"/>
      <c r="W646" s="327"/>
      <c r="X646" s="327"/>
    </row>
    <row r="647" spans="1:24" s="279" customFormat="1">
      <c r="A647" s="326"/>
      <c r="B647" s="328"/>
      <c r="C647" s="328"/>
      <c r="D647" s="328"/>
      <c r="E647" s="328"/>
      <c r="F647" s="327"/>
      <c r="G647" s="327"/>
      <c r="H647" s="327"/>
      <c r="I647" s="327"/>
      <c r="J647" s="327"/>
      <c r="K647" s="327"/>
      <c r="L647" s="327"/>
      <c r="M647" s="327"/>
      <c r="N647" s="327"/>
      <c r="O647" s="327"/>
      <c r="P647" s="327"/>
      <c r="Q647" s="327"/>
      <c r="R647" s="328"/>
      <c r="S647" s="327"/>
      <c r="T647" s="327"/>
      <c r="U647" s="327"/>
      <c r="V647" s="327"/>
      <c r="W647" s="327"/>
      <c r="X647" s="327"/>
    </row>
    <row r="648" spans="1:24" s="279" customFormat="1">
      <c r="A648" s="326"/>
      <c r="B648" s="328"/>
      <c r="C648" s="328"/>
      <c r="D648" s="328"/>
      <c r="E648" s="328"/>
      <c r="F648" s="327"/>
      <c r="G648" s="327"/>
      <c r="H648" s="327"/>
      <c r="I648" s="327"/>
      <c r="J648" s="327"/>
      <c r="K648" s="327"/>
      <c r="L648" s="327"/>
      <c r="M648" s="327"/>
      <c r="N648" s="327"/>
      <c r="O648" s="327"/>
      <c r="P648" s="327"/>
      <c r="Q648" s="327"/>
      <c r="R648" s="328"/>
      <c r="S648" s="327"/>
      <c r="T648" s="327"/>
      <c r="U648" s="327"/>
      <c r="V648" s="327"/>
      <c r="W648" s="327"/>
      <c r="X648" s="327"/>
    </row>
    <row r="649" spans="1:24" s="279" customFormat="1">
      <c r="A649" s="326"/>
      <c r="B649" s="328"/>
      <c r="C649" s="328"/>
      <c r="D649" s="328"/>
      <c r="E649" s="328"/>
      <c r="F649" s="327"/>
      <c r="G649" s="327"/>
      <c r="H649" s="327"/>
      <c r="I649" s="327"/>
      <c r="J649" s="327"/>
      <c r="K649" s="327"/>
      <c r="L649" s="327"/>
      <c r="M649" s="327"/>
      <c r="N649" s="327"/>
      <c r="O649" s="327"/>
      <c r="P649" s="327"/>
      <c r="Q649" s="327"/>
      <c r="R649" s="328"/>
      <c r="S649" s="327"/>
      <c r="T649" s="327"/>
      <c r="U649" s="327"/>
      <c r="V649" s="327"/>
      <c r="W649" s="327"/>
      <c r="X649" s="327"/>
    </row>
    <row r="650" spans="1:24" s="279" customFormat="1">
      <c r="A650" s="326"/>
      <c r="B650" s="328"/>
      <c r="C650" s="328"/>
      <c r="D650" s="328"/>
      <c r="E650" s="328"/>
      <c r="F650" s="327"/>
      <c r="G650" s="327"/>
      <c r="H650" s="327"/>
      <c r="I650" s="327"/>
      <c r="J650" s="327"/>
      <c r="K650" s="327"/>
      <c r="L650" s="327"/>
      <c r="M650" s="327"/>
      <c r="N650" s="327"/>
      <c r="O650" s="327"/>
      <c r="P650" s="327"/>
      <c r="Q650" s="327"/>
      <c r="R650" s="328"/>
      <c r="S650" s="327"/>
      <c r="T650" s="327"/>
      <c r="U650" s="327"/>
      <c r="V650" s="327"/>
      <c r="W650" s="327"/>
      <c r="X650" s="327"/>
    </row>
    <row r="651" spans="1:24" s="279" customFormat="1">
      <c r="A651" s="326"/>
      <c r="B651" s="328"/>
      <c r="C651" s="328"/>
      <c r="D651" s="328"/>
      <c r="E651" s="328"/>
      <c r="F651" s="327"/>
      <c r="G651" s="327"/>
      <c r="H651" s="327"/>
      <c r="I651" s="327"/>
      <c r="J651" s="327"/>
      <c r="K651" s="327"/>
      <c r="L651" s="327"/>
      <c r="M651" s="327"/>
      <c r="N651" s="327"/>
      <c r="O651" s="327"/>
      <c r="P651" s="327"/>
      <c r="Q651" s="327"/>
      <c r="R651" s="328"/>
      <c r="S651" s="327"/>
      <c r="T651" s="327"/>
      <c r="U651" s="327"/>
      <c r="V651" s="327"/>
      <c r="W651" s="327"/>
      <c r="X651" s="327"/>
    </row>
    <row r="652" spans="1:24" s="279" customFormat="1">
      <c r="A652" s="326"/>
      <c r="B652" s="328"/>
      <c r="C652" s="328"/>
      <c r="D652" s="328"/>
      <c r="E652" s="328"/>
      <c r="F652" s="327"/>
      <c r="G652" s="327"/>
      <c r="H652" s="327"/>
      <c r="I652" s="327"/>
      <c r="J652" s="327"/>
      <c r="K652" s="327"/>
      <c r="L652" s="327"/>
      <c r="M652" s="327"/>
      <c r="N652" s="327"/>
      <c r="O652" s="327"/>
      <c r="P652" s="327"/>
      <c r="Q652" s="327"/>
      <c r="R652" s="328"/>
      <c r="S652" s="327"/>
      <c r="T652" s="327"/>
      <c r="U652" s="327"/>
      <c r="V652" s="327"/>
      <c r="W652" s="327"/>
      <c r="X652" s="327"/>
    </row>
    <row r="653" spans="1:24" s="279" customFormat="1">
      <c r="A653" s="326"/>
      <c r="B653" s="328"/>
      <c r="C653" s="328"/>
      <c r="D653" s="328"/>
      <c r="E653" s="328"/>
      <c r="F653" s="327"/>
      <c r="G653" s="327"/>
      <c r="H653" s="327"/>
      <c r="I653" s="327"/>
      <c r="J653" s="327"/>
      <c r="K653" s="327"/>
      <c r="L653" s="327"/>
      <c r="M653" s="327"/>
      <c r="N653" s="327"/>
      <c r="O653" s="327"/>
      <c r="P653" s="327"/>
      <c r="Q653" s="327"/>
      <c r="R653" s="328"/>
      <c r="S653" s="327"/>
      <c r="T653" s="327"/>
      <c r="U653" s="327"/>
      <c r="V653" s="327"/>
      <c r="W653" s="327"/>
      <c r="X653" s="327"/>
    </row>
    <row r="654" spans="1:24" s="279" customFormat="1">
      <c r="A654" s="326"/>
      <c r="B654" s="328"/>
      <c r="C654" s="328"/>
      <c r="D654" s="328"/>
      <c r="E654" s="328"/>
      <c r="F654" s="327"/>
      <c r="G654" s="327"/>
      <c r="H654" s="327"/>
      <c r="I654" s="327"/>
      <c r="J654" s="327"/>
      <c r="K654" s="327"/>
      <c r="L654" s="327"/>
      <c r="M654" s="327"/>
      <c r="N654" s="327"/>
      <c r="O654" s="327"/>
      <c r="P654" s="327"/>
      <c r="Q654" s="327"/>
      <c r="R654" s="328"/>
      <c r="S654" s="327"/>
      <c r="T654" s="327"/>
      <c r="U654" s="327"/>
      <c r="V654" s="327"/>
      <c r="W654" s="327"/>
      <c r="X654" s="327"/>
    </row>
    <row r="655" spans="1:24" s="279" customFormat="1">
      <c r="A655" s="326"/>
      <c r="B655" s="328"/>
      <c r="C655" s="328"/>
      <c r="D655" s="328"/>
      <c r="E655" s="328"/>
      <c r="F655" s="327"/>
      <c r="G655" s="327"/>
      <c r="H655" s="327"/>
      <c r="I655" s="327"/>
      <c r="J655" s="327"/>
      <c r="K655" s="327"/>
      <c r="L655" s="327"/>
      <c r="M655" s="327"/>
      <c r="N655" s="327"/>
      <c r="O655" s="327"/>
      <c r="P655" s="327"/>
      <c r="Q655" s="327"/>
      <c r="R655" s="328"/>
      <c r="S655" s="327"/>
      <c r="T655" s="327"/>
      <c r="U655" s="327"/>
      <c r="V655" s="327"/>
      <c r="W655" s="327"/>
      <c r="X655" s="327"/>
    </row>
    <row r="656" spans="1:24" s="279" customFormat="1">
      <c r="A656" s="326"/>
      <c r="B656" s="328"/>
      <c r="C656" s="328"/>
      <c r="D656" s="328"/>
      <c r="E656" s="328"/>
      <c r="F656" s="327"/>
      <c r="G656" s="327"/>
      <c r="H656" s="327"/>
      <c r="I656" s="327"/>
      <c r="J656" s="327"/>
      <c r="K656" s="327"/>
      <c r="L656" s="327"/>
      <c r="M656" s="327"/>
      <c r="N656" s="327"/>
      <c r="O656" s="327"/>
      <c r="P656" s="327"/>
      <c r="Q656" s="327"/>
      <c r="R656" s="328"/>
      <c r="S656" s="327"/>
      <c r="T656" s="327"/>
      <c r="U656" s="327"/>
      <c r="V656" s="327"/>
      <c r="W656" s="327"/>
      <c r="X656" s="327"/>
    </row>
    <row r="657" spans="1:24" s="279" customFormat="1">
      <c r="A657" s="326"/>
      <c r="B657" s="328"/>
      <c r="C657" s="328"/>
      <c r="D657" s="328"/>
      <c r="E657" s="328"/>
      <c r="F657" s="327"/>
      <c r="G657" s="327"/>
      <c r="H657" s="327"/>
      <c r="I657" s="327"/>
      <c r="J657" s="327"/>
      <c r="K657" s="327"/>
      <c r="L657" s="327"/>
      <c r="M657" s="327"/>
      <c r="N657" s="327"/>
      <c r="O657" s="327"/>
      <c r="P657" s="327"/>
      <c r="Q657" s="327"/>
      <c r="R657" s="328"/>
      <c r="S657" s="327"/>
      <c r="T657" s="327"/>
      <c r="U657" s="327"/>
      <c r="V657" s="327"/>
      <c r="W657" s="327"/>
      <c r="X657" s="327"/>
    </row>
    <row r="658" spans="1:24" s="279" customFormat="1">
      <c r="A658" s="326"/>
      <c r="B658" s="328"/>
      <c r="C658" s="328"/>
      <c r="D658" s="328"/>
      <c r="E658" s="328"/>
      <c r="F658" s="327"/>
      <c r="G658" s="327"/>
      <c r="H658" s="327"/>
      <c r="I658" s="327"/>
      <c r="J658" s="327"/>
      <c r="K658" s="327"/>
      <c r="L658" s="327"/>
      <c r="M658" s="327"/>
      <c r="N658" s="327"/>
      <c r="O658" s="327"/>
      <c r="P658" s="327"/>
      <c r="Q658" s="327"/>
      <c r="R658" s="328"/>
      <c r="S658" s="327"/>
      <c r="T658" s="327"/>
      <c r="U658" s="327"/>
      <c r="V658" s="327"/>
      <c r="W658" s="327"/>
      <c r="X658" s="327"/>
    </row>
    <row r="659" spans="1:24" s="279" customFormat="1">
      <c r="A659" s="326"/>
      <c r="B659" s="328"/>
      <c r="C659" s="328"/>
      <c r="D659" s="328"/>
      <c r="E659" s="328"/>
      <c r="F659" s="327"/>
      <c r="G659" s="327"/>
      <c r="H659" s="327"/>
      <c r="I659" s="327"/>
      <c r="J659" s="327"/>
      <c r="K659" s="327"/>
      <c r="L659" s="327"/>
      <c r="M659" s="327"/>
      <c r="N659" s="327"/>
      <c r="O659" s="327"/>
      <c r="P659" s="327"/>
      <c r="Q659" s="327"/>
      <c r="R659" s="328"/>
      <c r="S659" s="327"/>
      <c r="T659" s="327"/>
      <c r="U659" s="327"/>
      <c r="V659" s="327"/>
      <c r="W659" s="327"/>
      <c r="X659" s="327"/>
    </row>
    <row r="660" spans="1:24" s="279" customFormat="1">
      <c r="A660" s="326"/>
      <c r="B660" s="328"/>
      <c r="C660" s="328"/>
      <c r="D660" s="328"/>
      <c r="E660" s="328"/>
      <c r="F660" s="327"/>
      <c r="G660" s="327"/>
      <c r="H660" s="327"/>
      <c r="I660" s="327"/>
      <c r="J660" s="327"/>
      <c r="K660" s="327"/>
      <c r="L660" s="327"/>
      <c r="M660" s="327"/>
      <c r="N660" s="327"/>
      <c r="O660" s="327"/>
      <c r="P660" s="327"/>
      <c r="Q660" s="327"/>
      <c r="R660" s="328"/>
      <c r="S660" s="327"/>
      <c r="T660" s="327"/>
      <c r="U660" s="327"/>
      <c r="V660" s="327"/>
      <c r="W660" s="327"/>
      <c r="X660" s="327"/>
    </row>
    <row r="661" spans="1:24" s="279" customFormat="1">
      <c r="A661" s="326"/>
      <c r="B661" s="328"/>
      <c r="C661" s="328"/>
      <c r="D661" s="328"/>
      <c r="E661" s="328"/>
      <c r="F661" s="327"/>
      <c r="G661" s="327"/>
      <c r="H661" s="327"/>
      <c r="I661" s="327"/>
      <c r="J661" s="327"/>
      <c r="K661" s="327"/>
      <c r="L661" s="327"/>
      <c r="M661" s="327"/>
      <c r="N661" s="327"/>
      <c r="O661" s="327"/>
      <c r="P661" s="327"/>
      <c r="Q661" s="327"/>
      <c r="R661" s="328"/>
      <c r="S661" s="327"/>
      <c r="T661" s="327"/>
      <c r="U661" s="327"/>
      <c r="V661" s="327"/>
      <c r="W661" s="327"/>
      <c r="X661" s="327"/>
    </row>
    <row r="662" spans="1:24" s="279" customFormat="1">
      <c r="A662" s="326"/>
      <c r="B662" s="328"/>
      <c r="C662" s="328"/>
      <c r="D662" s="328"/>
      <c r="E662" s="328"/>
      <c r="F662" s="327"/>
      <c r="G662" s="327"/>
      <c r="H662" s="327"/>
      <c r="I662" s="327"/>
      <c r="J662" s="327"/>
      <c r="K662" s="327"/>
      <c r="L662" s="327"/>
      <c r="M662" s="327"/>
      <c r="N662" s="327"/>
      <c r="O662" s="327"/>
      <c r="P662" s="327"/>
      <c r="Q662" s="327"/>
      <c r="R662" s="328"/>
      <c r="S662" s="327"/>
      <c r="T662" s="327"/>
      <c r="U662" s="327"/>
      <c r="V662" s="327"/>
      <c r="W662" s="327"/>
      <c r="X662" s="327"/>
    </row>
    <row r="663" spans="1:24" s="279" customFormat="1">
      <c r="A663" s="326"/>
      <c r="B663" s="328"/>
      <c r="C663" s="328"/>
      <c r="D663" s="328"/>
      <c r="E663" s="328"/>
      <c r="F663" s="327"/>
      <c r="G663" s="327"/>
      <c r="H663" s="327"/>
      <c r="I663" s="327"/>
      <c r="J663" s="327"/>
      <c r="K663" s="327"/>
      <c r="L663" s="327"/>
      <c r="M663" s="327"/>
      <c r="N663" s="327"/>
      <c r="O663" s="327"/>
      <c r="P663" s="327"/>
      <c r="Q663" s="327"/>
      <c r="R663" s="328"/>
      <c r="S663" s="327"/>
      <c r="T663" s="327"/>
      <c r="U663" s="327"/>
      <c r="V663" s="327"/>
      <c r="W663" s="327"/>
      <c r="X663" s="327"/>
    </row>
    <row r="664" spans="1:24" s="279" customFormat="1">
      <c r="A664" s="326"/>
      <c r="B664" s="328"/>
      <c r="C664" s="328"/>
      <c r="D664" s="328"/>
      <c r="E664" s="328"/>
      <c r="F664" s="327"/>
      <c r="G664" s="327"/>
      <c r="H664" s="327"/>
      <c r="I664" s="327"/>
      <c r="J664" s="327"/>
      <c r="K664" s="327"/>
      <c r="L664" s="327"/>
      <c r="M664" s="327"/>
      <c r="N664" s="327"/>
      <c r="O664" s="327"/>
      <c r="P664" s="327"/>
      <c r="Q664" s="327"/>
      <c r="R664" s="328"/>
      <c r="S664" s="327"/>
      <c r="T664" s="327"/>
      <c r="U664" s="327"/>
      <c r="V664" s="327"/>
      <c r="W664" s="327"/>
      <c r="X664" s="327"/>
    </row>
    <row r="665" spans="1:24" s="279" customFormat="1">
      <c r="A665" s="326"/>
      <c r="B665" s="328"/>
      <c r="C665" s="328"/>
      <c r="D665" s="328"/>
      <c r="E665" s="328"/>
      <c r="F665" s="327"/>
      <c r="G665" s="327"/>
      <c r="H665" s="327"/>
      <c r="I665" s="327"/>
      <c r="J665" s="327"/>
      <c r="K665" s="327"/>
      <c r="L665" s="327"/>
      <c r="M665" s="327"/>
      <c r="N665" s="327"/>
      <c r="O665" s="327"/>
      <c r="P665" s="327"/>
      <c r="Q665" s="327"/>
      <c r="R665" s="328"/>
      <c r="S665" s="327"/>
      <c r="T665" s="327"/>
      <c r="U665" s="327"/>
      <c r="V665" s="327"/>
      <c r="W665" s="327"/>
      <c r="X665" s="327"/>
    </row>
    <row r="666" spans="1:24" s="279" customFormat="1">
      <c r="A666" s="326"/>
      <c r="B666" s="328"/>
      <c r="C666" s="328"/>
      <c r="D666" s="328"/>
      <c r="E666" s="328"/>
      <c r="F666" s="327"/>
      <c r="G666" s="327"/>
      <c r="H666" s="327"/>
      <c r="I666" s="327"/>
      <c r="J666" s="327"/>
      <c r="K666" s="327"/>
      <c r="L666" s="327"/>
      <c r="M666" s="327"/>
      <c r="N666" s="327"/>
      <c r="O666" s="327"/>
      <c r="P666" s="327"/>
      <c r="Q666" s="327"/>
      <c r="R666" s="328"/>
      <c r="S666" s="327"/>
      <c r="T666" s="327"/>
      <c r="U666" s="327"/>
      <c r="V666" s="327"/>
      <c r="W666" s="327"/>
      <c r="X666" s="327"/>
    </row>
    <row r="667" spans="1:24" s="279" customFormat="1">
      <c r="A667" s="326"/>
      <c r="B667" s="328"/>
      <c r="C667" s="328"/>
      <c r="D667" s="328"/>
      <c r="E667" s="328"/>
      <c r="F667" s="327"/>
      <c r="G667" s="327"/>
      <c r="H667" s="327"/>
      <c r="I667" s="327"/>
      <c r="J667" s="327"/>
      <c r="K667" s="327"/>
      <c r="L667" s="327"/>
      <c r="M667" s="327"/>
      <c r="N667" s="327"/>
      <c r="O667" s="327"/>
      <c r="P667" s="327"/>
      <c r="Q667" s="327"/>
      <c r="R667" s="328"/>
      <c r="S667" s="327"/>
      <c r="T667" s="327"/>
      <c r="U667" s="327"/>
      <c r="V667" s="327"/>
      <c r="W667" s="327"/>
      <c r="X667" s="327"/>
    </row>
    <row r="668" spans="1:24" s="279" customFormat="1">
      <c r="A668" s="326"/>
      <c r="B668" s="328"/>
      <c r="C668" s="328"/>
      <c r="D668" s="328"/>
      <c r="E668" s="328"/>
      <c r="F668" s="327"/>
      <c r="G668" s="327"/>
      <c r="H668" s="327"/>
      <c r="I668" s="327"/>
      <c r="J668" s="327"/>
      <c r="K668" s="327"/>
      <c r="L668" s="327"/>
      <c r="M668" s="327"/>
      <c r="N668" s="327"/>
      <c r="O668" s="327"/>
      <c r="P668" s="327"/>
      <c r="Q668" s="327"/>
      <c r="R668" s="328"/>
      <c r="S668" s="327"/>
      <c r="T668" s="327"/>
      <c r="U668" s="327"/>
      <c r="V668" s="327"/>
      <c r="W668" s="327"/>
      <c r="X668" s="327"/>
    </row>
    <row r="669" spans="1:24" s="279" customFormat="1">
      <c r="A669" s="326"/>
      <c r="B669" s="328"/>
      <c r="C669" s="328"/>
      <c r="D669" s="328"/>
      <c r="E669" s="328"/>
      <c r="F669" s="327"/>
      <c r="G669" s="327"/>
      <c r="H669" s="327"/>
      <c r="I669" s="327"/>
      <c r="J669" s="327"/>
      <c r="K669" s="327"/>
      <c r="L669" s="327"/>
      <c r="M669" s="327"/>
      <c r="N669" s="327"/>
      <c r="O669" s="327"/>
      <c r="P669" s="327"/>
      <c r="Q669" s="327"/>
      <c r="R669" s="328"/>
      <c r="S669" s="327"/>
      <c r="T669" s="327"/>
      <c r="U669" s="327"/>
      <c r="V669" s="327"/>
      <c r="W669" s="327"/>
      <c r="X669" s="327"/>
    </row>
    <row r="670" spans="1:24" s="279" customFormat="1">
      <c r="A670" s="326"/>
      <c r="B670" s="328"/>
      <c r="C670" s="328"/>
      <c r="D670" s="328"/>
      <c r="E670" s="328"/>
      <c r="F670" s="327"/>
      <c r="G670" s="327"/>
      <c r="H670" s="327"/>
      <c r="I670" s="327"/>
      <c r="J670" s="327"/>
      <c r="K670" s="327"/>
      <c r="L670" s="327"/>
      <c r="M670" s="327"/>
      <c r="N670" s="327"/>
      <c r="O670" s="327"/>
      <c r="P670" s="327"/>
      <c r="Q670" s="327"/>
      <c r="R670" s="328"/>
      <c r="S670" s="327"/>
      <c r="T670" s="327"/>
      <c r="U670" s="327"/>
      <c r="V670" s="327"/>
      <c r="W670" s="327"/>
      <c r="X670" s="327"/>
    </row>
    <row r="671" spans="1:24" s="279" customFormat="1">
      <c r="A671" s="326"/>
      <c r="B671" s="328"/>
      <c r="C671" s="328"/>
      <c r="D671" s="328"/>
      <c r="E671" s="328"/>
      <c r="F671" s="327"/>
      <c r="G671" s="327"/>
      <c r="H671" s="327"/>
      <c r="I671" s="327"/>
      <c r="J671" s="327"/>
      <c r="K671" s="327"/>
      <c r="L671" s="327"/>
      <c r="M671" s="327"/>
      <c r="N671" s="327"/>
      <c r="O671" s="327"/>
      <c r="P671" s="327"/>
      <c r="Q671" s="327"/>
      <c r="R671" s="328"/>
      <c r="S671" s="327"/>
      <c r="T671" s="327"/>
      <c r="U671" s="327"/>
      <c r="V671" s="327"/>
      <c r="W671" s="327"/>
      <c r="X671" s="327"/>
    </row>
    <row r="672" spans="1:24" s="279" customFormat="1">
      <c r="A672" s="326"/>
      <c r="B672" s="328"/>
      <c r="C672" s="328"/>
      <c r="D672" s="328"/>
      <c r="E672" s="328"/>
      <c r="F672" s="327"/>
      <c r="G672" s="327"/>
      <c r="H672" s="327"/>
      <c r="I672" s="327"/>
      <c r="J672" s="327"/>
      <c r="K672" s="327"/>
      <c r="L672" s="327"/>
      <c r="M672" s="327"/>
      <c r="N672" s="327"/>
      <c r="O672" s="327"/>
      <c r="P672" s="327"/>
      <c r="Q672" s="327"/>
      <c r="R672" s="328"/>
      <c r="S672" s="327"/>
      <c r="T672" s="327"/>
      <c r="U672" s="327"/>
      <c r="V672" s="327"/>
      <c r="W672" s="327"/>
      <c r="X672" s="327"/>
    </row>
    <row r="673" spans="1:24" s="279" customFormat="1">
      <c r="A673" s="326"/>
      <c r="B673" s="328"/>
      <c r="C673" s="328"/>
      <c r="D673" s="328"/>
      <c r="E673" s="328"/>
      <c r="F673" s="327"/>
      <c r="G673" s="327"/>
      <c r="H673" s="327"/>
      <c r="I673" s="327"/>
      <c r="J673" s="327"/>
      <c r="K673" s="327"/>
      <c r="L673" s="327"/>
      <c r="M673" s="327"/>
      <c r="N673" s="327"/>
      <c r="O673" s="327"/>
      <c r="P673" s="327"/>
      <c r="Q673" s="327"/>
      <c r="R673" s="328"/>
      <c r="S673" s="327"/>
      <c r="T673" s="327"/>
      <c r="U673" s="327"/>
      <c r="V673" s="327"/>
      <c r="W673" s="327"/>
      <c r="X673" s="327"/>
    </row>
    <row r="674" spans="1:24" s="279" customFormat="1">
      <c r="A674" s="326"/>
      <c r="B674" s="328"/>
      <c r="C674" s="328"/>
      <c r="D674" s="328"/>
      <c r="E674" s="328"/>
      <c r="F674" s="327"/>
      <c r="G674" s="327"/>
      <c r="H674" s="327"/>
      <c r="I674" s="327"/>
      <c r="J674" s="327"/>
      <c r="K674" s="327"/>
      <c r="L674" s="327"/>
      <c r="M674" s="327"/>
      <c r="N674" s="327"/>
      <c r="O674" s="327"/>
      <c r="P674" s="327"/>
      <c r="Q674" s="327"/>
      <c r="R674" s="328"/>
      <c r="S674" s="327"/>
      <c r="T674" s="327"/>
      <c r="U674" s="327"/>
      <c r="V674" s="327"/>
      <c r="W674" s="327"/>
      <c r="X674" s="327"/>
    </row>
    <row r="675" spans="1:24" s="279" customFormat="1">
      <c r="A675" s="326"/>
      <c r="B675" s="328"/>
      <c r="C675" s="328"/>
      <c r="D675" s="328"/>
      <c r="E675" s="328"/>
      <c r="F675" s="327"/>
      <c r="G675" s="327"/>
      <c r="H675" s="327"/>
      <c r="I675" s="327"/>
      <c r="J675" s="327"/>
      <c r="K675" s="327"/>
      <c r="L675" s="327"/>
      <c r="M675" s="327"/>
      <c r="N675" s="327"/>
      <c r="O675" s="327"/>
      <c r="P675" s="327"/>
      <c r="Q675" s="327"/>
      <c r="R675" s="328"/>
      <c r="S675" s="327"/>
      <c r="T675" s="327"/>
      <c r="U675" s="327"/>
      <c r="V675" s="327"/>
      <c r="W675" s="327"/>
      <c r="X675" s="327"/>
    </row>
    <row r="676" spans="1:24" s="279" customFormat="1">
      <c r="A676" s="326"/>
      <c r="B676" s="328"/>
      <c r="C676" s="328"/>
      <c r="D676" s="328"/>
      <c r="E676" s="328"/>
      <c r="F676" s="327"/>
      <c r="G676" s="327"/>
      <c r="H676" s="327"/>
      <c r="I676" s="327"/>
      <c r="J676" s="327"/>
      <c r="K676" s="327"/>
      <c r="L676" s="327"/>
      <c r="M676" s="327"/>
      <c r="N676" s="327"/>
      <c r="O676" s="327"/>
      <c r="P676" s="327"/>
      <c r="Q676" s="327"/>
      <c r="R676" s="328"/>
      <c r="S676" s="327"/>
      <c r="T676" s="327"/>
      <c r="U676" s="327"/>
      <c r="V676" s="327"/>
      <c r="W676" s="327"/>
      <c r="X676" s="327"/>
    </row>
    <row r="677" spans="1:24" s="279" customFormat="1">
      <c r="A677" s="326"/>
      <c r="B677" s="328"/>
      <c r="C677" s="328"/>
      <c r="D677" s="328"/>
      <c r="E677" s="328"/>
      <c r="F677" s="327"/>
      <c r="G677" s="327"/>
      <c r="H677" s="327"/>
      <c r="I677" s="327"/>
      <c r="J677" s="327"/>
      <c r="K677" s="327"/>
      <c r="L677" s="327"/>
      <c r="M677" s="327"/>
      <c r="N677" s="327"/>
      <c r="O677" s="327"/>
      <c r="P677" s="327"/>
      <c r="Q677" s="327"/>
      <c r="R677" s="328"/>
      <c r="S677" s="327"/>
      <c r="T677" s="327"/>
      <c r="U677" s="327"/>
      <c r="V677" s="327"/>
      <c r="W677" s="327"/>
      <c r="X677" s="327"/>
    </row>
    <row r="678" spans="1:24" s="279" customFormat="1">
      <c r="A678" s="326"/>
      <c r="B678" s="328"/>
      <c r="C678" s="328"/>
      <c r="D678" s="328"/>
      <c r="E678" s="328"/>
      <c r="F678" s="327"/>
      <c r="G678" s="327"/>
      <c r="H678" s="327"/>
      <c r="I678" s="327"/>
      <c r="J678" s="327"/>
      <c r="K678" s="327"/>
      <c r="L678" s="327"/>
      <c r="M678" s="327"/>
      <c r="N678" s="327"/>
      <c r="O678" s="327"/>
      <c r="P678" s="327"/>
      <c r="Q678" s="327"/>
      <c r="R678" s="328"/>
      <c r="S678" s="327"/>
      <c r="T678" s="327"/>
      <c r="U678" s="327"/>
      <c r="V678" s="327"/>
      <c r="W678" s="327"/>
      <c r="X678" s="327"/>
    </row>
    <row r="679" spans="1:24" s="279" customFormat="1">
      <c r="A679" s="326"/>
      <c r="B679" s="328"/>
      <c r="C679" s="328"/>
      <c r="D679" s="328"/>
      <c r="E679" s="328"/>
      <c r="F679" s="327"/>
      <c r="G679" s="327"/>
      <c r="H679" s="327"/>
      <c r="I679" s="327"/>
      <c r="J679" s="327"/>
      <c r="K679" s="327"/>
      <c r="L679" s="327"/>
      <c r="M679" s="327"/>
      <c r="N679" s="327"/>
      <c r="O679" s="327"/>
      <c r="P679" s="327"/>
      <c r="Q679" s="327"/>
      <c r="R679" s="328"/>
      <c r="S679" s="327"/>
      <c r="T679" s="327"/>
      <c r="U679" s="327"/>
      <c r="V679" s="327"/>
      <c r="W679" s="327"/>
      <c r="X679" s="327"/>
    </row>
    <row r="680" spans="1:24" s="279" customFormat="1">
      <c r="A680" s="326"/>
      <c r="B680" s="328"/>
      <c r="C680" s="328"/>
      <c r="D680" s="328"/>
      <c r="E680" s="328"/>
      <c r="F680" s="327"/>
      <c r="G680" s="327"/>
      <c r="H680" s="327"/>
      <c r="I680" s="327"/>
      <c r="J680" s="327"/>
      <c r="K680" s="327"/>
      <c r="L680" s="327"/>
      <c r="M680" s="327"/>
      <c r="N680" s="327"/>
      <c r="O680" s="327"/>
      <c r="P680" s="327"/>
      <c r="Q680" s="327"/>
      <c r="R680" s="328"/>
      <c r="S680" s="327"/>
      <c r="T680" s="327"/>
      <c r="U680" s="327"/>
      <c r="V680" s="327"/>
      <c r="W680" s="327"/>
      <c r="X680" s="327"/>
    </row>
    <row r="681" spans="1:24" s="279" customFormat="1">
      <c r="A681" s="326"/>
      <c r="B681" s="328"/>
      <c r="C681" s="328"/>
      <c r="D681" s="328"/>
      <c r="E681" s="328"/>
      <c r="F681" s="327"/>
      <c r="G681" s="327"/>
      <c r="H681" s="327"/>
      <c r="I681" s="327"/>
      <c r="J681" s="327"/>
      <c r="K681" s="327"/>
      <c r="L681" s="327"/>
      <c r="M681" s="327"/>
      <c r="N681" s="327"/>
      <c r="O681" s="327"/>
      <c r="P681" s="327"/>
      <c r="Q681" s="327"/>
      <c r="R681" s="328"/>
      <c r="S681" s="327"/>
      <c r="T681" s="327"/>
      <c r="U681" s="327"/>
      <c r="V681" s="327"/>
      <c r="W681" s="327"/>
      <c r="X681" s="327"/>
    </row>
    <row r="682" spans="1:24" s="279" customFormat="1">
      <c r="A682" s="326"/>
      <c r="B682" s="328"/>
      <c r="C682" s="328"/>
      <c r="D682" s="328"/>
      <c r="E682" s="328"/>
      <c r="F682" s="327"/>
      <c r="G682" s="327"/>
      <c r="H682" s="327"/>
      <c r="I682" s="327"/>
      <c r="J682" s="327"/>
      <c r="K682" s="327"/>
      <c r="L682" s="327"/>
      <c r="M682" s="327"/>
      <c r="N682" s="327"/>
      <c r="O682" s="327"/>
      <c r="P682" s="327"/>
      <c r="Q682" s="327"/>
      <c r="R682" s="328"/>
      <c r="S682" s="327"/>
      <c r="T682" s="327"/>
      <c r="U682" s="327"/>
      <c r="V682" s="327"/>
      <c r="W682" s="327"/>
      <c r="X682" s="327"/>
    </row>
    <row r="683" spans="1:24" s="279" customFormat="1">
      <c r="A683" s="326"/>
      <c r="B683" s="328"/>
      <c r="C683" s="328"/>
      <c r="D683" s="328"/>
      <c r="E683" s="328"/>
      <c r="F683" s="327"/>
      <c r="G683" s="327"/>
      <c r="H683" s="327"/>
      <c r="I683" s="327"/>
      <c r="J683" s="327"/>
      <c r="K683" s="327"/>
      <c r="L683" s="327"/>
      <c r="M683" s="327"/>
      <c r="N683" s="327"/>
      <c r="O683" s="327"/>
      <c r="P683" s="327"/>
      <c r="Q683" s="327"/>
      <c r="R683" s="328"/>
      <c r="S683" s="327"/>
      <c r="T683" s="327"/>
      <c r="U683" s="327"/>
      <c r="V683" s="327"/>
      <c r="W683" s="327"/>
      <c r="X683" s="327"/>
    </row>
    <row r="684" spans="1:24" s="279" customFormat="1">
      <c r="A684" s="326"/>
      <c r="B684" s="328"/>
      <c r="C684" s="328"/>
      <c r="D684" s="328"/>
      <c r="E684" s="328"/>
      <c r="F684" s="327"/>
      <c r="G684" s="327"/>
      <c r="H684" s="327"/>
      <c r="I684" s="327"/>
      <c r="J684" s="327"/>
      <c r="K684" s="327"/>
      <c r="L684" s="327"/>
      <c r="M684" s="327"/>
      <c r="N684" s="327"/>
      <c r="O684" s="327"/>
      <c r="P684" s="327"/>
      <c r="Q684" s="327"/>
      <c r="R684" s="328"/>
      <c r="S684" s="327"/>
      <c r="T684" s="327"/>
      <c r="U684" s="327"/>
      <c r="V684" s="327"/>
      <c r="W684" s="327"/>
      <c r="X684" s="327"/>
    </row>
    <row r="685" spans="1:24" s="279" customFormat="1">
      <c r="A685" s="326"/>
      <c r="B685" s="328"/>
      <c r="C685" s="328"/>
      <c r="D685" s="328"/>
      <c r="E685" s="328"/>
      <c r="F685" s="327"/>
      <c r="G685" s="327"/>
      <c r="H685" s="327"/>
      <c r="I685" s="327"/>
      <c r="J685" s="327"/>
      <c r="K685" s="327"/>
      <c r="L685" s="327"/>
      <c r="M685" s="327"/>
      <c r="N685" s="327"/>
      <c r="O685" s="327"/>
      <c r="P685" s="327"/>
      <c r="Q685" s="327"/>
      <c r="R685" s="328"/>
      <c r="S685" s="327"/>
      <c r="T685" s="327"/>
      <c r="U685" s="327"/>
      <c r="V685" s="327"/>
      <c r="W685" s="327"/>
      <c r="X685" s="327"/>
    </row>
    <row r="686" spans="1:24" s="279" customFormat="1">
      <c r="A686" s="326"/>
      <c r="B686" s="328"/>
      <c r="C686" s="328"/>
      <c r="D686" s="328"/>
      <c r="E686" s="328"/>
      <c r="F686" s="327"/>
      <c r="G686" s="327"/>
      <c r="H686" s="327"/>
      <c r="I686" s="327"/>
      <c r="J686" s="327"/>
      <c r="K686" s="327"/>
      <c r="L686" s="327"/>
      <c r="M686" s="327"/>
      <c r="N686" s="327"/>
      <c r="O686" s="327"/>
      <c r="P686" s="327"/>
      <c r="Q686" s="327"/>
      <c r="R686" s="328"/>
      <c r="S686" s="327"/>
      <c r="T686" s="327"/>
      <c r="U686" s="327"/>
      <c r="V686" s="327"/>
      <c r="W686" s="327"/>
      <c r="X686" s="327"/>
    </row>
    <row r="687" spans="1:24" s="279" customFormat="1">
      <c r="A687" s="326"/>
      <c r="B687" s="328"/>
      <c r="C687" s="328"/>
      <c r="D687" s="328"/>
      <c r="E687" s="328"/>
      <c r="F687" s="327"/>
      <c r="G687" s="327"/>
      <c r="H687" s="327"/>
      <c r="I687" s="327"/>
      <c r="J687" s="327"/>
      <c r="K687" s="327"/>
      <c r="L687" s="327"/>
      <c r="M687" s="327"/>
      <c r="N687" s="327"/>
      <c r="O687" s="327"/>
      <c r="P687" s="327"/>
      <c r="Q687" s="327"/>
      <c r="R687" s="328"/>
      <c r="S687" s="327"/>
      <c r="T687" s="327"/>
      <c r="U687" s="327"/>
      <c r="V687" s="327"/>
      <c r="W687" s="327"/>
      <c r="X687" s="327"/>
    </row>
    <row r="688" spans="1:24" s="279" customFormat="1">
      <c r="A688" s="326"/>
      <c r="B688" s="328"/>
      <c r="C688" s="328"/>
      <c r="D688" s="328"/>
      <c r="E688" s="328"/>
      <c r="F688" s="327"/>
      <c r="G688" s="327"/>
      <c r="H688" s="327"/>
      <c r="I688" s="327"/>
      <c r="J688" s="327"/>
      <c r="K688" s="327"/>
      <c r="L688" s="327"/>
      <c r="M688" s="327"/>
      <c r="N688" s="327"/>
      <c r="O688" s="327"/>
      <c r="P688" s="327"/>
      <c r="Q688" s="327"/>
      <c r="R688" s="328"/>
      <c r="S688" s="327"/>
      <c r="T688" s="327"/>
      <c r="U688" s="327"/>
      <c r="V688" s="327"/>
      <c r="W688" s="327"/>
      <c r="X688" s="327"/>
    </row>
    <row r="689" spans="1:24" s="279" customFormat="1">
      <c r="A689" s="326"/>
      <c r="B689" s="328"/>
      <c r="C689" s="328"/>
      <c r="D689" s="328"/>
      <c r="E689" s="328"/>
      <c r="F689" s="327"/>
      <c r="G689" s="327"/>
      <c r="H689" s="327"/>
      <c r="I689" s="327"/>
      <c r="J689" s="327"/>
      <c r="K689" s="327"/>
      <c r="L689" s="327"/>
      <c r="M689" s="327"/>
      <c r="N689" s="327"/>
      <c r="O689" s="327"/>
      <c r="P689" s="327"/>
      <c r="Q689" s="327"/>
      <c r="R689" s="328"/>
      <c r="S689" s="327"/>
      <c r="T689" s="327"/>
      <c r="U689" s="327"/>
      <c r="V689" s="327"/>
      <c r="W689" s="327"/>
      <c r="X689" s="327"/>
    </row>
    <row r="690" spans="1:24" s="279" customFormat="1">
      <c r="A690" s="326"/>
      <c r="B690" s="328"/>
      <c r="C690" s="328"/>
      <c r="D690" s="328"/>
      <c r="E690" s="328"/>
      <c r="F690" s="327"/>
      <c r="G690" s="327"/>
      <c r="H690" s="327"/>
      <c r="I690" s="327"/>
      <c r="J690" s="327"/>
      <c r="K690" s="327"/>
      <c r="L690" s="327"/>
      <c r="M690" s="327"/>
      <c r="N690" s="327"/>
      <c r="O690" s="327"/>
      <c r="P690" s="327"/>
      <c r="Q690" s="327"/>
      <c r="R690" s="328"/>
      <c r="S690" s="327"/>
      <c r="T690" s="327"/>
      <c r="U690" s="327"/>
      <c r="V690" s="327"/>
      <c r="W690" s="327"/>
      <c r="X690" s="327"/>
    </row>
    <row r="691" spans="1:24" s="279" customFormat="1">
      <c r="A691" s="326"/>
      <c r="B691" s="328"/>
      <c r="C691" s="328"/>
      <c r="D691" s="328"/>
      <c r="E691" s="328"/>
      <c r="F691" s="327"/>
      <c r="G691" s="327"/>
      <c r="H691" s="327"/>
      <c r="I691" s="327"/>
      <c r="J691" s="327"/>
      <c r="K691" s="327"/>
      <c r="L691" s="327"/>
      <c r="M691" s="327"/>
      <c r="N691" s="327"/>
      <c r="O691" s="327"/>
      <c r="P691" s="327"/>
      <c r="Q691" s="327"/>
      <c r="R691" s="328"/>
      <c r="S691" s="327"/>
      <c r="T691" s="327"/>
      <c r="U691" s="327"/>
      <c r="V691" s="327"/>
      <c r="W691" s="327"/>
      <c r="X691" s="327"/>
    </row>
    <row r="692" spans="1:24" s="279" customFormat="1">
      <c r="A692" s="326"/>
      <c r="B692" s="328"/>
      <c r="C692" s="328"/>
      <c r="D692" s="328"/>
      <c r="E692" s="328"/>
      <c r="F692" s="327"/>
      <c r="G692" s="327"/>
      <c r="H692" s="327"/>
      <c r="I692" s="327"/>
      <c r="J692" s="327"/>
      <c r="K692" s="327"/>
      <c r="L692" s="327"/>
      <c r="M692" s="327"/>
      <c r="N692" s="327"/>
      <c r="O692" s="327"/>
      <c r="P692" s="327"/>
      <c r="Q692" s="327"/>
      <c r="R692" s="328"/>
      <c r="S692" s="327"/>
      <c r="T692" s="327"/>
      <c r="U692" s="327"/>
      <c r="V692" s="327"/>
      <c r="W692" s="327"/>
      <c r="X692" s="327"/>
    </row>
    <row r="693" spans="1:24" s="279" customFormat="1">
      <c r="A693" s="326"/>
      <c r="B693" s="328"/>
      <c r="C693" s="328"/>
      <c r="D693" s="328"/>
      <c r="E693" s="328"/>
      <c r="F693" s="327"/>
      <c r="G693" s="327"/>
      <c r="H693" s="327"/>
      <c r="I693" s="327"/>
      <c r="J693" s="327"/>
      <c r="K693" s="327"/>
      <c r="L693" s="327"/>
      <c r="M693" s="327"/>
      <c r="N693" s="327"/>
      <c r="O693" s="327"/>
      <c r="P693" s="327"/>
      <c r="Q693" s="327"/>
      <c r="R693" s="328"/>
      <c r="S693" s="327"/>
      <c r="T693" s="327"/>
      <c r="U693" s="327"/>
      <c r="V693" s="327"/>
      <c r="W693" s="327"/>
      <c r="X693" s="327"/>
    </row>
    <row r="694" spans="1:24" s="279" customFormat="1">
      <c r="A694" s="326"/>
      <c r="B694" s="328"/>
      <c r="C694" s="328"/>
      <c r="D694" s="328"/>
      <c r="E694" s="328"/>
      <c r="F694" s="327"/>
      <c r="G694" s="327"/>
      <c r="H694" s="327"/>
      <c r="I694" s="327"/>
      <c r="J694" s="327"/>
      <c r="K694" s="327"/>
      <c r="L694" s="327"/>
      <c r="M694" s="327"/>
      <c r="N694" s="327"/>
      <c r="O694" s="327"/>
      <c r="P694" s="327"/>
      <c r="Q694" s="327"/>
      <c r="R694" s="328"/>
      <c r="S694" s="327"/>
      <c r="T694" s="327"/>
      <c r="U694" s="327"/>
      <c r="V694" s="327"/>
      <c r="W694" s="327"/>
      <c r="X694" s="327"/>
    </row>
    <row r="695" spans="1:24" s="279" customFormat="1">
      <c r="A695" s="326"/>
      <c r="B695" s="328"/>
      <c r="C695" s="328"/>
      <c r="D695" s="328"/>
      <c r="E695" s="328"/>
      <c r="F695" s="327"/>
      <c r="G695" s="327"/>
      <c r="H695" s="327"/>
      <c r="I695" s="327"/>
      <c r="J695" s="327"/>
      <c r="K695" s="327"/>
      <c r="L695" s="327"/>
      <c r="M695" s="327"/>
      <c r="N695" s="327"/>
      <c r="O695" s="327"/>
      <c r="P695" s="327"/>
      <c r="Q695" s="327"/>
      <c r="R695" s="328"/>
      <c r="S695" s="327"/>
      <c r="T695" s="327"/>
      <c r="U695" s="327"/>
      <c r="V695" s="327"/>
      <c r="W695" s="327"/>
      <c r="X695" s="327"/>
    </row>
    <row r="696" spans="1:24" s="279" customFormat="1">
      <c r="A696" s="326"/>
      <c r="B696" s="328"/>
      <c r="C696" s="328"/>
      <c r="D696" s="328"/>
      <c r="E696" s="328"/>
      <c r="F696" s="327"/>
      <c r="G696" s="327"/>
      <c r="H696" s="327"/>
      <c r="I696" s="327"/>
      <c r="J696" s="327"/>
      <c r="K696" s="327"/>
      <c r="L696" s="327"/>
      <c r="M696" s="327"/>
      <c r="N696" s="327"/>
      <c r="O696" s="327"/>
      <c r="P696" s="327"/>
      <c r="Q696" s="327"/>
      <c r="R696" s="328"/>
      <c r="S696" s="327"/>
      <c r="T696" s="327"/>
      <c r="U696" s="327"/>
      <c r="V696" s="327"/>
      <c r="W696" s="327"/>
      <c r="X696" s="327"/>
    </row>
    <row r="697" spans="1:24" s="279" customFormat="1">
      <c r="A697" s="326"/>
      <c r="B697" s="328"/>
      <c r="C697" s="328"/>
      <c r="D697" s="328"/>
      <c r="E697" s="328"/>
      <c r="F697" s="327"/>
      <c r="G697" s="327"/>
      <c r="H697" s="327"/>
      <c r="I697" s="327"/>
      <c r="J697" s="327"/>
      <c r="K697" s="327"/>
      <c r="L697" s="327"/>
      <c r="M697" s="327"/>
      <c r="N697" s="327"/>
      <c r="O697" s="327"/>
      <c r="P697" s="327"/>
      <c r="Q697" s="327"/>
      <c r="R697" s="328"/>
      <c r="S697" s="327"/>
      <c r="T697" s="327"/>
      <c r="U697" s="327"/>
      <c r="V697" s="327"/>
      <c r="W697" s="327"/>
      <c r="X697" s="327"/>
    </row>
    <row r="698" spans="1:24" s="279" customFormat="1">
      <c r="A698" s="326"/>
      <c r="B698" s="328"/>
      <c r="C698" s="328"/>
      <c r="D698" s="328"/>
      <c r="E698" s="328"/>
      <c r="F698" s="327"/>
      <c r="G698" s="327"/>
      <c r="H698" s="327"/>
      <c r="I698" s="327"/>
      <c r="J698" s="327"/>
      <c r="K698" s="327"/>
      <c r="L698" s="327"/>
      <c r="M698" s="327"/>
      <c r="N698" s="327"/>
      <c r="O698" s="327"/>
      <c r="P698" s="327"/>
      <c r="Q698" s="327"/>
      <c r="R698" s="328"/>
      <c r="S698" s="327"/>
      <c r="T698" s="327"/>
      <c r="U698" s="327"/>
      <c r="V698" s="327"/>
      <c r="W698" s="327"/>
      <c r="X698" s="327"/>
    </row>
    <row r="699" spans="1:24" s="279" customFormat="1">
      <c r="A699" s="326"/>
      <c r="B699" s="328"/>
      <c r="C699" s="328"/>
      <c r="D699" s="328"/>
      <c r="E699" s="328"/>
      <c r="F699" s="327"/>
      <c r="G699" s="327"/>
      <c r="H699" s="327"/>
      <c r="I699" s="327"/>
      <c r="J699" s="327"/>
      <c r="K699" s="327"/>
      <c r="L699" s="327"/>
      <c r="M699" s="327"/>
      <c r="N699" s="327"/>
      <c r="O699" s="327"/>
      <c r="P699" s="327"/>
      <c r="Q699" s="327"/>
      <c r="R699" s="328"/>
      <c r="S699" s="327"/>
      <c r="T699" s="327"/>
      <c r="U699" s="327"/>
      <c r="V699" s="327"/>
      <c r="W699" s="327"/>
      <c r="X699" s="327"/>
    </row>
    <row r="700" spans="1:24" s="279" customFormat="1">
      <c r="A700" s="326"/>
      <c r="B700" s="328"/>
      <c r="C700" s="328"/>
      <c r="D700" s="328"/>
      <c r="E700" s="328"/>
      <c r="F700" s="327"/>
      <c r="G700" s="327"/>
      <c r="H700" s="327"/>
      <c r="I700" s="327"/>
      <c r="J700" s="327"/>
      <c r="K700" s="327"/>
      <c r="L700" s="327"/>
      <c r="M700" s="327"/>
      <c r="N700" s="327"/>
      <c r="O700" s="327"/>
      <c r="P700" s="327"/>
      <c r="Q700" s="327"/>
      <c r="R700" s="328"/>
      <c r="S700" s="327"/>
      <c r="T700" s="327"/>
      <c r="U700" s="327"/>
      <c r="V700" s="327"/>
      <c r="W700" s="327"/>
      <c r="X700" s="327"/>
    </row>
    <row r="701" spans="1:24" s="279" customFormat="1">
      <c r="A701" s="326"/>
      <c r="B701" s="328"/>
      <c r="C701" s="328"/>
      <c r="D701" s="328"/>
      <c r="E701" s="328"/>
      <c r="F701" s="327"/>
      <c r="G701" s="327"/>
      <c r="H701" s="327"/>
      <c r="I701" s="327"/>
      <c r="J701" s="327"/>
      <c r="K701" s="327"/>
      <c r="L701" s="327"/>
      <c r="M701" s="327"/>
      <c r="N701" s="327"/>
      <c r="O701" s="327"/>
      <c r="P701" s="327"/>
      <c r="Q701" s="327"/>
      <c r="R701" s="328"/>
      <c r="S701" s="327"/>
      <c r="T701" s="327"/>
      <c r="U701" s="327"/>
      <c r="V701" s="327"/>
      <c r="W701" s="327"/>
      <c r="X701" s="327"/>
    </row>
    <row r="702" spans="1:24" s="279" customFormat="1">
      <c r="A702" s="326"/>
      <c r="B702" s="328"/>
      <c r="C702" s="328"/>
      <c r="D702" s="328"/>
      <c r="E702" s="328"/>
      <c r="F702" s="327"/>
      <c r="G702" s="327"/>
      <c r="H702" s="327"/>
      <c r="I702" s="327"/>
      <c r="J702" s="327"/>
      <c r="K702" s="327"/>
      <c r="L702" s="327"/>
      <c r="M702" s="327"/>
      <c r="N702" s="327"/>
      <c r="O702" s="327"/>
      <c r="P702" s="327"/>
      <c r="Q702" s="327"/>
      <c r="R702" s="328"/>
      <c r="S702" s="327"/>
      <c r="T702" s="327"/>
      <c r="U702" s="327"/>
      <c r="V702" s="327"/>
      <c r="W702" s="327"/>
      <c r="X702" s="327"/>
    </row>
    <row r="703" spans="1:24" s="279" customFormat="1">
      <c r="A703" s="326"/>
      <c r="B703" s="328"/>
      <c r="C703" s="328"/>
      <c r="D703" s="328"/>
      <c r="E703" s="328"/>
      <c r="F703" s="327"/>
      <c r="G703" s="327"/>
      <c r="H703" s="327"/>
      <c r="I703" s="327"/>
      <c r="J703" s="327"/>
      <c r="K703" s="327"/>
      <c r="L703" s="327"/>
      <c r="M703" s="327"/>
      <c r="N703" s="327"/>
      <c r="O703" s="327"/>
      <c r="P703" s="327"/>
      <c r="Q703" s="327"/>
      <c r="R703" s="328"/>
      <c r="S703" s="327"/>
      <c r="T703" s="327"/>
      <c r="U703" s="327"/>
      <c r="V703" s="327"/>
      <c r="W703" s="327"/>
      <c r="X703" s="327"/>
    </row>
    <row r="704" spans="1:24" s="279" customFormat="1">
      <c r="A704" s="326"/>
      <c r="B704" s="328"/>
      <c r="C704" s="328"/>
      <c r="D704" s="328"/>
      <c r="E704" s="328"/>
      <c r="F704" s="327"/>
      <c r="G704" s="327"/>
      <c r="H704" s="327"/>
      <c r="I704" s="327"/>
      <c r="J704" s="327"/>
      <c r="K704" s="327"/>
      <c r="L704" s="327"/>
      <c r="M704" s="327"/>
      <c r="N704" s="327"/>
      <c r="O704" s="327"/>
      <c r="P704" s="327"/>
      <c r="Q704" s="327"/>
      <c r="R704" s="328"/>
      <c r="S704" s="327"/>
      <c r="T704" s="327"/>
      <c r="U704" s="327"/>
      <c r="V704" s="327"/>
      <c r="W704" s="327"/>
      <c r="X704" s="327"/>
    </row>
    <row r="705" spans="1:24" s="279" customFormat="1">
      <c r="A705" s="326"/>
      <c r="B705" s="328"/>
      <c r="C705" s="328"/>
      <c r="D705" s="328"/>
      <c r="E705" s="328"/>
      <c r="F705" s="327"/>
      <c r="G705" s="327"/>
      <c r="H705" s="327"/>
      <c r="I705" s="327"/>
      <c r="J705" s="327"/>
      <c r="K705" s="327"/>
      <c r="L705" s="327"/>
      <c r="M705" s="327"/>
      <c r="N705" s="327"/>
      <c r="O705" s="327"/>
      <c r="P705" s="327"/>
      <c r="Q705" s="327"/>
      <c r="R705" s="328"/>
      <c r="S705" s="327"/>
      <c r="T705" s="327"/>
      <c r="U705" s="327"/>
      <c r="V705" s="327"/>
      <c r="W705" s="327"/>
      <c r="X705" s="327"/>
    </row>
    <row r="706" spans="1:24" s="279" customFormat="1">
      <c r="A706" s="326"/>
      <c r="B706" s="328"/>
      <c r="C706" s="328"/>
      <c r="D706" s="328"/>
      <c r="E706" s="328"/>
      <c r="F706" s="327"/>
      <c r="G706" s="327"/>
      <c r="H706" s="327"/>
      <c r="I706" s="327"/>
      <c r="J706" s="327"/>
      <c r="K706" s="327"/>
      <c r="L706" s="327"/>
      <c r="M706" s="327"/>
      <c r="N706" s="327"/>
      <c r="O706" s="327"/>
      <c r="P706" s="327"/>
      <c r="Q706" s="327"/>
      <c r="R706" s="328"/>
      <c r="S706" s="327"/>
      <c r="T706" s="327"/>
      <c r="U706" s="327"/>
      <c r="V706" s="327"/>
      <c r="W706" s="327"/>
      <c r="X706" s="327"/>
    </row>
    <row r="707" spans="1:24" s="279" customFormat="1">
      <c r="A707" s="326"/>
      <c r="B707" s="328"/>
      <c r="C707" s="328"/>
      <c r="D707" s="328"/>
      <c r="E707" s="328"/>
      <c r="F707" s="327"/>
      <c r="G707" s="327"/>
      <c r="H707" s="327"/>
      <c r="I707" s="327"/>
      <c r="J707" s="327"/>
      <c r="K707" s="327"/>
      <c r="L707" s="327"/>
      <c r="M707" s="327"/>
      <c r="N707" s="327"/>
      <c r="O707" s="327"/>
      <c r="P707" s="327"/>
      <c r="Q707" s="327"/>
      <c r="R707" s="328"/>
      <c r="S707" s="327"/>
      <c r="T707" s="327"/>
      <c r="U707" s="327"/>
      <c r="V707" s="327"/>
      <c r="W707" s="327"/>
      <c r="X707" s="327"/>
    </row>
    <row r="708" spans="1:24" s="279" customFormat="1">
      <c r="A708" s="326"/>
      <c r="B708" s="328"/>
      <c r="C708" s="328"/>
      <c r="D708" s="328"/>
      <c r="E708" s="328"/>
      <c r="F708" s="327"/>
      <c r="G708" s="327"/>
      <c r="H708" s="327"/>
      <c r="I708" s="327"/>
      <c r="J708" s="327"/>
      <c r="K708" s="327"/>
      <c r="L708" s="327"/>
      <c r="M708" s="327"/>
      <c r="N708" s="327"/>
      <c r="O708" s="327"/>
      <c r="P708" s="327"/>
      <c r="Q708" s="327"/>
      <c r="R708" s="328"/>
      <c r="S708" s="327"/>
      <c r="T708" s="327"/>
      <c r="U708" s="327"/>
      <c r="V708" s="327"/>
      <c r="W708" s="327"/>
      <c r="X708" s="327"/>
    </row>
    <row r="709" spans="1:24" s="279" customFormat="1">
      <c r="A709" s="326"/>
      <c r="B709" s="328"/>
      <c r="C709" s="328"/>
      <c r="D709" s="328"/>
      <c r="E709" s="328"/>
      <c r="F709" s="327"/>
      <c r="G709" s="327"/>
      <c r="H709" s="327"/>
      <c r="I709" s="327"/>
      <c r="J709" s="327"/>
      <c r="K709" s="327"/>
      <c r="L709" s="327"/>
      <c r="M709" s="327"/>
      <c r="N709" s="327"/>
      <c r="O709" s="327"/>
      <c r="P709" s="327"/>
      <c r="Q709" s="327"/>
      <c r="R709" s="328"/>
      <c r="S709" s="327"/>
      <c r="T709" s="327"/>
      <c r="U709" s="327"/>
      <c r="V709" s="327"/>
      <c r="W709" s="327"/>
      <c r="X709" s="327"/>
    </row>
    <row r="710" spans="1:24" s="279" customFormat="1">
      <c r="A710" s="326"/>
      <c r="B710" s="328"/>
      <c r="C710" s="328"/>
      <c r="D710" s="328"/>
      <c r="E710" s="328"/>
      <c r="F710" s="327"/>
      <c r="G710" s="327"/>
      <c r="H710" s="327"/>
      <c r="I710" s="327"/>
      <c r="J710" s="327"/>
      <c r="K710" s="327"/>
      <c r="L710" s="327"/>
      <c r="M710" s="327"/>
      <c r="N710" s="327"/>
      <c r="O710" s="327"/>
      <c r="P710" s="327"/>
      <c r="Q710" s="327"/>
      <c r="R710" s="328"/>
      <c r="S710" s="327"/>
      <c r="T710" s="327"/>
      <c r="U710" s="327"/>
      <c r="V710" s="327"/>
      <c r="W710" s="327"/>
      <c r="X710" s="327"/>
    </row>
    <row r="711" spans="1:24" s="279" customFormat="1">
      <c r="A711" s="326"/>
      <c r="B711" s="328"/>
      <c r="C711" s="328"/>
      <c r="D711" s="328"/>
      <c r="E711" s="328"/>
      <c r="F711" s="327"/>
      <c r="G711" s="327"/>
      <c r="H711" s="327"/>
      <c r="I711" s="327"/>
      <c r="J711" s="327"/>
      <c r="K711" s="327"/>
      <c r="L711" s="327"/>
      <c r="M711" s="327"/>
      <c r="N711" s="327"/>
      <c r="O711" s="327"/>
      <c r="P711" s="327"/>
      <c r="Q711" s="327"/>
      <c r="R711" s="328"/>
      <c r="S711" s="327"/>
      <c r="T711" s="327"/>
      <c r="U711" s="327"/>
      <c r="V711" s="327"/>
      <c r="W711" s="327"/>
      <c r="X711" s="327"/>
    </row>
    <row r="712" spans="1:24" s="279" customFormat="1">
      <c r="A712" s="326"/>
      <c r="B712" s="328"/>
      <c r="C712" s="328"/>
      <c r="D712" s="328"/>
      <c r="E712" s="328"/>
      <c r="F712" s="327"/>
      <c r="G712" s="327"/>
      <c r="H712" s="327"/>
      <c r="I712" s="327"/>
      <c r="J712" s="327"/>
      <c r="K712" s="327"/>
      <c r="L712" s="327"/>
      <c r="M712" s="327"/>
      <c r="N712" s="327"/>
      <c r="O712" s="327"/>
      <c r="P712" s="327"/>
      <c r="Q712" s="327"/>
      <c r="R712" s="328"/>
      <c r="S712" s="327"/>
      <c r="T712" s="327"/>
      <c r="U712" s="327"/>
      <c r="V712" s="327"/>
      <c r="W712" s="327"/>
      <c r="X712" s="327"/>
    </row>
    <row r="713" spans="1:24" s="279" customFormat="1">
      <c r="A713" s="326"/>
      <c r="B713" s="328"/>
      <c r="C713" s="328"/>
      <c r="D713" s="328"/>
      <c r="E713" s="328"/>
      <c r="F713" s="327"/>
      <c r="G713" s="327"/>
      <c r="H713" s="327"/>
      <c r="I713" s="327"/>
      <c r="J713" s="327"/>
      <c r="K713" s="327"/>
      <c r="L713" s="327"/>
      <c r="M713" s="327"/>
      <c r="N713" s="327"/>
      <c r="O713" s="327"/>
      <c r="P713" s="327"/>
      <c r="Q713" s="327"/>
      <c r="R713" s="328"/>
      <c r="S713" s="327"/>
      <c r="T713" s="327"/>
      <c r="U713" s="327"/>
      <c r="V713" s="327"/>
      <c r="W713" s="327"/>
      <c r="X713" s="327"/>
    </row>
    <row r="714" spans="1:24" s="279" customFormat="1">
      <c r="A714" s="326"/>
      <c r="B714" s="328"/>
      <c r="C714" s="328"/>
      <c r="D714" s="328"/>
      <c r="E714" s="328"/>
      <c r="F714" s="327"/>
      <c r="G714" s="327"/>
      <c r="H714" s="327"/>
      <c r="I714" s="327"/>
      <c r="J714" s="327"/>
      <c r="K714" s="327"/>
      <c r="L714" s="327"/>
      <c r="M714" s="327"/>
      <c r="N714" s="327"/>
      <c r="O714" s="327"/>
      <c r="P714" s="327"/>
      <c r="Q714" s="327"/>
      <c r="R714" s="328"/>
      <c r="S714" s="327"/>
      <c r="T714" s="327"/>
      <c r="U714" s="327"/>
      <c r="V714" s="327"/>
      <c r="W714" s="327"/>
      <c r="X714" s="327"/>
    </row>
    <row r="715" spans="1:24" s="279" customFormat="1">
      <c r="A715" s="326"/>
      <c r="B715" s="328"/>
      <c r="C715" s="328"/>
      <c r="D715" s="328"/>
      <c r="E715" s="328"/>
      <c r="F715" s="327"/>
      <c r="G715" s="327"/>
      <c r="H715" s="327"/>
      <c r="I715" s="327"/>
      <c r="J715" s="327"/>
      <c r="K715" s="327"/>
      <c r="L715" s="327"/>
      <c r="M715" s="327"/>
      <c r="N715" s="327"/>
      <c r="O715" s="327"/>
      <c r="P715" s="327"/>
      <c r="Q715" s="327"/>
      <c r="R715" s="328"/>
      <c r="S715" s="327"/>
      <c r="T715" s="327"/>
      <c r="U715" s="327"/>
      <c r="V715" s="327"/>
      <c r="W715" s="327"/>
      <c r="X715" s="327"/>
    </row>
    <row r="716" spans="1:24" s="279" customFormat="1">
      <c r="A716" s="326"/>
      <c r="B716" s="328"/>
      <c r="C716" s="328"/>
      <c r="D716" s="328"/>
      <c r="E716" s="328"/>
      <c r="F716" s="327"/>
      <c r="G716" s="327"/>
      <c r="H716" s="327"/>
      <c r="I716" s="327"/>
      <c r="J716" s="327"/>
      <c r="K716" s="327"/>
      <c r="L716" s="327"/>
      <c r="M716" s="327"/>
      <c r="N716" s="327"/>
      <c r="O716" s="327"/>
      <c r="P716" s="327"/>
      <c r="Q716" s="327"/>
      <c r="R716" s="328"/>
      <c r="S716" s="327"/>
      <c r="T716" s="327"/>
      <c r="U716" s="327"/>
      <c r="V716" s="327"/>
      <c r="W716" s="327"/>
      <c r="X716" s="327"/>
    </row>
    <row r="717" spans="1:24" s="279" customFormat="1">
      <c r="A717" s="326"/>
      <c r="B717" s="328"/>
      <c r="C717" s="328"/>
      <c r="D717" s="328"/>
      <c r="E717" s="328"/>
      <c r="F717" s="327"/>
      <c r="G717" s="327"/>
      <c r="H717" s="327"/>
      <c r="I717" s="327"/>
      <c r="J717" s="327"/>
      <c r="K717" s="327"/>
      <c r="L717" s="327"/>
      <c r="M717" s="327"/>
      <c r="N717" s="327"/>
      <c r="O717" s="327"/>
      <c r="P717" s="327"/>
      <c r="Q717" s="327"/>
      <c r="R717" s="328"/>
      <c r="S717" s="327"/>
      <c r="T717" s="327"/>
      <c r="U717" s="327"/>
      <c r="V717" s="327"/>
      <c r="W717" s="327"/>
      <c r="X717" s="327"/>
    </row>
    <row r="718" spans="1:24" s="279" customFormat="1">
      <c r="A718" s="326"/>
      <c r="B718" s="328"/>
      <c r="C718" s="328"/>
      <c r="D718" s="328"/>
      <c r="E718" s="328"/>
      <c r="F718" s="327"/>
      <c r="G718" s="327"/>
      <c r="H718" s="327"/>
      <c r="I718" s="327"/>
      <c r="J718" s="327"/>
      <c r="K718" s="327"/>
      <c r="L718" s="327"/>
      <c r="M718" s="327"/>
      <c r="N718" s="327"/>
      <c r="O718" s="327"/>
      <c r="P718" s="327"/>
      <c r="Q718" s="327"/>
      <c r="R718" s="328"/>
      <c r="S718" s="327"/>
      <c r="T718" s="327"/>
      <c r="U718" s="327"/>
      <c r="V718" s="327"/>
      <c r="W718" s="327"/>
      <c r="X718" s="327"/>
    </row>
    <row r="719" spans="1:24" s="279" customFormat="1">
      <c r="A719" s="326"/>
      <c r="B719" s="328"/>
      <c r="C719" s="328"/>
      <c r="D719" s="328"/>
      <c r="E719" s="328"/>
      <c r="F719" s="327"/>
      <c r="G719" s="327"/>
      <c r="H719" s="327"/>
      <c r="I719" s="327"/>
      <c r="J719" s="327"/>
      <c r="K719" s="327"/>
      <c r="L719" s="327"/>
      <c r="M719" s="327"/>
      <c r="N719" s="327"/>
      <c r="O719" s="327"/>
      <c r="P719" s="327"/>
      <c r="Q719" s="327"/>
      <c r="R719" s="328"/>
      <c r="S719" s="327"/>
      <c r="T719" s="327"/>
      <c r="U719" s="327"/>
      <c r="V719" s="327"/>
      <c r="W719" s="327"/>
      <c r="X719" s="327"/>
    </row>
    <row r="720" spans="1:24" s="279" customFormat="1">
      <c r="A720" s="326"/>
      <c r="B720" s="328"/>
      <c r="C720" s="328"/>
      <c r="D720" s="328"/>
      <c r="E720" s="328"/>
      <c r="F720" s="327"/>
      <c r="G720" s="327"/>
      <c r="H720" s="327"/>
      <c r="I720" s="327"/>
      <c r="J720" s="327"/>
      <c r="K720" s="327"/>
      <c r="L720" s="327"/>
      <c r="M720" s="327"/>
      <c r="N720" s="327"/>
      <c r="O720" s="327"/>
      <c r="P720" s="327"/>
      <c r="Q720" s="327"/>
      <c r="R720" s="328"/>
      <c r="S720" s="327"/>
      <c r="T720" s="327"/>
      <c r="U720" s="327"/>
      <c r="V720" s="327"/>
      <c r="W720" s="327"/>
      <c r="X720" s="327"/>
    </row>
    <row r="721" spans="1:24" s="279" customFormat="1">
      <c r="A721" s="326"/>
      <c r="B721" s="328"/>
      <c r="C721" s="328"/>
      <c r="D721" s="328"/>
      <c r="E721" s="328"/>
      <c r="F721" s="327"/>
      <c r="G721" s="327"/>
      <c r="H721" s="327"/>
      <c r="I721" s="327"/>
      <c r="J721" s="327"/>
      <c r="K721" s="327"/>
      <c r="L721" s="327"/>
      <c r="M721" s="327"/>
      <c r="N721" s="327"/>
      <c r="O721" s="327"/>
      <c r="P721" s="327"/>
      <c r="Q721" s="327"/>
      <c r="R721" s="328"/>
      <c r="S721" s="327"/>
      <c r="T721" s="327"/>
      <c r="U721" s="327"/>
      <c r="V721" s="327"/>
      <c r="W721" s="327"/>
      <c r="X721" s="327"/>
    </row>
    <row r="722" spans="1:24" s="279" customFormat="1">
      <c r="A722" s="326"/>
      <c r="B722" s="328"/>
      <c r="C722" s="328"/>
      <c r="D722" s="328"/>
      <c r="E722" s="328"/>
      <c r="F722" s="327"/>
      <c r="G722" s="327"/>
      <c r="H722" s="327"/>
      <c r="I722" s="327"/>
      <c r="J722" s="327"/>
      <c r="K722" s="327"/>
      <c r="L722" s="327"/>
      <c r="M722" s="327"/>
      <c r="N722" s="327"/>
      <c r="O722" s="327"/>
      <c r="P722" s="327"/>
      <c r="Q722" s="327"/>
      <c r="R722" s="328"/>
      <c r="S722" s="327"/>
      <c r="T722" s="327"/>
      <c r="U722" s="327"/>
      <c r="V722" s="327"/>
      <c r="W722" s="327"/>
      <c r="X722" s="327"/>
    </row>
    <row r="723" spans="1:24" s="279" customFormat="1">
      <c r="A723" s="326"/>
      <c r="B723" s="328"/>
      <c r="C723" s="328"/>
      <c r="D723" s="328"/>
      <c r="E723" s="328"/>
      <c r="F723" s="327"/>
      <c r="G723" s="327"/>
      <c r="H723" s="327"/>
      <c r="I723" s="327"/>
      <c r="J723" s="327"/>
      <c r="K723" s="327"/>
      <c r="L723" s="327"/>
      <c r="M723" s="327"/>
      <c r="N723" s="327"/>
      <c r="O723" s="327"/>
      <c r="P723" s="327"/>
      <c r="Q723" s="327"/>
      <c r="R723" s="328"/>
      <c r="S723" s="327"/>
      <c r="T723" s="327"/>
      <c r="U723" s="327"/>
      <c r="V723" s="327"/>
      <c r="W723" s="327"/>
      <c r="X723" s="327"/>
    </row>
    <row r="724" spans="1:24" s="279" customFormat="1">
      <c r="A724" s="326"/>
      <c r="B724" s="328"/>
      <c r="C724" s="328"/>
      <c r="D724" s="328"/>
      <c r="E724" s="328"/>
      <c r="F724" s="327"/>
      <c r="G724" s="327"/>
      <c r="H724" s="327"/>
      <c r="I724" s="327"/>
      <c r="J724" s="327"/>
      <c r="K724" s="327"/>
      <c r="L724" s="327"/>
      <c r="M724" s="327"/>
      <c r="N724" s="327"/>
      <c r="O724" s="327"/>
      <c r="P724" s="327"/>
      <c r="Q724" s="327"/>
      <c r="R724" s="328"/>
      <c r="S724" s="327"/>
      <c r="T724" s="327"/>
      <c r="U724" s="327"/>
      <c r="V724" s="327"/>
      <c r="W724" s="327"/>
      <c r="X724" s="327"/>
    </row>
    <row r="725" spans="1:24" s="279" customFormat="1">
      <c r="A725" s="326"/>
      <c r="B725" s="328"/>
      <c r="C725" s="328"/>
      <c r="D725" s="328"/>
      <c r="E725" s="328"/>
      <c r="F725" s="327"/>
      <c r="G725" s="327"/>
      <c r="H725" s="327"/>
      <c r="I725" s="327"/>
      <c r="J725" s="327"/>
      <c r="K725" s="327"/>
      <c r="L725" s="327"/>
      <c r="M725" s="327"/>
      <c r="N725" s="327"/>
      <c r="O725" s="327"/>
      <c r="P725" s="327"/>
      <c r="Q725" s="327"/>
      <c r="R725" s="328"/>
      <c r="S725" s="327"/>
      <c r="T725" s="327"/>
      <c r="U725" s="327"/>
      <c r="V725" s="327"/>
      <c r="W725" s="327"/>
      <c r="X725" s="327"/>
    </row>
    <row r="726" spans="1:24" s="279" customFormat="1">
      <c r="A726" s="326"/>
      <c r="B726" s="328"/>
      <c r="C726" s="328"/>
      <c r="D726" s="328"/>
      <c r="E726" s="328"/>
      <c r="F726" s="327"/>
      <c r="G726" s="327"/>
      <c r="H726" s="327"/>
      <c r="I726" s="327"/>
      <c r="J726" s="327"/>
      <c r="K726" s="327"/>
      <c r="L726" s="327"/>
      <c r="M726" s="327"/>
      <c r="N726" s="327"/>
      <c r="O726" s="327"/>
      <c r="P726" s="327"/>
      <c r="Q726" s="327"/>
      <c r="R726" s="328"/>
      <c r="S726" s="327"/>
      <c r="T726" s="327"/>
      <c r="U726" s="327"/>
      <c r="V726" s="327"/>
      <c r="W726" s="327"/>
      <c r="X726" s="327"/>
    </row>
    <row r="727" spans="1:24" s="279" customFormat="1">
      <c r="A727" s="326"/>
      <c r="B727" s="328"/>
      <c r="C727" s="328"/>
      <c r="D727" s="328"/>
      <c r="E727" s="328"/>
      <c r="F727" s="327"/>
      <c r="G727" s="327"/>
      <c r="H727" s="327"/>
      <c r="I727" s="327"/>
      <c r="J727" s="327"/>
      <c r="K727" s="327"/>
      <c r="L727" s="327"/>
      <c r="M727" s="327"/>
      <c r="N727" s="327"/>
      <c r="O727" s="327"/>
      <c r="P727" s="327"/>
      <c r="Q727" s="327"/>
      <c r="R727" s="328"/>
      <c r="S727" s="327"/>
      <c r="T727" s="327"/>
      <c r="U727" s="327"/>
      <c r="V727" s="327"/>
      <c r="W727" s="327"/>
      <c r="X727" s="327"/>
    </row>
    <row r="728" spans="1:24" s="279" customFormat="1">
      <c r="A728" s="326"/>
      <c r="B728" s="328"/>
      <c r="C728" s="328"/>
      <c r="D728" s="328"/>
      <c r="E728" s="328"/>
      <c r="F728" s="327"/>
      <c r="G728" s="327"/>
      <c r="H728" s="327"/>
      <c r="I728" s="327"/>
      <c r="J728" s="327"/>
      <c r="K728" s="327"/>
      <c r="L728" s="327"/>
      <c r="M728" s="327"/>
      <c r="N728" s="327"/>
      <c r="O728" s="327"/>
      <c r="P728" s="327"/>
      <c r="Q728" s="327"/>
      <c r="R728" s="328"/>
      <c r="S728" s="327"/>
      <c r="T728" s="327"/>
      <c r="U728" s="327"/>
      <c r="V728" s="327"/>
      <c r="W728" s="327"/>
      <c r="X728" s="327"/>
    </row>
    <row r="729" spans="1:24" s="279" customFormat="1">
      <c r="A729" s="326"/>
      <c r="B729" s="328"/>
      <c r="C729" s="328"/>
      <c r="D729" s="328"/>
      <c r="E729" s="328"/>
      <c r="F729" s="327"/>
      <c r="G729" s="327"/>
      <c r="H729" s="327"/>
      <c r="I729" s="327"/>
      <c r="J729" s="327"/>
      <c r="K729" s="327"/>
      <c r="L729" s="327"/>
      <c r="M729" s="327"/>
      <c r="N729" s="327"/>
      <c r="O729" s="327"/>
      <c r="P729" s="327"/>
      <c r="Q729" s="327"/>
      <c r="R729" s="328"/>
      <c r="S729" s="327"/>
      <c r="T729" s="327"/>
      <c r="U729" s="327"/>
      <c r="V729" s="327"/>
      <c r="W729" s="327"/>
      <c r="X729" s="327"/>
    </row>
    <row r="730" spans="1:24" s="279" customFormat="1">
      <c r="A730" s="326"/>
      <c r="B730" s="328"/>
      <c r="C730" s="328"/>
      <c r="D730" s="328"/>
      <c r="E730" s="328"/>
      <c r="F730" s="327"/>
      <c r="G730" s="327"/>
      <c r="H730" s="327"/>
      <c r="I730" s="327"/>
      <c r="J730" s="327"/>
      <c r="K730" s="327"/>
      <c r="L730" s="327"/>
      <c r="M730" s="327"/>
      <c r="N730" s="327"/>
      <c r="O730" s="327"/>
      <c r="P730" s="327"/>
      <c r="Q730" s="327"/>
      <c r="R730" s="328"/>
      <c r="S730" s="327"/>
      <c r="T730" s="327"/>
      <c r="U730" s="327"/>
      <c r="V730" s="327"/>
      <c r="W730" s="327"/>
      <c r="X730" s="327"/>
    </row>
    <row r="731" spans="1:24" s="279" customFormat="1">
      <c r="A731" s="326"/>
      <c r="B731" s="328"/>
      <c r="C731" s="328"/>
      <c r="D731" s="328"/>
      <c r="E731" s="328"/>
      <c r="F731" s="327"/>
      <c r="G731" s="327"/>
      <c r="H731" s="327"/>
      <c r="I731" s="327"/>
      <c r="J731" s="327"/>
      <c r="K731" s="327"/>
      <c r="L731" s="327"/>
      <c r="M731" s="327"/>
      <c r="N731" s="327"/>
      <c r="O731" s="327"/>
      <c r="P731" s="327"/>
      <c r="Q731" s="327"/>
      <c r="R731" s="328"/>
      <c r="S731" s="327"/>
      <c r="T731" s="327"/>
      <c r="U731" s="327"/>
      <c r="V731" s="327"/>
      <c r="W731" s="327"/>
      <c r="X731" s="327"/>
    </row>
    <row r="732" spans="1:24" s="279" customFormat="1">
      <c r="A732" s="326"/>
      <c r="B732" s="328"/>
      <c r="C732" s="328"/>
      <c r="D732" s="328"/>
      <c r="E732" s="328"/>
      <c r="F732" s="327"/>
      <c r="G732" s="327"/>
      <c r="H732" s="327"/>
      <c r="I732" s="327"/>
      <c r="J732" s="327"/>
      <c r="K732" s="327"/>
      <c r="L732" s="327"/>
      <c r="M732" s="327"/>
      <c r="N732" s="327"/>
      <c r="O732" s="327"/>
      <c r="P732" s="327"/>
      <c r="Q732" s="327"/>
      <c r="R732" s="328"/>
      <c r="S732" s="327"/>
      <c r="T732" s="327"/>
      <c r="U732" s="327"/>
      <c r="V732" s="327"/>
      <c r="W732" s="327"/>
      <c r="X732" s="327"/>
    </row>
    <row r="733" spans="1:24" s="279" customFormat="1">
      <c r="A733" s="326"/>
      <c r="B733" s="328"/>
      <c r="C733" s="328"/>
      <c r="D733" s="328"/>
      <c r="E733" s="328"/>
      <c r="F733" s="327"/>
      <c r="G733" s="327"/>
      <c r="H733" s="327"/>
      <c r="I733" s="327"/>
      <c r="J733" s="327"/>
      <c r="K733" s="327"/>
      <c r="L733" s="327"/>
      <c r="M733" s="327"/>
      <c r="N733" s="327"/>
      <c r="O733" s="327"/>
      <c r="P733" s="327"/>
      <c r="Q733" s="327"/>
      <c r="R733" s="328"/>
      <c r="S733" s="327"/>
      <c r="T733" s="327"/>
      <c r="U733" s="327"/>
      <c r="V733" s="327"/>
      <c r="W733" s="327"/>
      <c r="X733" s="327"/>
    </row>
    <row r="734" spans="1:24" s="279" customFormat="1">
      <c r="A734" s="326"/>
      <c r="B734" s="328"/>
      <c r="C734" s="328"/>
      <c r="D734" s="328"/>
      <c r="E734" s="328"/>
      <c r="F734" s="327"/>
      <c r="G734" s="327"/>
      <c r="H734" s="327"/>
      <c r="I734" s="327"/>
      <c r="J734" s="327"/>
      <c r="K734" s="327"/>
      <c r="L734" s="327"/>
      <c r="M734" s="327"/>
      <c r="N734" s="327"/>
      <c r="O734" s="327"/>
      <c r="P734" s="327"/>
      <c r="Q734" s="327"/>
      <c r="R734" s="328"/>
      <c r="S734" s="327"/>
      <c r="T734" s="327"/>
      <c r="U734" s="327"/>
      <c r="V734" s="327"/>
      <c r="W734" s="327"/>
      <c r="X734" s="327"/>
    </row>
    <row r="735" spans="1:24" s="279" customFormat="1">
      <c r="A735" s="326"/>
      <c r="B735" s="328"/>
      <c r="C735" s="328"/>
      <c r="D735" s="328"/>
      <c r="E735" s="328"/>
      <c r="F735" s="327"/>
      <c r="G735" s="327"/>
      <c r="H735" s="327"/>
      <c r="I735" s="327"/>
      <c r="J735" s="327"/>
      <c r="K735" s="327"/>
      <c r="L735" s="327"/>
      <c r="M735" s="327"/>
      <c r="N735" s="327"/>
      <c r="O735" s="327"/>
      <c r="P735" s="327"/>
      <c r="Q735" s="327"/>
      <c r="R735" s="328"/>
      <c r="S735" s="327"/>
      <c r="T735" s="327"/>
      <c r="U735" s="327"/>
      <c r="V735" s="327"/>
      <c r="W735" s="327"/>
      <c r="X735" s="327"/>
    </row>
    <row r="736" spans="1:24" s="279" customFormat="1">
      <c r="A736" s="326"/>
      <c r="B736" s="328"/>
      <c r="C736" s="328"/>
      <c r="D736" s="328"/>
      <c r="E736" s="328"/>
      <c r="F736" s="327"/>
      <c r="G736" s="327"/>
      <c r="H736" s="327"/>
      <c r="I736" s="327"/>
      <c r="J736" s="327"/>
      <c r="K736" s="327"/>
      <c r="L736" s="327"/>
      <c r="M736" s="327"/>
      <c r="N736" s="327"/>
      <c r="O736" s="327"/>
      <c r="P736" s="327"/>
      <c r="Q736" s="327"/>
      <c r="R736" s="328"/>
      <c r="S736" s="327"/>
      <c r="T736" s="327"/>
      <c r="U736" s="327"/>
      <c r="V736" s="327"/>
      <c r="W736" s="327"/>
      <c r="X736" s="327"/>
    </row>
    <row r="737" spans="1:24" s="279" customFormat="1">
      <c r="A737" s="326"/>
      <c r="B737" s="328"/>
      <c r="C737" s="328"/>
      <c r="D737" s="328"/>
      <c r="E737" s="328"/>
      <c r="F737" s="327"/>
      <c r="G737" s="327"/>
      <c r="H737" s="327"/>
      <c r="I737" s="327"/>
      <c r="J737" s="327"/>
      <c r="K737" s="327"/>
      <c r="L737" s="327"/>
      <c r="M737" s="327"/>
      <c r="N737" s="327"/>
      <c r="O737" s="327"/>
      <c r="P737" s="327"/>
      <c r="Q737" s="327"/>
      <c r="R737" s="328"/>
      <c r="S737" s="327"/>
      <c r="T737" s="327"/>
      <c r="U737" s="327"/>
      <c r="V737" s="327"/>
      <c r="W737" s="327"/>
      <c r="X737" s="327"/>
    </row>
    <row r="738" spans="1:24" s="279" customFormat="1">
      <c r="A738" s="326"/>
      <c r="B738" s="328"/>
      <c r="C738" s="328"/>
      <c r="D738" s="328"/>
      <c r="E738" s="328"/>
      <c r="F738" s="327"/>
      <c r="G738" s="327"/>
      <c r="H738" s="327"/>
      <c r="I738" s="327"/>
      <c r="J738" s="327"/>
      <c r="K738" s="327"/>
      <c r="L738" s="327"/>
      <c r="M738" s="327"/>
      <c r="N738" s="327"/>
      <c r="O738" s="327"/>
      <c r="P738" s="327"/>
      <c r="Q738" s="327"/>
      <c r="R738" s="328"/>
      <c r="S738" s="327"/>
      <c r="T738" s="327"/>
      <c r="U738" s="327"/>
      <c r="V738" s="327"/>
      <c r="W738" s="327"/>
      <c r="X738" s="327"/>
    </row>
    <row r="739" spans="1:24" s="279" customFormat="1">
      <c r="A739" s="326"/>
      <c r="B739" s="328"/>
      <c r="C739" s="328"/>
      <c r="D739" s="328"/>
      <c r="E739" s="328"/>
      <c r="F739" s="327"/>
      <c r="G739" s="327"/>
      <c r="H739" s="327"/>
      <c r="I739" s="327"/>
      <c r="J739" s="327"/>
      <c r="K739" s="327"/>
      <c r="L739" s="327"/>
      <c r="M739" s="327"/>
      <c r="N739" s="327"/>
      <c r="O739" s="327"/>
      <c r="P739" s="327"/>
      <c r="Q739" s="327"/>
      <c r="R739" s="328"/>
      <c r="S739" s="327"/>
      <c r="T739" s="327"/>
      <c r="U739" s="327"/>
      <c r="V739" s="327"/>
      <c r="W739" s="327"/>
      <c r="X739" s="327"/>
    </row>
    <row r="740" spans="1:24" s="279" customFormat="1">
      <c r="A740" s="326"/>
      <c r="B740" s="328"/>
      <c r="C740" s="328"/>
      <c r="D740" s="328"/>
      <c r="E740" s="328"/>
      <c r="F740" s="327"/>
      <c r="G740" s="327"/>
      <c r="H740" s="327"/>
      <c r="I740" s="327"/>
      <c r="J740" s="327"/>
      <c r="K740" s="327"/>
      <c r="L740" s="327"/>
      <c r="M740" s="327"/>
      <c r="N740" s="327"/>
      <c r="O740" s="327"/>
      <c r="P740" s="327"/>
      <c r="Q740" s="327"/>
      <c r="R740" s="328"/>
      <c r="S740" s="327"/>
      <c r="T740" s="327"/>
      <c r="U740" s="327"/>
      <c r="V740" s="327"/>
      <c r="W740" s="327"/>
      <c r="X740" s="327"/>
    </row>
    <row r="741" spans="1:24" s="279" customFormat="1">
      <c r="A741" s="326"/>
      <c r="B741" s="328"/>
      <c r="C741" s="328"/>
      <c r="D741" s="328"/>
      <c r="E741" s="328"/>
      <c r="F741" s="327"/>
      <c r="G741" s="327"/>
      <c r="H741" s="327"/>
      <c r="I741" s="327"/>
      <c r="J741" s="327"/>
      <c r="K741" s="327"/>
      <c r="L741" s="327"/>
      <c r="M741" s="327"/>
      <c r="N741" s="327"/>
      <c r="O741" s="327"/>
      <c r="P741" s="327"/>
      <c r="Q741" s="327"/>
      <c r="R741" s="328"/>
      <c r="S741" s="327"/>
      <c r="T741" s="327"/>
      <c r="U741" s="327"/>
      <c r="V741" s="327"/>
      <c r="W741" s="327"/>
      <c r="X741" s="327"/>
    </row>
    <row r="742" spans="1:24" s="279" customFormat="1">
      <c r="A742" s="326"/>
      <c r="B742" s="328"/>
      <c r="C742" s="328"/>
      <c r="D742" s="328"/>
      <c r="E742" s="328"/>
      <c r="F742" s="327"/>
      <c r="G742" s="327"/>
      <c r="H742" s="327"/>
      <c r="I742" s="327"/>
      <c r="J742" s="327"/>
      <c r="K742" s="327"/>
      <c r="L742" s="327"/>
      <c r="M742" s="327"/>
      <c r="N742" s="327"/>
      <c r="O742" s="327"/>
      <c r="P742" s="327"/>
      <c r="Q742" s="327"/>
      <c r="R742" s="328"/>
      <c r="S742" s="327"/>
      <c r="T742" s="327"/>
      <c r="U742" s="327"/>
      <c r="V742" s="327"/>
      <c r="W742" s="327"/>
      <c r="X742" s="327"/>
    </row>
    <row r="743" spans="1:24" s="279" customFormat="1">
      <c r="A743" s="326"/>
      <c r="B743" s="328"/>
      <c r="C743" s="328"/>
      <c r="D743" s="328"/>
      <c r="E743" s="328"/>
      <c r="F743" s="327"/>
      <c r="G743" s="327"/>
      <c r="H743" s="327"/>
      <c r="I743" s="327"/>
      <c r="J743" s="327"/>
      <c r="K743" s="327"/>
      <c r="L743" s="327"/>
      <c r="M743" s="327"/>
      <c r="N743" s="327"/>
      <c r="O743" s="327"/>
      <c r="P743" s="327"/>
      <c r="Q743" s="327"/>
      <c r="R743" s="328"/>
      <c r="S743" s="327"/>
      <c r="T743" s="327"/>
      <c r="U743" s="327"/>
      <c r="V743" s="327"/>
      <c r="W743" s="327"/>
      <c r="X743" s="327"/>
    </row>
    <row r="744" spans="1:24" s="279" customFormat="1">
      <c r="A744" s="326"/>
      <c r="B744" s="328"/>
      <c r="C744" s="328"/>
      <c r="D744" s="328"/>
      <c r="E744" s="328"/>
      <c r="F744" s="327"/>
      <c r="G744" s="327"/>
      <c r="H744" s="327"/>
      <c r="I744" s="327"/>
      <c r="J744" s="327"/>
      <c r="K744" s="327"/>
      <c r="L744" s="327"/>
      <c r="M744" s="327"/>
      <c r="N744" s="327"/>
      <c r="O744" s="327"/>
      <c r="P744" s="327"/>
      <c r="Q744" s="327"/>
      <c r="R744" s="328"/>
      <c r="S744" s="327"/>
      <c r="T744" s="327"/>
      <c r="U744" s="327"/>
      <c r="V744" s="327"/>
      <c r="W744" s="327"/>
      <c r="X744" s="327"/>
    </row>
    <row r="745" spans="1:24" s="279" customFormat="1">
      <c r="A745" s="326"/>
      <c r="B745" s="328"/>
      <c r="C745" s="328"/>
      <c r="D745" s="328"/>
      <c r="E745" s="328"/>
      <c r="F745" s="327"/>
      <c r="G745" s="327"/>
      <c r="H745" s="327"/>
      <c r="I745" s="327"/>
      <c r="J745" s="327"/>
      <c r="K745" s="327"/>
      <c r="L745" s="327"/>
      <c r="M745" s="327"/>
      <c r="N745" s="327"/>
      <c r="O745" s="327"/>
      <c r="P745" s="327"/>
      <c r="Q745" s="327"/>
      <c r="R745" s="328"/>
      <c r="S745" s="327"/>
      <c r="T745" s="327"/>
      <c r="U745" s="327"/>
      <c r="V745" s="327"/>
      <c r="W745" s="327"/>
      <c r="X745" s="327"/>
    </row>
    <row r="746" spans="1:24" s="279" customFormat="1">
      <c r="A746" s="326"/>
      <c r="B746" s="328"/>
      <c r="C746" s="328"/>
      <c r="D746" s="328"/>
      <c r="E746" s="328"/>
      <c r="F746" s="327"/>
      <c r="G746" s="327"/>
      <c r="H746" s="327"/>
      <c r="I746" s="327"/>
      <c r="J746" s="327"/>
      <c r="K746" s="327"/>
      <c r="L746" s="327"/>
      <c r="M746" s="327"/>
      <c r="N746" s="327"/>
      <c r="O746" s="327"/>
      <c r="P746" s="327"/>
      <c r="Q746" s="327"/>
      <c r="R746" s="328"/>
      <c r="S746" s="327"/>
      <c r="T746" s="327"/>
      <c r="U746" s="327"/>
      <c r="V746" s="327"/>
      <c r="W746" s="327"/>
      <c r="X746" s="327"/>
    </row>
    <row r="747" spans="1:24" s="279" customFormat="1">
      <c r="A747" s="326"/>
      <c r="B747" s="328"/>
      <c r="C747" s="328"/>
      <c r="D747" s="328"/>
      <c r="E747" s="328"/>
      <c r="F747" s="327"/>
      <c r="G747" s="327"/>
      <c r="H747" s="327"/>
      <c r="I747" s="327"/>
      <c r="J747" s="327"/>
      <c r="K747" s="327"/>
      <c r="L747" s="327"/>
      <c r="M747" s="327"/>
      <c r="N747" s="327"/>
      <c r="O747" s="327"/>
      <c r="P747" s="327"/>
      <c r="Q747" s="327"/>
      <c r="R747" s="328"/>
      <c r="S747" s="327"/>
      <c r="T747" s="327"/>
      <c r="U747" s="327"/>
      <c r="V747" s="327"/>
      <c r="W747" s="327"/>
      <c r="X747" s="327"/>
    </row>
    <row r="748" spans="1:24" s="279" customFormat="1">
      <c r="A748" s="326"/>
      <c r="B748" s="328"/>
      <c r="C748" s="328"/>
      <c r="D748" s="328"/>
      <c r="E748" s="328"/>
      <c r="F748" s="327"/>
      <c r="G748" s="327"/>
      <c r="H748" s="327"/>
      <c r="I748" s="327"/>
      <c r="J748" s="327"/>
      <c r="K748" s="327"/>
      <c r="L748" s="327"/>
      <c r="M748" s="327"/>
      <c r="N748" s="327"/>
      <c r="O748" s="327"/>
      <c r="P748" s="327"/>
      <c r="Q748" s="327"/>
      <c r="R748" s="328"/>
      <c r="S748" s="327"/>
      <c r="T748" s="327"/>
      <c r="U748" s="327"/>
      <c r="V748" s="327"/>
      <c r="W748" s="327"/>
      <c r="X748" s="327"/>
    </row>
    <row r="749" spans="1:24" s="279" customFormat="1">
      <c r="A749" s="326"/>
      <c r="B749" s="328"/>
      <c r="C749" s="328"/>
      <c r="D749" s="328"/>
      <c r="E749" s="328"/>
      <c r="F749" s="327"/>
      <c r="G749" s="327"/>
      <c r="H749" s="327"/>
      <c r="I749" s="327"/>
      <c r="J749" s="327"/>
      <c r="K749" s="327"/>
      <c r="L749" s="327"/>
      <c r="M749" s="327"/>
      <c r="N749" s="327"/>
      <c r="O749" s="327"/>
      <c r="P749" s="327"/>
      <c r="Q749" s="327"/>
      <c r="R749" s="328"/>
      <c r="S749" s="327"/>
      <c r="T749" s="327"/>
      <c r="U749" s="327"/>
      <c r="V749" s="327"/>
      <c r="W749" s="327"/>
      <c r="X749" s="327"/>
    </row>
    <row r="750" spans="1:24" s="279" customFormat="1">
      <c r="A750" s="326"/>
      <c r="B750" s="328"/>
      <c r="C750" s="328"/>
      <c r="D750" s="328"/>
      <c r="E750" s="328"/>
      <c r="F750" s="327"/>
      <c r="G750" s="327"/>
      <c r="H750" s="327"/>
      <c r="I750" s="327"/>
      <c r="J750" s="327"/>
      <c r="K750" s="327"/>
      <c r="L750" s="327"/>
      <c r="M750" s="327"/>
      <c r="N750" s="327"/>
      <c r="O750" s="327"/>
      <c r="P750" s="327"/>
      <c r="Q750" s="327"/>
      <c r="R750" s="328"/>
      <c r="S750" s="327"/>
      <c r="T750" s="327"/>
      <c r="U750" s="327"/>
      <c r="V750" s="327"/>
      <c r="W750" s="327"/>
      <c r="X750" s="327"/>
    </row>
    <row r="751" spans="1:24" s="279" customFormat="1">
      <c r="A751" s="326"/>
      <c r="B751" s="328"/>
      <c r="C751" s="328"/>
      <c r="D751" s="328"/>
      <c r="E751" s="328"/>
      <c r="F751" s="327"/>
      <c r="G751" s="327"/>
      <c r="H751" s="327"/>
      <c r="I751" s="327"/>
      <c r="J751" s="327"/>
      <c r="K751" s="327"/>
      <c r="L751" s="327"/>
      <c r="M751" s="327"/>
      <c r="N751" s="327"/>
      <c r="O751" s="327"/>
      <c r="P751" s="327"/>
      <c r="Q751" s="327"/>
      <c r="R751" s="328"/>
      <c r="S751" s="327"/>
      <c r="T751" s="327"/>
      <c r="U751" s="327"/>
      <c r="V751" s="327"/>
      <c r="W751" s="327"/>
      <c r="X751" s="327"/>
    </row>
    <row r="752" spans="1:24" s="279" customFormat="1">
      <c r="A752" s="326"/>
      <c r="B752" s="328"/>
      <c r="C752" s="328"/>
      <c r="D752" s="328"/>
      <c r="E752" s="328"/>
      <c r="F752" s="327"/>
      <c r="G752" s="327"/>
      <c r="H752" s="327"/>
      <c r="I752" s="327"/>
      <c r="J752" s="327"/>
      <c r="K752" s="327"/>
      <c r="L752" s="327"/>
      <c r="M752" s="327"/>
      <c r="N752" s="327"/>
      <c r="O752" s="327"/>
      <c r="P752" s="327"/>
      <c r="Q752" s="327"/>
      <c r="R752" s="328"/>
      <c r="S752" s="327"/>
      <c r="T752" s="327"/>
      <c r="U752" s="327"/>
      <c r="V752" s="327"/>
      <c r="W752" s="327"/>
      <c r="X752" s="327"/>
    </row>
    <row r="753" spans="1:24" s="279" customFormat="1">
      <c r="A753" s="326"/>
      <c r="B753" s="328"/>
      <c r="C753" s="328"/>
      <c r="D753" s="328"/>
      <c r="E753" s="328"/>
      <c r="F753" s="327"/>
      <c r="G753" s="327"/>
      <c r="H753" s="327"/>
      <c r="I753" s="327"/>
      <c r="J753" s="327"/>
      <c r="K753" s="327"/>
      <c r="L753" s="327"/>
      <c r="M753" s="327"/>
      <c r="N753" s="327"/>
      <c r="O753" s="327"/>
      <c r="P753" s="327"/>
      <c r="Q753" s="327"/>
      <c r="R753" s="328"/>
      <c r="S753" s="327"/>
      <c r="T753" s="327"/>
      <c r="U753" s="327"/>
      <c r="V753" s="327"/>
      <c r="W753" s="327"/>
      <c r="X753" s="327"/>
    </row>
    <row r="754" spans="1:24" s="279" customFormat="1">
      <c r="A754" s="326"/>
      <c r="B754" s="328"/>
      <c r="C754" s="328"/>
      <c r="D754" s="328"/>
      <c r="E754" s="328"/>
      <c r="F754" s="327"/>
      <c r="G754" s="327"/>
      <c r="H754" s="327"/>
      <c r="I754" s="327"/>
      <c r="J754" s="327"/>
      <c r="K754" s="327"/>
      <c r="L754" s="327"/>
      <c r="M754" s="327"/>
      <c r="N754" s="327"/>
      <c r="O754" s="327"/>
      <c r="P754" s="327"/>
      <c r="Q754" s="327"/>
      <c r="R754" s="328"/>
      <c r="S754" s="327"/>
      <c r="T754" s="327"/>
      <c r="U754" s="327"/>
      <c r="V754" s="327"/>
      <c r="W754" s="327"/>
      <c r="X754" s="327"/>
    </row>
    <row r="755" spans="1:24" s="279" customFormat="1">
      <c r="A755" s="326"/>
      <c r="B755" s="328"/>
      <c r="C755" s="328"/>
      <c r="D755" s="328"/>
      <c r="E755" s="328"/>
      <c r="F755" s="327"/>
      <c r="G755" s="327"/>
      <c r="H755" s="327"/>
      <c r="I755" s="327"/>
      <c r="J755" s="327"/>
      <c r="K755" s="327"/>
      <c r="L755" s="327"/>
      <c r="M755" s="327"/>
      <c r="N755" s="327"/>
      <c r="O755" s="327"/>
      <c r="P755" s="327"/>
      <c r="Q755" s="327"/>
      <c r="R755" s="328"/>
      <c r="S755" s="327"/>
      <c r="T755" s="327"/>
      <c r="U755" s="327"/>
      <c r="V755" s="327"/>
      <c r="W755" s="327"/>
      <c r="X755" s="327"/>
    </row>
    <row r="756" spans="1:24" s="279" customFormat="1">
      <c r="A756" s="326"/>
      <c r="B756" s="328"/>
      <c r="C756" s="328"/>
      <c r="D756" s="328"/>
      <c r="E756" s="328"/>
      <c r="F756" s="327"/>
      <c r="G756" s="327"/>
      <c r="H756" s="327"/>
      <c r="I756" s="327"/>
      <c r="J756" s="327"/>
      <c r="K756" s="327"/>
      <c r="L756" s="327"/>
      <c r="M756" s="327"/>
      <c r="N756" s="327"/>
      <c r="O756" s="327"/>
      <c r="P756" s="327"/>
      <c r="Q756" s="327"/>
      <c r="R756" s="328"/>
      <c r="S756" s="327"/>
      <c r="T756" s="327"/>
      <c r="U756" s="327"/>
      <c r="V756" s="327"/>
      <c r="W756" s="327"/>
      <c r="X756" s="327"/>
    </row>
    <row r="757" spans="1:24" s="279" customFormat="1">
      <c r="A757" s="326"/>
      <c r="B757" s="328"/>
      <c r="C757" s="328"/>
      <c r="D757" s="328"/>
      <c r="E757" s="328"/>
      <c r="F757" s="327"/>
      <c r="G757" s="327"/>
      <c r="H757" s="327"/>
      <c r="I757" s="327"/>
      <c r="J757" s="327"/>
      <c r="K757" s="327"/>
      <c r="L757" s="327"/>
      <c r="M757" s="327"/>
      <c r="N757" s="327"/>
      <c r="O757" s="327"/>
      <c r="P757" s="327"/>
      <c r="Q757" s="327"/>
      <c r="R757" s="328"/>
      <c r="S757" s="327"/>
      <c r="T757" s="327"/>
      <c r="U757" s="327"/>
      <c r="V757" s="327"/>
      <c r="W757" s="327"/>
      <c r="X757" s="327"/>
    </row>
    <row r="758" spans="1:24" s="279" customFormat="1">
      <c r="A758" s="326"/>
      <c r="B758" s="328"/>
      <c r="C758" s="328"/>
      <c r="D758" s="328"/>
      <c r="E758" s="328"/>
      <c r="F758" s="327"/>
      <c r="G758" s="327"/>
      <c r="H758" s="327"/>
      <c r="I758" s="327"/>
      <c r="J758" s="327"/>
      <c r="K758" s="327"/>
      <c r="L758" s="327"/>
      <c r="M758" s="327"/>
      <c r="N758" s="327"/>
      <c r="O758" s="327"/>
      <c r="P758" s="327"/>
      <c r="Q758" s="327"/>
      <c r="R758" s="328"/>
      <c r="S758" s="327"/>
      <c r="T758" s="327"/>
      <c r="U758" s="327"/>
      <c r="V758" s="327"/>
      <c r="W758" s="327"/>
      <c r="X758" s="327"/>
    </row>
    <row r="759" spans="1:24" s="279" customFormat="1">
      <c r="A759" s="326"/>
      <c r="B759" s="328"/>
      <c r="C759" s="328"/>
      <c r="D759" s="328"/>
      <c r="E759" s="328"/>
      <c r="F759" s="327"/>
      <c r="G759" s="327"/>
      <c r="H759" s="327"/>
      <c r="I759" s="327"/>
      <c r="J759" s="327"/>
      <c r="K759" s="327"/>
      <c r="L759" s="327"/>
      <c r="M759" s="327"/>
      <c r="N759" s="327"/>
      <c r="O759" s="327"/>
      <c r="P759" s="327"/>
      <c r="Q759" s="327"/>
      <c r="R759" s="328"/>
      <c r="S759" s="327"/>
      <c r="T759" s="327"/>
      <c r="U759" s="327"/>
      <c r="V759" s="327"/>
      <c r="W759" s="327"/>
      <c r="X759" s="327"/>
    </row>
    <row r="760" spans="1:24" s="279" customFormat="1">
      <c r="A760" s="326"/>
      <c r="B760" s="328"/>
      <c r="C760" s="328"/>
      <c r="D760" s="328"/>
      <c r="E760" s="328"/>
      <c r="F760" s="327"/>
      <c r="G760" s="327"/>
      <c r="H760" s="327"/>
      <c r="I760" s="327"/>
      <c r="J760" s="327"/>
      <c r="K760" s="327"/>
      <c r="L760" s="327"/>
      <c r="M760" s="327"/>
      <c r="N760" s="327"/>
      <c r="O760" s="327"/>
      <c r="P760" s="327"/>
      <c r="Q760" s="327"/>
      <c r="R760" s="328"/>
      <c r="S760" s="327"/>
      <c r="T760" s="327"/>
      <c r="U760" s="327"/>
      <c r="V760" s="327"/>
      <c r="W760" s="327"/>
      <c r="X760" s="327"/>
    </row>
    <row r="761" spans="1:24" s="279" customFormat="1">
      <c r="A761" s="326"/>
      <c r="B761" s="328"/>
      <c r="C761" s="328"/>
      <c r="D761" s="328"/>
      <c r="E761" s="328"/>
      <c r="F761" s="327"/>
      <c r="G761" s="327"/>
      <c r="H761" s="327"/>
      <c r="I761" s="327"/>
      <c r="J761" s="327"/>
      <c r="K761" s="327"/>
      <c r="L761" s="327"/>
      <c r="M761" s="327"/>
      <c r="N761" s="327"/>
      <c r="O761" s="327"/>
      <c r="P761" s="327"/>
      <c r="Q761" s="327"/>
      <c r="R761" s="328"/>
      <c r="S761" s="327"/>
      <c r="T761" s="327"/>
      <c r="U761" s="327"/>
      <c r="V761" s="327"/>
      <c r="W761" s="327"/>
      <c r="X761" s="327"/>
    </row>
    <row r="762" spans="1:24" s="279" customFormat="1">
      <c r="A762" s="326"/>
      <c r="B762" s="328"/>
      <c r="C762" s="328"/>
      <c r="D762" s="328"/>
      <c r="E762" s="328"/>
      <c r="F762" s="327"/>
      <c r="G762" s="327"/>
      <c r="H762" s="327"/>
      <c r="I762" s="327"/>
      <c r="J762" s="327"/>
      <c r="K762" s="327"/>
      <c r="L762" s="327"/>
      <c r="M762" s="327"/>
      <c r="N762" s="327"/>
      <c r="O762" s="327"/>
      <c r="P762" s="327"/>
      <c r="Q762" s="327"/>
      <c r="R762" s="328"/>
      <c r="S762" s="327"/>
      <c r="T762" s="327"/>
      <c r="U762" s="327"/>
      <c r="V762" s="327"/>
      <c r="W762" s="327"/>
      <c r="X762" s="327"/>
    </row>
    <row r="763" spans="1:24" s="279" customFormat="1">
      <c r="A763" s="326"/>
      <c r="B763" s="328"/>
      <c r="C763" s="328"/>
      <c r="D763" s="328"/>
      <c r="E763" s="328"/>
      <c r="F763" s="327"/>
      <c r="G763" s="327"/>
      <c r="H763" s="327"/>
      <c r="I763" s="327"/>
      <c r="J763" s="327"/>
      <c r="K763" s="327"/>
      <c r="L763" s="327"/>
      <c r="M763" s="327"/>
      <c r="N763" s="327"/>
      <c r="O763" s="327"/>
      <c r="P763" s="327"/>
      <c r="Q763" s="327"/>
      <c r="R763" s="328"/>
      <c r="S763" s="327"/>
      <c r="T763" s="327"/>
      <c r="U763" s="327"/>
      <c r="V763" s="327"/>
      <c r="W763" s="327"/>
      <c r="X763" s="327"/>
    </row>
    <row r="764" spans="1:24" s="279" customFormat="1">
      <c r="A764" s="326"/>
      <c r="B764" s="328"/>
      <c r="C764" s="328"/>
      <c r="D764" s="328"/>
      <c r="E764" s="328"/>
      <c r="F764" s="327"/>
      <c r="G764" s="327"/>
      <c r="H764" s="327"/>
      <c r="I764" s="327"/>
      <c r="J764" s="327"/>
      <c r="K764" s="327"/>
      <c r="L764" s="327"/>
      <c r="M764" s="327"/>
      <c r="N764" s="327"/>
      <c r="O764" s="327"/>
      <c r="P764" s="327"/>
      <c r="Q764" s="327"/>
      <c r="R764" s="328"/>
      <c r="S764" s="327"/>
      <c r="T764" s="327"/>
      <c r="U764" s="327"/>
      <c r="V764" s="327"/>
      <c r="W764" s="327"/>
      <c r="X764" s="327"/>
    </row>
    <row r="765" spans="1:24" s="279" customFormat="1">
      <c r="A765" s="326"/>
      <c r="B765" s="328"/>
      <c r="C765" s="328"/>
      <c r="D765" s="328"/>
      <c r="E765" s="328"/>
      <c r="F765" s="327"/>
      <c r="G765" s="327"/>
      <c r="H765" s="327"/>
      <c r="I765" s="327"/>
      <c r="J765" s="327"/>
      <c r="K765" s="327"/>
      <c r="L765" s="327"/>
      <c r="M765" s="327"/>
      <c r="N765" s="327"/>
      <c r="O765" s="327"/>
      <c r="P765" s="327"/>
      <c r="Q765" s="327"/>
      <c r="R765" s="328"/>
      <c r="S765" s="327"/>
      <c r="T765" s="327"/>
      <c r="U765" s="327"/>
      <c r="V765" s="327"/>
      <c r="W765" s="327"/>
      <c r="X765" s="327"/>
    </row>
    <row r="766" spans="1:24" s="279" customFormat="1">
      <c r="A766" s="326"/>
      <c r="B766" s="328"/>
      <c r="C766" s="328"/>
      <c r="D766" s="328"/>
      <c r="E766" s="328"/>
      <c r="F766" s="327"/>
      <c r="G766" s="327"/>
      <c r="H766" s="327"/>
      <c r="I766" s="327"/>
      <c r="J766" s="327"/>
      <c r="K766" s="327"/>
      <c r="L766" s="327"/>
      <c r="M766" s="327"/>
      <c r="N766" s="327"/>
      <c r="O766" s="327"/>
      <c r="P766" s="327"/>
      <c r="Q766" s="327"/>
      <c r="R766" s="328"/>
      <c r="S766" s="327"/>
      <c r="T766" s="327"/>
      <c r="U766" s="327"/>
      <c r="V766" s="327"/>
      <c r="W766" s="327"/>
      <c r="X766" s="327"/>
    </row>
    <row r="767" spans="1:24" s="279" customFormat="1">
      <c r="A767" s="326"/>
      <c r="B767" s="328"/>
      <c r="C767" s="328"/>
      <c r="D767" s="328"/>
      <c r="E767" s="328"/>
      <c r="F767" s="327"/>
      <c r="G767" s="327"/>
      <c r="H767" s="327"/>
      <c r="I767" s="327"/>
      <c r="J767" s="327"/>
      <c r="K767" s="327"/>
      <c r="L767" s="327"/>
      <c r="M767" s="327"/>
      <c r="N767" s="327"/>
      <c r="O767" s="327"/>
      <c r="P767" s="327"/>
      <c r="Q767" s="327"/>
      <c r="R767" s="328"/>
      <c r="S767" s="327"/>
      <c r="T767" s="327"/>
      <c r="U767" s="327"/>
      <c r="V767" s="327"/>
      <c r="W767" s="327"/>
      <c r="X767" s="327"/>
    </row>
    <row r="768" spans="1:24" s="279" customFormat="1">
      <c r="A768" s="326"/>
      <c r="B768" s="328"/>
      <c r="C768" s="328"/>
      <c r="D768" s="328"/>
      <c r="E768" s="328"/>
      <c r="F768" s="327"/>
      <c r="G768" s="327"/>
      <c r="H768" s="327"/>
      <c r="I768" s="327"/>
      <c r="J768" s="327"/>
      <c r="K768" s="327"/>
      <c r="L768" s="327"/>
      <c r="M768" s="327"/>
      <c r="N768" s="327"/>
      <c r="O768" s="327"/>
      <c r="P768" s="327"/>
      <c r="Q768" s="327"/>
      <c r="R768" s="328"/>
      <c r="S768" s="327"/>
      <c r="T768" s="327"/>
      <c r="U768" s="327"/>
      <c r="V768" s="327"/>
      <c r="W768" s="327"/>
      <c r="X768" s="327"/>
    </row>
    <row r="769" spans="1:24" s="279" customFormat="1">
      <c r="A769" s="326"/>
      <c r="B769" s="328"/>
      <c r="C769" s="328"/>
      <c r="D769" s="328"/>
      <c r="E769" s="328"/>
      <c r="F769" s="327"/>
      <c r="G769" s="327"/>
      <c r="H769" s="327"/>
      <c r="I769" s="327"/>
      <c r="J769" s="327"/>
      <c r="K769" s="327"/>
      <c r="L769" s="327"/>
      <c r="M769" s="327"/>
      <c r="N769" s="327"/>
      <c r="O769" s="327"/>
      <c r="P769" s="327"/>
      <c r="Q769" s="327"/>
      <c r="R769" s="328"/>
      <c r="S769" s="327"/>
      <c r="T769" s="327"/>
      <c r="U769" s="327"/>
      <c r="V769" s="327"/>
      <c r="W769" s="327"/>
      <c r="X769" s="327"/>
    </row>
    <row r="770" spans="1:24" s="279" customFormat="1">
      <c r="A770" s="326"/>
      <c r="B770" s="328"/>
      <c r="C770" s="328"/>
      <c r="D770" s="328"/>
      <c r="E770" s="328"/>
      <c r="F770" s="327"/>
      <c r="G770" s="327"/>
      <c r="H770" s="327"/>
      <c r="I770" s="327"/>
      <c r="J770" s="327"/>
      <c r="K770" s="327"/>
      <c r="L770" s="327"/>
      <c r="M770" s="327"/>
      <c r="N770" s="327"/>
      <c r="O770" s="327"/>
      <c r="P770" s="327"/>
      <c r="Q770" s="327"/>
      <c r="R770" s="328"/>
      <c r="S770" s="327"/>
      <c r="T770" s="327"/>
      <c r="U770" s="327"/>
      <c r="V770" s="327"/>
      <c r="W770" s="327"/>
      <c r="X770" s="327"/>
    </row>
    <row r="771" spans="1:24" s="279" customFormat="1">
      <c r="A771" s="326"/>
      <c r="B771" s="328"/>
      <c r="C771" s="328"/>
      <c r="D771" s="328"/>
      <c r="E771" s="328"/>
      <c r="F771" s="327"/>
      <c r="G771" s="327"/>
      <c r="H771" s="327"/>
      <c r="I771" s="327"/>
      <c r="J771" s="327"/>
      <c r="K771" s="327"/>
      <c r="L771" s="327"/>
      <c r="M771" s="327"/>
      <c r="N771" s="327"/>
      <c r="O771" s="327"/>
      <c r="P771" s="327"/>
      <c r="Q771" s="327"/>
      <c r="R771" s="328"/>
      <c r="S771" s="327"/>
      <c r="T771" s="327"/>
      <c r="U771" s="327"/>
      <c r="V771" s="327"/>
      <c r="W771" s="327"/>
      <c r="X771" s="327"/>
    </row>
    <row r="772" spans="1:24" s="279" customFormat="1">
      <c r="A772" s="326"/>
      <c r="B772" s="328"/>
      <c r="C772" s="328"/>
      <c r="D772" s="328"/>
      <c r="E772" s="328"/>
      <c r="F772" s="327"/>
      <c r="G772" s="327"/>
      <c r="H772" s="327"/>
      <c r="I772" s="327"/>
      <c r="J772" s="327"/>
      <c r="K772" s="327"/>
      <c r="L772" s="327"/>
      <c r="M772" s="327"/>
      <c r="N772" s="327"/>
      <c r="O772" s="327"/>
      <c r="P772" s="327"/>
      <c r="Q772" s="327"/>
      <c r="R772" s="328"/>
      <c r="S772" s="327"/>
      <c r="T772" s="327"/>
      <c r="U772" s="327"/>
      <c r="V772" s="327"/>
      <c r="W772" s="327"/>
      <c r="X772" s="327"/>
    </row>
    <row r="773" spans="1:24" s="279" customFormat="1">
      <c r="A773" s="326"/>
      <c r="B773" s="328"/>
      <c r="C773" s="328"/>
      <c r="D773" s="328"/>
      <c r="E773" s="328"/>
      <c r="F773" s="327"/>
      <c r="G773" s="327"/>
      <c r="H773" s="327"/>
      <c r="I773" s="327"/>
      <c r="J773" s="327"/>
      <c r="K773" s="327"/>
      <c r="L773" s="327"/>
      <c r="M773" s="327"/>
      <c r="N773" s="327"/>
      <c r="O773" s="327"/>
      <c r="P773" s="327"/>
      <c r="Q773" s="327"/>
      <c r="R773" s="328"/>
      <c r="S773" s="327"/>
      <c r="T773" s="327"/>
      <c r="U773" s="327"/>
      <c r="V773" s="327"/>
      <c r="W773" s="327"/>
      <c r="X773" s="327"/>
    </row>
    <row r="774" spans="1:24" s="279" customFormat="1">
      <c r="A774" s="326"/>
      <c r="B774" s="328"/>
      <c r="C774" s="328"/>
      <c r="D774" s="328"/>
      <c r="E774" s="328"/>
      <c r="F774" s="327"/>
      <c r="G774" s="327"/>
      <c r="H774" s="327"/>
      <c r="I774" s="327"/>
      <c r="J774" s="327"/>
      <c r="K774" s="327"/>
      <c r="L774" s="327"/>
      <c r="M774" s="327"/>
      <c r="N774" s="327"/>
      <c r="O774" s="327"/>
      <c r="P774" s="327"/>
      <c r="Q774" s="327"/>
      <c r="R774" s="328"/>
      <c r="S774" s="327"/>
      <c r="T774" s="327"/>
      <c r="U774" s="327"/>
      <c r="V774" s="327"/>
      <c r="W774" s="327"/>
      <c r="X774" s="327"/>
    </row>
    <row r="775" spans="1:24" s="279" customFormat="1">
      <c r="A775" s="326"/>
      <c r="B775" s="328"/>
      <c r="C775" s="328"/>
      <c r="D775" s="328"/>
      <c r="E775" s="328"/>
      <c r="F775" s="327"/>
      <c r="G775" s="327"/>
      <c r="H775" s="327"/>
      <c r="I775" s="327"/>
      <c r="J775" s="327"/>
      <c r="K775" s="327"/>
      <c r="L775" s="327"/>
      <c r="M775" s="327"/>
      <c r="N775" s="327"/>
      <c r="O775" s="327"/>
      <c r="P775" s="327"/>
      <c r="Q775" s="327"/>
      <c r="R775" s="328"/>
      <c r="S775" s="327"/>
      <c r="T775" s="327"/>
      <c r="U775" s="327"/>
      <c r="V775" s="327"/>
      <c r="W775" s="327"/>
      <c r="X775" s="327"/>
    </row>
    <row r="776" spans="1:24" s="279" customFormat="1">
      <c r="A776" s="326"/>
      <c r="B776" s="328"/>
      <c r="C776" s="328"/>
      <c r="D776" s="328"/>
      <c r="E776" s="328"/>
      <c r="F776" s="327"/>
      <c r="G776" s="327"/>
      <c r="H776" s="327"/>
      <c r="I776" s="327"/>
      <c r="J776" s="327"/>
      <c r="K776" s="327"/>
      <c r="L776" s="327"/>
      <c r="M776" s="327"/>
      <c r="N776" s="327"/>
      <c r="O776" s="327"/>
      <c r="P776" s="327"/>
      <c r="Q776" s="327"/>
      <c r="R776" s="328"/>
      <c r="S776" s="327"/>
      <c r="T776" s="327"/>
      <c r="U776" s="327"/>
      <c r="V776" s="327"/>
      <c r="W776" s="327"/>
      <c r="X776" s="327"/>
    </row>
    <row r="777" spans="1:24" s="279" customFormat="1">
      <c r="A777" s="326"/>
      <c r="B777" s="328"/>
      <c r="C777" s="328"/>
      <c r="D777" s="328"/>
      <c r="E777" s="328"/>
      <c r="F777" s="327"/>
      <c r="G777" s="327"/>
      <c r="H777" s="327"/>
      <c r="I777" s="327"/>
      <c r="J777" s="327"/>
      <c r="K777" s="327"/>
      <c r="L777" s="327"/>
      <c r="M777" s="327"/>
      <c r="N777" s="327"/>
      <c r="O777" s="327"/>
      <c r="P777" s="327"/>
      <c r="Q777" s="327"/>
      <c r="R777" s="328"/>
      <c r="S777" s="327"/>
      <c r="T777" s="327"/>
      <c r="U777" s="327"/>
      <c r="V777" s="327"/>
      <c r="W777" s="327"/>
      <c r="X777" s="327"/>
    </row>
    <row r="778" spans="1:24" s="279" customFormat="1">
      <c r="A778" s="326"/>
      <c r="B778" s="328"/>
      <c r="C778" s="328"/>
      <c r="D778" s="328"/>
      <c r="E778" s="328"/>
      <c r="F778" s="327"/>
      <c r="G778" s="327"/>
      <c r="H778" s="327"/>
      <c r="I778" s="327"/>
      <c r="J778" s="327"/>
      <c r="K778" s="327"/>
      <c r="L778" s="327"/>
      <c r="M778" s="327"/>
      <c r="N778" s="327"/>
      <c r="O778" s="327"/>
      <c r="P778" s="327"/>
      <c r="Q778" s="327"/>
      <c r="R778" s="328"/>
      <c r="S778" s="327"/>
      <c r="T778" s="327"/>
      <c r="U778" s="327"/>
      <c r="V778" s="327"/>
      <c r="W778" s="327"/>
      <c r="X778" s="327"/>
    </row>
    <row r="779" spans="1:24" s="279" customFormat="1">
      <c r="A779" s="326"/>
      <c r="B779" s="328"/>
      <c r="C779" s="328"/>
      <c r="D779" s="328"/>
      <c r="E779" s="328"/>
      <c r="F779" s="327"/>
      <c r="G779" s="327"/>
      <c r="H779" s="327"/>
      <c r="I779" s="327"/>
      <c r="J779" s="327"/>
      <c r="K779" s="327"/>
      <c r="L779" s="327"/>
      <c r="M779" s="327"/>
      <c r="N779" s="327"/>
      <c r="O779" s="327"/>
      <c r="P779" s="327"/>
      <c r="Q779" s="327"/>
      <c r="R779" s="328"/>
      <c r="S779" s="327"/>
      <c r="T779" s="327"/>
      <c r="U779" s="327"/>
      <c r="V779" s="327"/>
      <c r="W779" s="327"/>
      <c r="X779" s="327"/>
    </row>
    <row r="780" spans="1:24" s="279" customFormat="1">
      <c r="A780" s="326"/>
      <c r="B780" s="328"/>
      <c r="C780" s="328"/>
      <c r="D780" s="328"/>
      <c r="E780" s="328"/>
      <c r="F780" s="327"/>
      <c r="G780" s="327"/>
      <c r="H780" s="327"/>
      <c r="I780" s="327"/>
      <c r="J780" s="327"/>
      <c r="K780" s="327"/>
      <c r="L780" s="327"/>
      <c r="M780" s="327"/>
      <c r="N780" s="327"/>
      <c r="O780" s="327"/>
      <c r="P780" s="327"/>
      <c r="Q780" s="327"/>
      <c r="R780" s="328"/>
      <c r="S780" s="327"/>
      <c r="T780" s="327"/>
      <c r="U780" s="327"/>
      <c r="V780" s="327"/>
      <c r="W780" s="327"/>
      <c r="X780" s="327"/>
    </row>
    <row r="781" spans="1:24" s="279" customFormat="1">
      <c r="A781" s="326"/>
      <c r="B781" s="328"/>
      <c r="C781" s="328"/>
      <c r="D781" s="328"/>
      <c r="E781" s="328"/>
      <c r="F781" s="327"/>
      <c r="G781" s="327"/>
      <c r="H781" s="327"/>
      <c r="I781" s="327"/>
      <c r="J781" s="327"/>
      <c r="K781" s="327"/>
      <c r="L781" s="327"/>
      <c r="M781" s="327"/>
      <c r="N781" s="327"/>
      <c r="O781" s="327"/>
      <c r="P781" s="327"/>
      <c r="Q781" s="327"/>
      <c r="R781" s="328"/>
      <c r="S781" s="327"/>
      <c r="T781" s="327"/>
      <c r="U781" s="327"/>
      <c r="V781" s="327"/>
      <c r="W781" s="327"/>
      <c r="X781" s="327"/>
    </row>
    <row r="782" spans="1:24" s="279" customFormat="1">
      <c r="A782" s="326"/>
      <c r="B782" s="328"/>
      <c r="C782" s="328"/>
      <c r="D782" s="328"/>
      <c r="E782" s="328"/>
      <c r="F782" s="327"/>
      <c r="G782" s="327"/>
      <c r="H782" s="327"/>
      <c r="I782" s="327"/>
      <c r="J782" s="327"/>
      <c r="K782" s="327"/>
      <c r="L782" s="327"/>
      <c r="M782" s="327"/>
      <c r="N782" s="327"/>
      <c r="O782" s="327"/>
      <c r="P782" s="327"/>
      <c r="Q782" s="327"/>
      <c r="R782" s="328"/>
      <c r="S782" s="327"/>
      <c r="T782" s="327"/>
      <c r="U782" s="327"/>
      <c r="V782" s="327"/>
      <c r="W782" s="327"/>
      <c r="X782" s="327"/>
    </row>
    <row r="783" spans="1:24" s="279" customFormat="1">
      <c r="A783" s="326"/>
      <c r="B783" s="328"/>
      <c r="C783" s="328"/>
      <c r="D783" s="328"/>
      <c r="E783" s="328"/>
      <c r="F783" s="327"/>
      <c r="G783" s="327"/>
      <c r="H783" s="327"/>
      <c r="I783" s="327"/>
      <c r="J783" s="327"/>
      <c r="K783" s="327"/>
      <c r="L783" s="327"/>
      <c r="M783" s="327"/>
      <c r="N783" s="327"/>
      <c r="O783" s="327"/>
      <c r="P783" s="327"/>
      <c r="Q783" s="327"/>
      <c r="R783" s="328"/>
      <c r="S783" s="327"/>
      <c r="T783" s="327"/>
      <c r="U783" s="327"/>
      <c r="V783" s="327"/>
      <c r="W783" s="327"/>
      <c r="X783" s="327"/>
    </row>
    <row r="784" spans="1:24" s="279" customFormat="1">
      <c r="A784" s="326"/>
      <c r="B784" s="328"/>
      <c r="C784" s="328"/>
      <c r="D784" s="328"/>
      <c r="E784" s="328"/>
      <c r="F784" s="327"/>
      <c r="G784" s="327"/>
      <c r="H784" s="327"/>
      <c r="I784" s="327"/>
      <c r="J784" s="327"/>
      <c r="K784" s="327"/>
      <c r="L784" s="327"/>
      <c r="M784" s="327"/>
      <c r="N784" s="327"/>
      <c r="O784" s="327"/>
      <c r="P784" s="327"/>
      <c r="Q784" s="327"/>
      <c r="R784" s="328"/>
      <c r="S784" s="327"/>
      <c r="T784" s="327"/>
      <c r="U784" s="327"/>
      <c r="V784" s="327"/>
      <c r="W784" s="327"/>
      <c r="X784" s="327"/>
    </row>
    <row r="785" spans="1:24" s="279" customFormat="1">
      <c r="A785" s="326"/>
      <c r="B785" s="328"/>
      <c r="C785" s="328"/>
      <c r="D785" s="328"/>
      <c r="E785" s="328"/>
      <c r="F785" s="327"/>
      <c r="G785" s="327"/>
      <c r="H785" s="327"/>
      <c r="I785" s="327"/>
      <c r="J785" s="327"/>
      <c r="K785" s="327"/>
      <c r="L785" s="327"/>
      <c r="M785" s="327"/>
      <c r="N785" s="327"/>
      <c r="O785" s="327"/>
      <c r="P785" s="327"/>
      <c r="Q785" s="327"/>
      <c r="R785" s="328"/>
      <c r="S785" s="327"/>
      <c r="T785" s="327"/>
      <c r="U785" s="327"/>
      <c r="V785" s="327"/>
      <c r="W785" s="327"/>
      <c r="X785" s="327"/>
    </row>
    <row r="786" spans="1:24" s="279" customFormat="1">
      <c r="A786" s="326"/>
      <c r="B786" s="328"/>
      <c r="C786" s="328"/>
      <c r="D786" s="328"/>
      <c r="E786" s="328"/>
      <c r="F786" s="327"/>
      <c r="G786" s="327"/>
      <c r="H786" s="327"/>
      <c r="I786" s="327"/>
      <c r="J786" s="327"/>
      <c r="K786" s="327"/>
      <c r="L786" s="327"/>
      <c r="M786" s="327"/>
      <c r="N786" s="327"/>
      <c r="O786" s="327"/>
      <c r="P786" s="327"/>
      <c r="Q786" s="327"/>
      <c r="R786" s="328"/>
      <c r="S786" s="327"/>
      <c r="T786" s="327"/>
      <c r="U786" s="327"/>
      <c r="V786" s="327"/>
      <c r="W786" s="327"/>
      <c r="X786" s="327"/>
    </row>
    <row r="787" spans="1:24" s="279" customFormat="1">
      <c r="A787" s="326"/>
      <c r="B787" s="328"/>
      <c r="C787" s="328"/>
      <c r="D787" s="328"/>
      <c r="E787" s="328"/>
      <c r="F787" s="327"/>
      <c r="G787" s="327"/>
      <c r="H787" s="327"/>
      <c r="I787" s="327"/>
      <c r="J787" s="327"/>
      <c r="K787" s="327"/>
      <c r="L787" s="327"/>
      <c r="M787" s="327"/>
      <c r="N787" s="327"/>
      <c r="O787" s="327"/>
      <c r="P787" s="327"/>
      <c r="Q787" s="327"/>
      <c r="R787" s="328"/>
      <c r="S787" s="327"/>
      <c r="T787" s="327"/>
      <c r="U787" s="327"/>
      <c r="V787" s="327"/>
      <c r="W787" s="327"/>
      <c r="X787" s="327"/>
    </row>
    <row r="788" spans="1:24" s="279" customFormat="1">
      <c r="A788" s="326"/>
      <c r="B788" s="328"/>
      <c r="C788" s="328"/>
      <c r="D788" s="328"/>
      <c r="E788" s="328"/>
      <c r="F788" s="327"/>
      <c r="G788" s="327"/>
      <c r="H788" s="327"/>
      <c r="I788" s="327"/>
      <c r="J788" s="327"/>
      <c r="K788" s="327"/>
      <c r="L788" s="327"/>
      <c r="M788" s="327"/>
      <c r="N788" s="327"/>
      <c r="O788" s="327"/>
      <c r="P788" s="327"/>
      <c r="Q788" s="327"/>
      <c r="R788" s="328"/>
      <c r="S788" s="327"/>
      <c r="T788" s="327"/>
      <c r="U788" s="327"/>
      <c r="V788" s="327"/>
      <c r="W788" s="327"/>
      <c r="X788" s="327"/>
    </row>
    <row r="789" spans="1:24" s="279" customFormat="1">
      <c r="A789" s="326"/>
      <c r="B789" s="328"/>
      <c r="C789" s="328"/>
      <c r="D789" s="328"/>
      <c r="E789" s="328"/>
      <c r="F789" s="327"/>
      <c r="G789" s="327"/>
      <c r="H789" s="327"/>
      <c r="I789" s="327"/>
      <c r="J789" s="327"/>
      <c r="K789" s="327"/>
      <c r="L789" s="327"/>
      <c r="M789" s="327"/>
      <c r="N789" s="327"/>
      <c r="O789" s="327"/>
      <c r="P789" s="327"/>
      <c r="Q789" s="327"/>
      <c r="R789" s="328"/>
      <c r="S789" s="327"/>
      <c r="T789" s="327"/>
      <c r="U789" s="327"/>
      <c r="V789" s="327"/>
      <c r="W789" s="327"/>
      <c r="X789" s="327"/>
    </row>
    <row r="790" spans="1:24" s="279" customFormat="1">
      <c r="A790" s="326"/>
      <c r="B790" s="328"/>
      <c r="C790" s="328"/>
      <c r="D790" s="328"/>
      <c r="E790" s="328"/>
      <c r="F790" s="327"/>
      <c r="G790" s="327"/>
      <c r="H790" s="327"/>
      <c r="I790" s="327"/>
      <c r="J790" s="327"/>
      <c r="K790" s="327"/>
      <c r="L790" s="327"/>
      <c r="M790" s="327"/>
      <c r="N790" s="327"/>
      <c r="O790" s="327"/>
      <c r="P790" s="327"/>
      <c r="Q790" s="327"/>
      <c r="R790" s="328"/>
      <c r="S790" s="327"/>
      <c r="T790" s="327"/>
      <c r="U790" s="327"/>
      <c r="V790" s="327"/>
      <c r="W790" s="327"/>
      <c r="X790" s="327"/>
    </row>
    <row r="791" spans="1:24" s="279" customFormat="1">
      <c r="A791" s="326"/>
      <c r="B791" s="328"/>
      <c r="C791" s="328"/>
      <c r="D791" s="328"/>
      <c r="E791" s="328"/>
      <c r="F791" s="327"/>
      <c r="G791" s="327"/>
      <c r="H791" s="327"/>
      <c r="I791" s="327"/>
      <c r="J791" s="327"/>
      <c r="K791" s="327"/>
      <c r="L791" s="327"/>
      <c r="M791" s="327"/>
      <c r="N791" s="327"/>
      <c r="O791" s="327"/>
      <c r="P791" s="327"/>
      <c r="Q791" s="327"/>
      <c r="R791" s="328"/>
      <c r="S791" s="327"/>
      <c r="T791" s="327"/>
      <c r="U791" s="327"/>
      <c r="V791" s="327"/>
      <c r="W791" s="327"/>
      <c r="X791" s="327"/>
    </row>
    <row r="792" spans="1:24" s="279" customFormat="1">
      <c r="A792" s="326"/>
      <c r="B792" s="328"/>
      <c r="C792" s="328"/>
      <c r="D792" s="328"/>
      <c r="E792" s="328"/>
      <c r="F792" s="327"/>
      <c r="G792" s="327"/>
      <c r="H792" s="327"/>
      <c r="I792" s="327"/>
      <c r="J792" s="327"/>
      <c r="K792" s="327"/>
      <c r="L792" s="327"/>
      <c r="M792" s="327"/>
      <c r="N792" s="327"/>
      <c r="O792" s="327"/>
      <c r="P792" s="327"/>
      <c r="Q792" s="327"/>
      <c r="R792" s="328"/>
      <c r="S792" s="327"/>
      <c r="T792" s="327"/>
      <c r="U792" s="327"/>
      <c r="V792" s="327"/>
      <c r="W792" s="327"/>
      <c r="X792" s="327"/>
    </row>
    <row r="793" spans="1:24" s="279" customFormat="1">
      <c r="A793" s="326"/>
      <c r="B793" s="328"/>
      <c r="C793" s="328"/>
      <c r="D793" s="328"/>
      <c r="E793" s="328"/>
      <c r="F793" s="327"/>
      <c r="G793" s="327"/>
      <c r="H793" s="327"/>
      <c r="I793" s="327"/>
      <c r="J793" s="327"/>
      <c r="K793" s="327"/>
      <c r="L793" s="327"/>
      <c r="M793" s="327"/>
      <c r="N793" s="327"/>
      <c r="O793" s="327"/>
      <c r="P793" s="327"/>
      <c r="Q793" s="327"/>
      <c r="R793" s="328"/>
      <c r="S793" s="327"/>
      <c r="T793" s="327"/>
      <c r="U793" s="327"/>
      <c r="V793" s="327"/>
      <c r="W793" s="327"/>
      <c r="X793" s="327"/>
    </row>
    <row r="794" spans="1:24" s="279" customFormat="1">
      <c r="A794" s="326"/>
      <c r="B794" s="328"/>
      <c r="C794" s="328"/>
      <c r="D794" s="328"/>
      <c r="E794" s="328"/>
      <c r="F794" s="327"/>
      <c r="G794" s="327"/>
      <c r="H794" s="327"/>
      <c r="I794" s="327"/>
      <c r="J794" s="327"/>
      <c r="K794" s="327"/>
      <c r="L794" s="327"/>
      <c r="M794" s="327"/>
      <c r="N794" s="327"/>
      <c r="O794" s="327"/>
      <c r="P794" s="327"/>
      <c r="Q794" s="327"/>
      <c r="R794" s="328"/>
      <c r="S794" s="327"/>
      <c r="T794" s="327"/>
      <c r="U794" s="327"/>
      <c r="V794" s="327"/>
      <c r="W794" s="327"/>
      <c r="X794" s="327"/>
    </row>
    <row r="795" spans="1:24" s="279" customFormat="1">
      <c r="A795" s="326"/>
      <c r="B795" s="328"/>
      <c r="C795" s="328"/>
      <c r="D795" s="328"/>
      <c r="E795" s="328"/>
      <c r="F795" s="327"/>
      <c r="G795" s="327"/>
      <c r="H795" s="327"/>
      <c r="I795" s="327"/>
      <c r="J795" s="327"/>
      <c r="K795" s="327"/>
      <c r="L795" s="327"/>
      <c r="M795" s="327"/>
      <c r="N795" s="327"/>
      <c r="O795" s="327"/>
      <c r="P795" s="327"/>
      <c r="Q795" s="327"/>
      <c r="R795" s="328"/>
      <c r="S795" s="327"/>
      <c r="T795" s="327"/>
      <c r="U795" s="327"/>
      <c r="V795" s="327"/>
      <c r="W795" s="327"/>
      <c r="X795" s="327"/>
    </row>
    <row r="796" spans="1:24" s="279" customFormat="1">
      <c r="A796" s="326"/>
      <c r="B796" s="328"/>
      <c r="C796" s="328"/>
      <c r="D796" s="328"/>
      <c r="E796" s="328"/>
      <c r="F796" s="327"/>
      <c r="G796" s="327"/>
      <c r="H796" s="327"/>
      <c r="I796" s="327"/>
      <c r="J796" s="327"/>
      <c r="K796" s="327"/>
      <c r="L796" s="327"/>
      <c r="M796" s="327"/>
      <c r="N796" s="327"/>
      <c r="O796" s="327"/>
      <c r="P796" s="327"/>
      <c r="Q796" s="327"/>
      <c r="R796" s="328"/>
      <c r="S796" s="327"/>
      <c r="T796" s="327"/>
      <c r="U796" s="327"/>
      <c r="V796" s="327"/>
      <c r="W796" s="327"/>
      <c r="X796" s="327"/>
    </row>
    <row r="797" spans="1:24" s="279" customFormat="1">
      <c r="A797" s="326"/>
      <c r="B797" s="328"/>
      <c r="C797" s="328"/>
      <c r="D797" s="328"/>
      <c r="E797" s="328"/>
      <c r="F797" s="327"/>
      <c r="G797" s="327"/>
      <c r="H797" s="327"/>
      <c r="I797" s="327"/>
      <c r="J797" s="327"/>
      <c r="K797" s="327"/>
      <c r="L797" s="327"/>
      <c r="M797" s="327"/>
      <c r="N797" s="327"/>
      <c r="O797" s="327"/>
      <c r="P797" s="327"/>
      <c r="Q797" s="327"/>
      <c r="R797" s="328"/>
      <c r="S797" s="327"/>
      <c r="T797" s="327"/>
      <c r="U797" s="327"/>
      <c r="V797" s="327"/>
      <c r="W797" s="327"/>
      <c r="X797" s="327"/>
    </row>
    <row r="798" spans="1:24" s="279" customFormat="1">
      <c r="A798" s="326"/>
      <c r="B798" s="328"/>
      <c r="C798" s="328"/>
      <c r="D798" s="328"/>
      <c r="E798" s="328"/>
      <c r="F798" s="327"/>
      <c r="G798" s="327"/>
      <c r="H798" s="327"/>
      <c r="I798" s="327"/>
      <c r="J798" s="327"/>
      <c r="K798" s="327"/>
      <c r="L798" s="327"/>
      <c r="M798" s="327"/>
      <c r="N798" s="327"/>
      <c r="O798" s="327"/>
      <c r="P798" s="327"/>
      <c r="Q798" s="327"/>
      <c r="R798" s="328"/>
      <c r="S798" s="327"/>
      <c r="T798" s="327"/>
      <c r="U798" s="327"/>
      <c r="V798" s="327"/>
      <c r="W798" s="327"/>
      <c r="X798" s="327"/>
    </row>
    <row r="799" spans="1:24" s="279" customFormat="1">
      <c r="A799" s="326"/>
      <c r="B799" s="328"/>
      <c r="C799" s="328"/>
      <c r="D799" s="328"/>
      <c r="E799" s="328"/>
      <c r="F799" s="327"/>
      <c r="G799" s="327"/>
      <c r="H799" s="327"/>
      <c r="I799" s="327"/>
      <c r="J799" s="327"/>
      <c r="K799" s="327"/>
      <c r="L799" s="327"/>
      <c r="M799" s="327"/>
      <c r="N799" s="327"/>
      <c r="O799" s="327"/>
      <c r="P799" s="327"/>
      <c r="Q799" s="327"/>
      <c r="R799" s="328"/>
      <c r="S799" s="327"/>
      <c r="T799" s="327"/>
      <c r="U799" s="327"/>
      <c r="V799" s="327"/>
      <c r="W799" s="327"/>
      <c r="X799" s="327"/>
    </row>
    <row r="800" spans="1:24" s="279" customFormat="1">
      <c r="A800" s="326"/>
      <c r="B800" s="328"/>
      <c r="C800" s="328"/>
      <c r="D800" s="328"/>
      <c r="E800" s="328"/>
      <c r="F800" s="327"/>
      <c r="G800" s="327"/>
      <c r="H800" s="327"/>
      <c r="I800" s="327"/>
      <c r="J800" s="327"/>
      <c r="K800" s="327"/>
      <c r="L800" s="327"/>
      <c r="M800" s="327"/>
      <c r="N800" s="327"/>
      <c r="O800" s="327"/>
      <c r="P800" s="327"/>
      <c r="Q800" s="327"/>
      <c r="R800" s="328"/>
      <c r="S800" s="327"/>
      <c r="T800" s="327"/>
      <c r="U800" s="327"/>
      <c r="V800" s="327"/>
      <c r="W800" s="327"/>
      <c r="X800" s="327"/>
    </row>
    <row r="801" spans="1:24" s="279" customFormat="1">
      <c r="A801" s="326"/>
      <c r="B801" s="328"/>
      <c r="C801" s="328"/>
      <c r="D801" s="328"/>
      <c r="E801" s="328"/>
      <c r="F801" s="327"/>
      <c r="G801" s="327"/>
      <c r="H801" s="327"/>
      <c r="I801" s="327"/>
      <c r="J801" s="327"/>
      <c r="K801" s="327"/>
      <c r="L801" s="327"/>
      <c r="M801" s="327"/>
      <c r="N801" s="327"/>
      <c r="O801" s="327"/>
      <c r="P801" s="327"/>
      <c r="Q801" s="327"/>
      <c r="R801" s="328"/>
      <c r="S801" s="327"/>
      <c r="T801" s="327"/>
      <c r="U801" s="327"/>
      <c r="V801" s="327"/>
      <c r="W801" s="327"/>
      <c r="X801" s="327"/>
    </row>
    <row r="802" spans="1:24" s="279" customFormat="1">
      <c r="A802" s="326"/>
      <c r="B802" s="328"/>
      <c r="C802" s="328"/>
      <c r="D802" s="328"/>
      <c r="E802" s="328"/>
      <c r="F802" s="327"/>
      <c r="G802" s="327"/>
      <c r="H802" s="327"/>
      <c r="I802" s="327"/>
      <c r="J802" s="327"/>
      <c r="K802" s="327"/>
      <c r="L802" s="327"/>
      <c r="M802" s="327"/>
      <c r="N802" s="327"/>
      <c r="O802" s="327"/>
      <c r="P802" s="327"/>
      <c r="Q802" s="327"/>
      <c r="R802" s="328"/>
      <c r="S802" s="327"/>
      <c r="T802" s="327"/>
      <c r="U802" s="327"/>
      <c r="V802" s="327"/>
      <c r="W802" s="327"/>
      <c r="X802" s="327"/>
    </row>
    <row r="803" spans="1:24" s="279" customFormat="1">
      <c r="A803" s="326"/>
      <c r="B803" s="328"/>
      <c r="C803" s="328"/>
      <c r="D803" s="328"/>
      <c r="E803" s="328"/>
      <c r="F803" s="327"/>
      <c r="G803" s="327"/>
      <c r="H803" s="327"/>
      <c r="I803" s="327"/>
      <c r="J803" s="327"/>
      <c r="K803" s="327"/>
      <c r="L803" s="327"/>
      <c r="M803" s="327"/>
      <c r="N803" s="327"/>
      <c r="O803" s="327"/>
      <c r="P803" s="327"/>
      <c r="Q803" s="327"/>
      <c r="R803" s="328"/>
      <c r="S803" s="327"/>
      <c r="T803" s="327"/>
      <c r="U803" s="327"/>
      <c r="V803" s="327"/>
      <c r="W803" s="327"/>
      <c r="X803" s="327"/>
    </row>
    <row r="804" spans="1:24" s="279" customFormat="1">
      <c r="A804" s="326"/>
      <c r="B804" s="328"/>
      <c r="C804" s="328"/>
      <c r="D804" s="328"/>
      <c r="E804" s="328"/>
      <c r="F804" s="327"/>
      <c r="G804" s="327"/>
      <c r="H804" s="327"/>
      <c r="I804" s="327"/>
      <c r="J804" s="327"/>
      <c r="K804" s="327"/>
      <c r="L804" s="327"/>
      <c r="M804" s="327"/>
      <c r="N804" s="327"/>
      <c r="O804" s="327"/>
      <c r="P804" s="327"/>
      <c r="Q804" s="327"/>
      <c r="R804" s="328"/>
      <c r="S804" s="327"/>
      <c r="T804" s="327"/>
      <c r="U804" s="327"/>
      <c r="V804" s="327"/>
      <c r="W804" s="327"/>
      <c r="X804" s="327"/>
    </row>
    <row r="805" spans="1:24" s="279" customFormat="1">
      <c r="A805" s="326"/>
      <c r="B805" s="328"/>
      <c r="C805" s="328"/>
      <c r="D805" s="328"/>
      <c r="E805" s="328"/>
      <c r="F805" s="327"/>
      <c r="G805" s="327"/>
      <c r="H805" s="327"/>
      <c r="I805" s="327"/>
      <c r="J805" s="327"/>
      <c r="K805" s="327"/>
      <c r="L805" s="327"/>
      <c r="M805" s="327"/>
      <c r="N805" s="327"/>
      <c r="O805" s="327"/>
      <c r="P805" s="327"/>
      <c r="Q805" s="327"/>
      <c r="R805" s="328"/>
      <c r="S805" s="327"/>
      <c r="T805" s="327"/>
      <c r="U805" s="327"/>
      <c r="V805" s="327"/>
      <c r="W805" s="327"/>
      <c r="X805" s="327"/>
    </row>
    <row r="806" spans="1:24" s="279" customFormat="1">
      <c r="A806" s="326"/>
      <c r="B806" s="328"/>
      <c r="C806" s="328"/>
      <c r="D806" s="328"/>
      <c r="E806" s="328"/>
      <c r="F806" s="327"/>
      <c r="G806" s="327"/>
      <c r="H806" s="327"/>
      <c r="I806" s="327"/>
      <c r="J806" s="327"/>
      <c r="K806" s="327"/>
      <c r="L806" s="327"/>
      <c r="M806" s="327"/>
      <c r="N806" s="327"/>
      <c r="O806" s="327"/>
      <c r="P806" s="327"/>
      <c r="Q806" s="327"/>
      <c r="R806" s="328"/>
      <c r="S806" s="327"/>
      <c r="T806" s="327"/>
      <c r="U806" s="327"/>
      <c r="V806" s="327"/>
      <c r="W806" s="327"/>
      <c r="X806" s="327"/>
    </row>
    <row r="807" spans="1:24" s="279" customFormat="1">
      <c r="A807" s="326"/>
      <c r="B807" s="328"/>
      <c r="C807" s="328"/>
      <c r="D807" s="328"/>
      <c r="E807" s="328"/>
      <c r="F807" s="327"/>
      <c r="G807" s="327"/>
      <c r="H807" s="327"/>
      <c r="I807" s="327"/>
      <c r="J807" s="327"/>
      <c r="K807" s="327"/>
      <c r="L807" s="327"/>
      <c r="M807" s="327"/>
      <c r="N807" s="327"/>
      <c r="O807" s="327"/>
      <c r="P807" s="327"/>
      <c r="Q807" s="327"/>
      <c r="R807" s="328"/>
      <c r="S807" s="327"/>
      <c r="T807" s="327"/>
      <c r="U807" s="327"/>
      <c r="V807" s="327"/>
      <c r="W807" s="327"/>
      <c r="X807" s="327"/>
    </row>
    <row r="808" spans="1:24" s="279" customFormat="1">
      <c r="A808" s="326"/>
      <c r="B808" s="328"/>
      <c r="C808" s="328"/>
      <c r="D808" s="328"/>
      <c r="E808" s="328"/>
      <c r="F808" s="327"/>
      <c r="G808" s="327"/>
      <c r="H808" s="327"/>
      <c r="I808" s="327"/>
      <c r="J808" s="327"/>
      <c r="K808" s="327"/>
      <c r="L808" s="327"/>
      <c r="M808" s="327"/>
      <c r="N808" s="327"/>
      <c r="O808" s="327"/>
      <c r="P808" s="327"/>
      <c r="Q808" s="327"/>
      <c r="R808" s="328"/>
      <c r="S808" s="327"/>
      <c r="T808" s="327"/>
      <c r="U808" s="327"/>
      <c r="V808" s="327"/>
      <c r="W808" s="327"/>
      <c r="X808" s="327"/>
    </row>
    <row r="809" spans="1:24" s="279" customFormat="1">
      <c r="A809" s="326"/>
      <c r="B809" s="328"/>
      <c r="C809" s="328"/>
      <c r="D809" s="328"/>
      <c r="E809" s="328"/>
      <c r="F809" s="327"/>
      <c r="G809" s="327"/>
      <c r="H809" s="327"/>
      <c r="I809" s="327"/>
      <c r="J809" s="327"/>
      <c r="K809" s="327"/>
      <c r="L809" s="327"/>
      <c r="M809" s="327"/>
      <c r="N809" s="327"/>
      <c r="O809" s="327"/>
      <c r="P809" s="327"/>
      <c r="Q809" s="327"/>
      <c r="R809" s="328"/>
      <c r="S809" s="327"/>
      <c r="T809" s="327"/>
      <c r="U809" s="327"/>
      <c r="V809" s="327"/>
      <c r="W809" s="327"/>
      <c r="X809" s="327"/>
    </row>
    <row r="810" spans="1:24" s="279" customFormat="1">
      <c r="A810" s="326"/>
      <c r="B810" s="328"/>
      <c r="C810" s="328"/>
      <c r="D810" s="328"/>
      <c r="E810" s="328"/>
      <c r="F810" s="327"/>
      <c r="G810" s="327"/>
      <c r="H810" s="327"/>
      <c r="I810" s="327"/>
      <c r="J810" s="327"/>
      <c r="K810" s="327"/>
      <c r="L810" s="327"/>
      <c r="M810" s="327"/>
      <c r="N810" s="327"/>
      <c r="O810" s="327"/>
      <c r="P810" s="327"/>
      <c r="Q810" s="327"/>
      <c r="R810" s="328"/>
      <c r="S810" s="327"/>
      <c r="T810" s="327"/>
      <c r="U810" s="327"/>
      <c r="V810" s="327"/>
      <c r="W810" s="327"/>
      <c r="X810" s="327"/>
    </row>
    <row r="811" spans="1:24" s="279" customFormat="1">
      <c r="A811" s="326"/>
      <c r="B811" s="328"/>
      <c r="C811" s="328"/>
      <c r="D811" s="328"/>
      <c r="E811" s="328"/>
      <c r="F811" s="327"/>
      <c r="G811" s="327"/>
      <c r="H811" s="327"/>
      <c r="I811" s="327"/>
      <c r="J811" s="327"/>
      <c r="K811" s="327"/>
      <c r="L811" s="327"/>
      <c r="M811" s="327"/>
      <c r="N811" s="327"/>
      <c r="O811" s="327"/>
      <c r="P811" s="327"/>
      <c r="Q811" s="327"/>
      <c r="R811" s="328"/>
      <c r="S811" s="327"/>
      <c r="T811" s="327"/>
      <c r="U811" s="327"/>
      <c r="V811" s="327"/>
      <c r="W811" s="327"/>
      <c r="X811" s="327"/>
    </row>
    <row r="812" spans="1:24" s="279" customFormat="1">
      <c r="A812" s="326"/>
      <c r="B812" s="328"/>
      <c r="C812" s="328"/>
      <c r="D812" s="328"/>
      <c r="E812" s="328"/>
      <c r="F812" s="327"/>
      <c r="G812" s="327"/>
      <c r="H812" s="327"/>
      <c r="I812" s="327"/>
      <c r="J812" s="327"/>
      <c r="K812" s="327"/>
      <c r="L812" s="327"/>
      <c r="M812" s="327"/>
      <c r="N812" s="327"/>
      <c r="O812" s="327"/>
      <c r="P812" s="327"/>
      <c r="Q812" s="327"/>
      <c r="R812" s="328"/>
      <c r="S812" s="327"/>
      <c r="T812" s="327"/>
      <c r="U812" s="327"/>
      <c r="V812" s="327"/>
      <c r="W812" s="327"/>
      <c r="X812" s="327"/>
    </row>
    <row r="813" spans="1:24" s="279" customFormat="1">
      <c r="A813" s="326"/>
      <c r="B813" s="328"/>
      <c r="C813" s="328"/>
      <c r="D813" s="328"/>
      <c r="E813" s="328"/>
      <c r="F813" s="327"/>
      <c r="G813" s="327"/>
      <c r="H813" s="327"/>
      <c r="I813" s="327"/>
      <c r="J813" s="327"/>
      <c r="K813" s="327"/>
      <c r="L813" s="327"/>
      <c r="M813" s="327"/>
      <c r="N813" s="327"/>
      <c r="O813" s="327"/>
      <c r="P813" s="327"/>
      <c r="Q813" s="327"/>
      <c r="R813" s="328"/>
      <c r="S813" s="327"/>
      <c r="T813" s="327"/>
      <c r="U813" s="327"/>
      <c r="V813" s="327"/>
      <c r="W813" s="327"/>
      <c r="X813" s="327"/>
    </row>
    <row r="814" spans="1:24" s="279" customFormat="1">
      <c r="A814" s="326"/>
      <c r="B814" s="328"/>
      <c r="C814" s="328"/>
      <c r="D814" s="328"/>
      <c r="E814" s="328"/>
      <c r="F814" s="327"/>
      <c r="G814" s="327"/>
      <c r="H814" s="327"/>
      <c r="I814" s="327"/>
      <c r="J814" s="327"/>
      <c r="K814" s="327"/>
      <c r="L814" s="327"/>
      <c r="M814" s="327"/>
      <c r="N814" s="327"/>
      <c r="O814" s="327"/>
      <c r="P814" s="327"/>
      <c r="Q814" s="327"/>
      <c r="R814" s="328"/>
      <c r="S814" s="327"/>
      <c r="T814" s="327"/>
      <c r="U814" s="327"/>
      <c r="V814" s="327"/>
      <c r="W814" s="327"/>
      <c r="X814" s="327"/>
    </row>
    <row r="815" spans="1:24" s="279" customFormat="1">
      <c r="A815" s="326"/>
      <c r="B815" s="328"/>
      <c r="C815" s="328"/>
      <c r="D815" s="328"/>
      <c r="E815" s="328"/>
      <c r="F815" s="327"/>
      <c r="G815" s="327"/>
      <c r="H815" s="327"/>
      <c r="I815" s="327"/>
      <c r="J815" s="327"/>
      <c r="K815" s="327"/>
      <c r="L815" s="327"/>
      <c r="M815" s="327"/>
      <c r="N815" s="327"/>
      <c r="O815" s="327"/>
      <c r="P815" s="327"/>
      <c r="Q815" s="327"/>
      <c r="R815" s="328"/>
      <c r="S815" s="327"/>
      <c r="T815" s="327"/>
      <c r="U815" s="327"/>
      <c r="V815" s="327"/>
      <c r="W815" s="327"/>
      <c r="X815" s="327"/>
    </row>
    <row r="816" spans="1:24" s="279" customFormat="1">
      <c r="A816" s="326"/>
      <c r="B816" s="328"/>
      <c r="C816" s="328"/>
      <c r="D816" s="328"/>
      <c r="E816" s="328"/>
      <c r="F816" s="327"/>
      <c r="G816" s="327"/>
      <c r="H816" s="327"/>
      <c r="I816" s="327"/>
      <c r="J816" s="327"/>
      <c r="K816" s="327"/>
      <c r="L816" s="327"/>
      <c r="M816" s="327"/>
      <c r="N816" s="327"/>
      <c r="O816" s="327"/>
      <c r="P816" s="327"/>
      <c r="Q816" s="327"/>
      <c r="R816" s="328"/>
      <c r="S816" s="327"/>
      <c r="T816" s="327"/>
      <c r="U816" s="327"/>
      <c r="V816" s="327"/>
      <c r="W816" s="327"/>
      <c r="X816" s="327"/>
    </row>
    <row r="817" spans="1:24" s="279" customFormat="1">
      <c r="A817" s="326"/>
      <c r="B817" s="328"/>
      <c r="C817" s="328"/>
      <c r="D817" s="328"/>
      <c r="E817" s="328"/>
      <c r="F817" s="327"/>
      <c r="G817" s="327"/>
      <c r="H817" s="327"/>
      <c r="I817" s="327"/>
      <c r="J817" s="327"/>
      <c r="K817" s="327"/>
      <c r="L817" s="327"/>
      <c r="M817" s="327"/>
      <c r="N817" s="327"/>
      <c r="O817" s="327"/>
      <c r="P817" s="327"/>
      <c r="Q817" s="327"/>
      <c r="R817" s="328"/>
      <c r="S817" s="327"/>
      <c r="T817" s="327"/>
      <c r="U817" s="327"/>
      <c r="V817" s="327"/>
      <c r="W817" s="327"/>
      <c r="X817" s="327"/>
    </row>
    <row r="818" spans="1:24" s="279" customFormat="1">
      <c r="A818" s="326"/>
      <c r="B818" s="328"/>
      <c r="C818" s="328"/>
      <c r="D818" s="328"/>
      <c r="E818" s="328"/>
      <c r="F818" s="327"/>
      <c r="G818" s="327"/>
      <c r="H818" s="327"/>
      <c r="I818" s="327"/>
      <c r="J818" s="327"/>
      <c r="K818" s="327"/>
      <c r="L818" s="327"/>
      <c r="M818" s="327"/>
      <c r="N818" s="327"/>
      <c r="O818" s="327"/>
      <c r="P818" s="327"/>
      <c r="Q818" s="327"/>
      <c r="R818" s="328"/>
      <c r="S818" s="327"/>
      <c r="T818" s="327"/>
      <c r="U818" s="327"/>
      <c r="V818" s="327"/>
      <c r="W818" s="327"/>
      <c r="X818" s="327"/>
    </row>
    <row r="819" spans="1:24" s="279" customFormat="1">
      <c r="A819" s="326"/>
      <c r="B819" s="328"/>
      <c r="C819" s="328"/>
      <c r="D819" s="328"/>
      <c r="E819" s="328"/>
      <c r="F819" s="327"/>
      <c r="G819" s="327"/>
      <c r="H819" s="327"/>
      <c r="I819" s="327"/>
      <c r="J819" s="327"/>
      <c r="K819" s="327"/>
      <c r="L819" s="327"/>
      <c r="M819" s="327"/>
      <c r="N819" s="327"/>
      <c r="O819" s="327"/>
      <c r="P819" s="327"/>
      <c r="Q819" s="327"/>
      <c r="R819" s="328"/>
      <c r="S819" s="327"/>
      <c r="T819" s="327"/>
      <c r="U819" s="327"/>
      <c r="V819" s="327"/>
      <c r="W819" s="327"/>
      <c r="X819" s="327"/>
    </row>
    <row r="820" spans="1:24" s="279" customFormat="1">
      <c r="A820" s="326"/>
      <c r="B820" s="328"/>
      <c r="C820" s="328"/>
      <c r="D820" s="328"/>
      <c r="E820" s="328"/>
      <c r="F820" s="327"/>
      <c r="G820" s="327"/>
      <c r="H820" s="327"/>
      <c r="I820" s="327"/>
      <c r="J820" s="327"/>
      <c r="K820" s="327"/>
      <c r="L820" s="327"/>
      <c r="M820" s="327"/>
      <c r="N820" s="327"/>
      <c r="O820" s="327"/>
      <c r="P820" s="327"/>
      <c r="Q820" s="327"/>
      <c r="R820" s="328"/>
      <c r="S820" s="327"/>
      <c r="T820" s="327"/>
      <c r="U820" s="327"/>
      <c r="V820" s="327"/>
      <c r="W820" s="327"/>
      <c r="X820" s="327"/>
    </row>
    <row r="821" spans="1:24" s="279" customFormat="1">
      <c r="A821" s="326"/>
      <c r="B821" s="328"/>
      <c r="C821" s="328"/>
      <c r="D821" s="328"/>
      <c r="E821" s="328"/>
      <c r="F821" s="327"/>
      <c r="G821" s="327"/>
      <c r="H821" s="327"/>
      <c r="I821" s="327"/>
      <c r="J821" s="327"/>
      <c r="K821" s="327"/>
      <c r="L821" s="327"/>
      <c r="M821" s="327"/>
      <c r="N821" s="327"/>
      <c r="O821" s="327"/>
      <c r="P821" s="327"/>
      <c r="Q821" s="327"/>
      <c r="R821" s="328"/>
      <c r="S821" s="327"/>
      <c r="T821" s="327"/>
      <c r="U821" s="327"/>
      <c r="V821" s="327"/>
      <c r="W821" s="327"/>
      <c r="X821" s="327"/>
    </row>
    <row r="822" spans="1:24" s="279" customFormat="1">
      <c r="A822" s="326"/>
      <c r="B822" s="328"/>
      <c r="C822" s="328"/>
      <c r="D822" s="328"/>
      <c r="E822" s="328"/>
      <c r="F822" s="327"/>
      <c r="G822" s="327"/>
      <c r="H822" s="327"/>
      <c r="I822" s="327"/>
      <c r="J822" s="327"/>
      <c r="K822" s="327"/>
      <c r="L822" s="327"/>
      <c r="M822" s="327"/>
      <c r="N822" s="327"/>
      <c r="O822" s="327"/>
      <c r="P822" s="327"/>
      <c r="Q822" s="327"/>
      <c r="R822" s="328"/>
      <c r="S822" s="327"/>
      <c r="T822" s="327"/>
      <c r="U822" s="327"/>
      <c r="V822" s="327"/>
      <c r="W822" s="327"/>
      <c r="X822" s="327"/>
    </row>
    <row r="823" spans="1:24" s="279" customFormat="1">
      <c r="A823" s="326"/>
      <c r="B823" s="328"/>
      <c r="C823" s="328"/>
      <c r="D823" s="328"/>
      <c r="E823" s="328"/>
      <c r="F823" s="327"/>
      <c r="G823" s="327"/>
      <c r="H823" s="327"/>
      <c r="I823" s="327"/>
      <c r="J823" s="327"/>
      <c r="K823" s="327"/>
      <c r="L823" s="327"/>
      <c r="M823" s="327"/>
      <c r="N823" s="327"/>
      <c r="O823" s="327"/>
      <c r="P823" s="327"/>
      <c r="Q823" s="327"/>
      <c r="R823" s="328"/>
      <c r="S823" s="327"/>
      <c r="T823" s="327"/>
      <c r="U823" s="327"/>
      <c r="V823" s="327"/>
      <c r="W823" s="327"/>
      <c r="X823" s="327"/>
    </row>
    <row r="824" spans="1:24" s="279" customFormat="1">
      <c r="A824" s="326"/>
      <c r="B824" s="328"/>
      <c r="C824" s="328"/>
      <c r="D824" s="328"/>
      <c r="E824" s="328"/>
      <c r="F824" s="327"/>
      <c r="G824" s="327"/>
      <c r="H824" s="327"/>
      <c r="I824" s="327"/>
      <c r="J824" s="327"/>
      <c r="K824" s="327"/>
      <c r="L824" s="327"/>
      <c r="M824" s="327"/>
      <c r="N824" s="327"/>
      <c r="O824" s="327"/>
      <c r="P824" s="327"/>
      <c r="Q824" s="327"/>
      <c r="R824" s="328"/>
      <c r="S824" s="327"/>
      <c r="T824" s="327"/>
      <c r="U824" s="327"/>
      <c r="V824" s="327"/>
      <c r="W824" s="327"/>
      <c r="X824" s="327"/>
    </row>
    <row r="825" spans="1:24" s="279" customFormat="1">
      <c r="A825" s="326"/>
      <c r="B825" s="328"/>
      <c r="C825" s="328"/>
      <c r="D825" s="328"/>
      <c r="E825" s="328"/>
      <c r="F825" s="327"/>
      <c r="G825" s="327"/>
      <c r="H825" s="327"/>
      <c r="I825" s="327"/>
      <c r="J825" s="327"/>
      <c r="K825" s="327"/>
      <c r="L825" s="327"/>
      <c r="M825" s="327"/>
      <c r="N825" s="327"/>
      <c r="O825" s="327"/>
      <c r="P825" s="327"/>
      <c r="Q825" s="327"/>
      <c r="R825" s="328"/>
      <c r="S825" s="327"/>
      <c r="T825" s="327"/>
      <c r="U825" s="327"/>
      <c r="V825" s="327"/>
      <c r="W825" s="327"/>
      <c r="X825" s="327"/>
    </row>
    <row r="826" spans="1:24" s="279" customFormat="1">
      <c r="A826" s="326"/>
      <c r="B826" s="328"/>
      <c r="C826" s="328"/>
      <c r="D826" s="328"/>
      <c r="E826" s="328"/>
      <c r="F826" s="327"/>
      <c r="G826" s="327"/>
      <c r="H826" s="327"/>
      <c r="I826" s="327"/>
      <c r="J826" s="327"/>
      <c r="K826" s="327"/>
      <c r="L826" s="327"/>
      <c r="M826" s="327"/>
      <c r="N826" s="327"/>
      <c r="O826" s="327"/>
      <c r="P826" s="327"/>
      <c r="Q826" s="327"/>
      <c r="R826" s="328"/>
      <c r="S826" s="327"/>
      <c r="T826" s="327"/>
      <c r="U826" s="327"/>
      <c r="V826" s="327"/>
      <c r="W826" s="327"/>
      <c r="X826" s="327"/>
    </row>
    <row r="827" spans="1:24" s="279" customFormat="1">
      <c r="A827" s="326"/>
      <c r="B827" s="328"/>
      <c r="C827" s="328"/>
      <c r="D827" s="328"/>
      <c r="E827" s="328"/>
      <c r="F827" s="327"/>
      <c r="G827" s="327"/>
      <c r="H827" s="327"/>
      <c r="I827" s="327"/>
      <c r="J827" s="327"/>
      <c r="K827" s="327"/>
      <c r="L827" s="327"/>
      <c r="M827" s="327"/>
      <c r="N827" s="327"/>
      <c r="O827" s="327"/>
      <c r="P827" s="327"/>
      <c r="Q827" s="327"/>
      <c r="R827" s="328"/>
      <c r="S827" s="327"/>
      <c r="T827" s="327"/>
      <c r="U827" s="327"/>
      <c r="V827" s="327"/>
      <c r="W827" s="327"/>
      <c r="X827" s="327"/>
    </row>
    <row r="828" spans="1:24" s="279" customFormat="1">
      <c r="A828" s="326"/>
      <c r="B828" s="328"/>
      <c r="C828" s="328"/>
      <c r="D828" s="328"/>
      <c r="E828" s="328"/>
      <c r="F828" s="327"/>
      <c r="G828" s="327"/>
      <c r="H828" s="327"/>
      <c r="I828" s="327"/>
      <c r="J828" s="327"/>
      <c r="K828" s="327"/>
      <c r="L828" s="327"/>
      <c r="M828" s="327"/>
      <c r="N828" s="327"/>
      <c r="O828" s="327"/>
      <c r="P828" s="327"/>
      <c r="Q828" s="327"/>
      <c r="R828" s="328"/>
      <c r="S828" s="327"/>
      <c r="T828" s="327"/>
      <c r="U828" s="327"/>
      <c r="V828" s="327"/>
      <c r="W828" s="327"/>
      <c r="X828" s="327"/>
    </row>
    <row r="829" spans="1:24" s="279" customFormat="1">
      <c r="A829" s="326"/>
      <c r="B829" s="328"/>
      <c r="C829" s="328"/>
      <c r="D829" s="328"/>
      <c r="E829" s="328"/>
      <c r="F829" s="327"/>
      <c r="G829" s="327"/>
      <c r="H829" s="327"/>
      <c r="I829" s="327"/>
      <c r="J829" s="327"/>
      <c r="K829" s="327"/>
      <c r="L829" s="327"/>
      <c r="M829" s="327"/>
      <c r="N829" s="327"/>
      <c r="O829" s="327"/>
      <c r="P829" s="327"/>
      <c r="Q829" s="327"/>
      <c r="R829" s="328"/>
      <c r="S829" s="327"/>
      <c r="T829" s="327"/>
      <c r="U829" s="327"/>
      <c r="V829" s="327"/>
      <c r="W829" s="327"/>
      <c r="X829" s="327"/>
    </row>
    <row r="830" spans="1:24" s="279" customFormat="1">
      <c r="A830" s="326"/>
      <c r="B830" s="328"/>
      <c r="C830" s="328"/>
      <c r="D830" s="328"/>
      <c r="E830" s="328"/>
      <c r="F830" s="327"/>
      <c r="G830" s="327"/>
      <c r="H830" s="327"/>
      <c r="I830" s="327"/>
      <c r="J830" s="327"/>
      <c r="K830" s="327"/>
      <c r="L830" s="327"/>
      <c r="M830" s="327"/>
      <c r="N830" s="327"/>
      <c r="O830" s="327"/>
      <c r="P830" s="327"/>
      <c r="Q830" s="327"/>
      <c r="R830" s="328"/>
      <c r="S830" s="327"/>
      <c r="T830" s="327"/>
      <c r="U830" s="327"/>
      <c r="V830" s="327"/>
      <c r="W830" s="327"/>
      <c r="X830" s="327"/>
    </row>
    <row r="831" spans="1:24" s="279" customFormat="1">
      <c r="A831" s="326"/>
      <c r="B831" s="328"/>
      <c r="C831" s="328"/>
      <c r="D831" s="328"/>
      <c r="E831" s="328"/>
      <c r="F831" s="327"/>
      <c r="G831" s="327"/>
      <c r="H831" s="327"/>
      <c r="I831" s="327"/>
      <c r="J831" s="327"/>
      <c r="K831" s="327"/>
      <c r="L831" s="327"/>
      <c r="M831" s="327"/>
      <c r="N831" s="327"/>
      <c r="O831" s="327"/>
      <c r="P831" s="327"/>
      <c r="Q831" s="327"/>
      <c r="R831" s="328"/>
      <c r="S831" s="327"/>
      <c r="T831" s="327"/>
      <c r="U831" s="327"/>
      <c r="V831" s="327"/>
      <c r="W831" s="327"/>
      <c r="X831" s="327"/>
    </row>
    <row r="832" spans="1:24" s="279" customFormat="1">
      <c r="A832" s="326"/>
      <c r="B832" s="328"/>
      <c r="C832" s="328"/>
      <c r="D832" s="328"/>
      <c r="E832" s="328"/>
      <c r="F832" s="327"/>
      <c r="G832" s="327"/>
      <c r="H832" s="327"/>
      <c r="I832" s="327"/>
      <c r="J832" s="327"/>
      <c r="K832" s="327"/>
      <c r="L832" s="327"/>
      <c r="M832" s="327"/>
      <c r="N832" s="327"/>
      <c r="O832" s="327"/>
      <c r="P832" s="327"/>
      <c r="Q832" s="327"/>
      <c r="R832" s="328"/>
      <c r="S832" s="327"/>
      <c r="T832" s="327"/>
      <c r="U832" s="327"/>
      <c r="V832" s="327"/>
      <c r="W832" s="327"/>
      <c r="X832" s="327"/>
    </row>
    <row r="833" spans="1:24" s="279" customFormat="1">
      <c r="A833" s="326"/>
      <c r="B833" s="328"/>
      <c r="C833" s="328"/>
      <c r="D833" s="328"/>
      <c r="E833" s="328"/>
      <c r="F833" s="327"/>
      <c r="G833" s="327"/>
      <c r="H833" s="327"/>
      <c r="I833" s="327"/>
      <c r="J833" s="327"/>
      <c r="K833" s="327"/>
      <c r="L833" s="327"/>
      <c r="M833" s="327"/>
      <c r="N833" s="327"/>
      <c r="O833" s="327"/>
      <c r="P833" s="327"/>
      <c r="Q833" s="327"/>
      <c r="R833" s="328"/>
      <c r="S833" s="327"/>
      <c r="T833" s="327"/>
      <c r="U833" s="327"/>
      <c r="V833" s="327"/>
      <c r="W833" s="327"/>
      <c r="X833" s="327"/>
    </row>
    <row r="834" spans="1:24" s="279" customFormat="1">
      <c r="A834" s="326"/>
      <c r="B834" s="328"/>
      <c r="C834" s="328"/>
      <c r="D834" s="328"/>
      <c r="E834" s="328"/>
      <c r="F834" s="327"/>
      <c r="G834" s="327"/>
      <c r="H834" s="327"/>
      <c r="I834" s="327"/>
      <c r="J834" s="327"/>
      <c r="K834" s="327"/>
      <c r="L834" s="327"/>
      <c r="M834" s="327"/>
      <c r="N834" s="327"/>
      <c r="O834" s="327"/>
      <c r="P834" s="327"/>
      <c r="Q834" s="327"/>
      <c r="R834" s="328"/>
      <c r="S834" s="327"/>
      <c r="T834" s="327"/>
      <c r="U834" s="327"/>
      <c r="V834" s="327"/>
      <c r="W834" s="327"/>
      <c r="X834" s="327"/>
    </row>
    <row r="835" spans="1:24" s="279" customFormat="1">
      <c r="A835" s="326"/>
      <c r="B835" s="328"/>
      <c r="C835" s="328"/>
      <c r="D835" s="328"/>
      <c r="E835" s="328"/>
      <c r="F835" s="327"/>
      <c r="G835" s="327"/>
      <c r="H835" s="327"/>
      <c r="I835" s="327"/>
      <c r="J835" s="327"/>
      <c r="K835" s="327"/>
      <c r="L835" s="327"/>
      <c r="M835" s="327"/>
      <c r="N835" s="327"/>
      <c r="O835" s="327"/>
      <c r="P835" s="327"/>
      <c r="Q835" s="327"/>
      <c r="R835" s="328"/>
      <c r="S835" s="327"/>
      <c r="T835" s="327"/>
      <c r="U835" s="327"/>
      <c r="V835" s="327"/>
      <c r="W835" s="327"/>
      <c r="X835" s="327"/>
    </row>
    <row r="836" spans="1:24" s="279" customFormat="1">
      <c r="A836" s="326"/>
      <c r="B836" s="328"/>
      <c r="C836" s="328"/>
      <c r="D836" s="328"/>
      <c r="E836" s="328"/>
      <c r="F836" s="327"/>
      <c r="G836" s="327"/>
      <c r="H836" s="327"/>
      <c r="I836" s="327"/>
      <c r="J836" s="327"/>
      <c r="K836" s="327"/>
      <c r="L836" s="327"/>
      <c r="M836" s="327"/>
      <c r="N836" s="327"/>
      <c r="O836" s="327"/>
      <c r="P836" s="327"/>
      <c r="Q836" s="327"/>
      <c r="R836" s="328"/>
      <c r="S836" s="327"/>
      <c r="T836" s="327"/>
      <c r="U836" s="327"/>
      <c r="V836" s="327"/>
      <c r="W836" s="327"/>
      <c r="X836" s="327"/>
    </row>
    <row r="837" spans="1:24" s="279" customFormat="1">
      <c r="A837" s="326"/>
      <c r="B837" s="328"/>
      <c r="C837" s="328"/>
      <c r="D837" s="328"/>
      <c r="E837" s="328"/>
      <c r="F837" s="327"/>
      <c r="G837" s="327"/>
      <c r="H837" s="327"/>
      <c r="I837" s="327"/>
      <c r="J837" s="327"/>
      <c r="K837" s="327"/>
      <c r="L837" s="327"/>
      <c r="M837" s="327"/>
      <c r="N837" s="327"/>
      <c r="O837" s="327"/>
      <c r="P837" s="327"/>
      <c r="Q837" s="327"/>
      <c r="R837" s="328"/>
      <c r="S837" s="327"/>
      <c r="T837" s="327"/>
      <c r="U837" s="327"/>
      <c r="V837" s="327"/>
      <c r="W837" s="327"/>
      <c r="X837" s="327"/>
    </row>
    <row r="838" spans="1:24" s="279" customFormat="1">
      <c r="A838" s="326"/>
      <c r="B838" s="328"/>
      <c r="C838" s="328"/>
      <c r="D838" s="328"/>
      <c r="E838" s="328"/>
      <c r="F838" s="327"/>
      <c r="G838" s="327"/>
      <c r="H838" s="327"/>
      <c r="I838" s="327"/>
      <c r="J838" s="327"/>
      <c r="K838" s="327"/>
      <c r="L838" s="327"/>
      <c r="M838" s="327"/>
      <c r="N838" s="327"/>
      <c r="O838" s="327"/>
      <c r="P838" s="327"/>
      <c r="Q838" s="327"/>
      <c r="R838" s="328"/>
      <c r="S838" s="327"/>
      <c r="T838" s="327"/>
      <c r="U838" s="327"/>
      <c r="V838" s="327"/>
      <c r="W838" s="327"/>
      <c r="X838" s="327"/>
    </row>
    <row r="839" spans="1:24" s="279" customFormat="1">
      <c r="A839" s="326"/>
      <c r="B839" s="328"/>
      <c r="C839" s="328"/>
      <c r="D839" s="328"/>
      <c r="E839" s="328"/>
      <c r="F839" s="327"/>
      <c r="G839" s="327"/>
      <c r="H839" s="327"/>
      <c r="I839" s="327"/>
      <c r="J839" s="327"/>
      <c r="K839" s="327"/>
      <c r="L839" s="327"/>
      <c r="M839" s="327"/>
      <c r="N839" s="327"/>
      <c r="O839" s="327"/>
      <c r="P839" s="327"/>
      <c r="Q839" s="327"/>
      <c r="R839" s="328"/>
      <c r="S839" s="327"/>
      <c r="T839" s="327"/>
      <c r="U839" s="327"/>
      <c r="V839" s="327"/>
      <c r="W839" s="327"/>
      <c r="X839" s="327"/>
    </row>
    <row r="840" spans="1:24" s="279" customFormat="1">
      <c r="A840" s="326"/>
      <c r="B840" s="328"/>
      <c r="C840" s="328"/>
      <c r="D840" s="328"/>
      <c r="E840" s="328"/>
      <c r="F840" s="327"/>
      <c r="G840" s="327"/>
      <c r="H840" s="327"/>
      <c r="I840" s="327"/>
      <c r="J840" s="327"/>
      <c r="K840" s="327"/>
      <c r="L840" s="327"/>
      <c r="M840" s="327"/>
      <c r="N840" s="327"/>
      <c r="O840" s="327"/>
      <c r="P840" s="327"/>
      <c r="Q840" s="327"/>
      <c r="R840" s="328"/>
      <c r="S840" s="327"/>
      <c r="T840" s="327"/>
      <c r="U840" s="327"/>
      <c r="V840" s="327"/>
      <c r="W840" s="327"/>
      <c r="X840" s="327"/>
    </row>
    <row r="841" spans="1:24" s="279" customFormat="1">
      <c r="A841" s="326"/>
      <c r="B841" s="328"/>
      <c r="C841" s="328"/>
      <c r="D841" s="328"/>
      <c r="E841" s="328"/>
      <c r="F841" s="327"/>
      <c r="G841" s="327"/>
      <c r="H841" s="327"/>
      <c r="I841" s="327"/>
      <c r="J841" s="327"/>
      <c r="K841" s="327"/>
      <c r="L841" s="327"/>
      <c r="M841" s="327"/>
      <c r="N841" s="327"/>
      <c r="O841" s="327"/>
      <c r="P841" s="327"/>
      <c r="Q841" s="327"/>
      <c r="R841" s="328"/>
      <c r="S841" s="327"/>
      <c r="T841" s="327"/>
      <c r="U841" s="327"/>
      <c r="V841" s="327"/>
      <c r="W841" s="327"/>
      <c r="X841" s="327"/>
    </row>
    <row r="842" spans="1:24" s="279" customFormat="1">
      <c r="A842" s="326"/>
      <c r="B842" s="328"/>
      <c r="C842" s="328"/>
      <c r="D842" s="328"/>
      <c r="E842" s="328"/>
      <c r="F842" s="327"/>
      <c r="G842" s="327"/>
      <c r="H842" s="327"/>
      <c r="I842" s="327"/>
      <c r="J842" s="327"/>
      <c r="K842" s="327"/>
      <c r="L842" s="327"/>
      <c r="M842" s="327"/>
      <c r="N842" s="327"/>
      <c r="O842" s="327"/>
      <c r="P842" s="327"/>
      <c r="Q842" s="327"/>
      <c r="R842" s="328"/>
      <c r="S842" s="327"/>
      <c r="T842" s="327"/>
      <c r="U842" s="327"/>
      <c r="V842" s="327"/>
      <c r="W842" s="327"/>
      <c r="X842" s="327"/>
    </row>
    <row r="843" spans="1:24" s="279" customFormat="1">
      <c r="A843" s="326"/>
      <c r="B843" s="328"/>
      <c r="C843" s="328"/>
      <c r="D843" s="328"/>
      <c r="E843" s="328"/>
      <c r="F843" s="327"/>
      <c r="G843" s="327"/>
      <c r="H843" s="327"/>
      <c r="I843" s="327"/>
      <c r="J843" s="327"/>
      <c r="K843" s="327"/>
      <c r="L843" s="327"/>
      <c r="M843" s="327"/>
      <c r="N843" s="327"/>
      <c r="O843" s="327"/>
      <c r="P843" s="327"/>
      <c r="Q843" s="327"/>
      <c r="R843" s="328"/>
      <c r="S843" s="327"/>
      <c r="T843" s="327"/>
      <c r="U843" s="327"/>
      <c r="V843" s="327"/>
      <c r="W843" s="327"/>
      <c r="X843" s="327"/>
    </row>
    <row r="844" spans="1:24" s="279" customFormat="1">
      <c r="A844" s="326"/>
      <c r="B844" s="328"/>
      <c r="C844" s="328"/>
      <c r="D844" s="328"/>
      <c r="E844" s="328"/>
      <c r="F844" s="327"/>
      <c r="G844" s="327"/>
      <c r="H844" s="327"/>
      <c r="I844" s="327"/>
      <c r="J844" s="327"/>
      <c r="K844" s="327"/>
      <c r="L844" s="327"/>
      <c r="M844" s="327"/>
      <c r="N844" s="327"/>
      <c r="O844" s="327"/>
      <c r="P844" s="327"/>
      <c r="Q844" s="327"/>
      <c r="R844" s="328"/>
      <c r="S844" s="327"/>
      <c r="T844" s="327"/>
      <c r="U844" s="327"/>
      <c r="V844" s="327"/>
      <c r="W844" s="327"/>
      <c r="X844" s="327"/>
    </row>
    <row r="845" spans="1:24" s="279" customFormat="1">
      <c r="A845" s="326"/>
      <c r="B845" s="328"/>
      <c r="C845" s="328"/>
      <c r="D845" s="328"/>
      <c r="E845" s="328"/>
      <c r="F845" s="327"/>
      <c r="G845" s="327"/>
      <c r="H845" s="327"/>
      <c r="I845" s="327"/>
      <c r="J845" s="327"/>
      <c r="K845" s="327"/>
      <c r="L845" s="327"/>
      <c r="M845" s="327"/>
      <c r="N845" s="327"/>
      <c r="O845" s="327"/>
      <c r="P845" s="327"/>
      <c r="Q845" s="327"/>
      <c r="R845" s="328"/>
      <c r="S845" s="327"/>
      <c r="T845" s="327"/>
      <c r="U845" s="327"/>
      <c r="V845" s="327"/>
      <c r="W845" s="327"/>
      <c r="X845" s="327"/>
    </row>
    <row r="846" spans="1:24" s="279" customFormat="1">
      <c r="A846" s="326"/>
      <c r="B846" s="328"/>
      <c r="C846" s="328"/>
      <c r="D846" s="328"/>
      <c r="E846" s="328"/>
      <c r="F846" s="327"/>
      <c r="G846" s="327"/>
      <c r="H846" s="327"/>
      <c r="I846" s="327"/>
      <c r="J846" s="327"/>
      <c r="K846" s="327"/>
      <c r="L846" s="327"/>
      <c r="M846" s="327"/>
      <c r="N846" s="327"/>
      <c r="O846" s="327"/>
      <c r="P846" s="327"/>
      <c r="Q846" s="327"/>
      <c r="R846" s="328"/>
      <c r="S846" s="327"/>
      <c r="T846" s="327"/>
      <c r="U846" s="327"/>
      <c r="V846" s="327"/>
      <c r="W846" s="327"/>
      <c r="X846" s="327"/>
    </row>
    <row r="847" spans="1:24" s="279" customFormat="1">
      <c r="A847" s="326"/>
      <c r="B847" s="328"/>
      <c r="C847" s="328"/>
      <c r="D847" s="328"/>
      <c r="E847" s="328"/>
      <c r="F847" s="327"/>
      <c r="G847" s="327"/>
      <c r="H847" s="327"/>
      <c r="I847" s="327"/>
      <c r="J847" s="327"/>
      <c r="K847" s="327"/>
      <c r="L847" s="327"/>
      <c r="M847" s="327"/>
      <c r="N847" s="327"/>
      <c r="O847" s="327"/>
      <c r="P847" s="327"/>
      <c r="Q847" s="327"/>
      <c r="R847" s="328"/>
      <c r="S847" s="327"/>
      <c r="T847" s="327"/>
      <c r="U847" s="327"/>
      <c r="V847" s="327"/>
      <c r="W847" s="327"/>
      <c r="X847" s="327"/>
    </row>
    <row r="848" spans="1:24" s="279" customFormat="1">
      <c r="A848" s="326"/>
      <c r="B848" s="328"/>
      <c r="C848" s="328"/>
      <c r="D848" s="328"/>
      <c r="E848" s="328"/>
      <c r="F848" s="327"/>
      <c r="G848" s="327"/>
      <c r="H848" s="327"/>
      <c r="I848" s="327"/>
      <c r="J848" s="327"/>
      <c r="K848" s="327"/>
      <c r="L848" s="327"/>
      <c r="M848" s="327"/>
      <c r="N848" s="327"/>
      <c r="O848" s="327"/>
      <c r="P848" s="327"/>
      <c r="Q848" s="327"/>
      <c r="R848" s="328"/>
      <c r="S848" s="327"/>
      <c r="T848" s="327"/>
      <c r="U848" s="327"/>
      <c r="V848" s="327"/>
      <c r="W848" s="327"/>
      <c r="X848" s="327"/>
    </row>
    <row r="849" spans="1:24" s="279" customFormat="1">
      <c r="A849" s="326"/>
      <c r="B849" s="328"/>
      <c r="C849" s="328"/>
      <c r="D849" s="328"/>
      <c r="E849" s="328"/>
      <c r="F849" s="327"/>
      <c r="G849" s="327"/>
      <c r="H849" s="327"/>
      <c r="I849" s="327"/>
      <c r="J849" s="327"/>
      <c r="K849" s="327"/>
      <c r="L849" s="327"/>
      <c r="M849" s="327"/>
      <c r="N849" s="327"/>
      <c r="O849" s="327"/>
      <c r="P849" s="327"/>
      <c r="Q849" s="327"/>
      <c r="R849" s="328"/>
      <c r="S849" s="327"/>
      <c r="T849" s="327"/>
      <c r="U849" s="327"/>
      <c r="V849" s="327"/>
      <c r="W849" s="327"/>
      <c r="X849" s="327"/>
    </row>
    <row r="850" spans="1:24" s="279" customFormat="1">
      <c r="A850" s="326"/>
      <c r="B850" s="328"/>
      <c r="C850" s="328"/>
      <c r="D850" s="328"/>
      <c r="E850" s="328"/>
      <c r="F850" s="327"/>
      <c r="G850" s="327"/>
      <c r="H850" s="327"/>
      <c r="I850" s="327"/>
      <c r="J850" s="327"/>
      <c r="K850" s="327"/>
      <c r="L850" s="327"/>
      <c r="M850" s="327"/>
      <c r="N850" s="327"/>
      <c r="O850" s="327"/>
      <c r="P850" s="327"/>
      <c r="Q850" s="327"/>
      <c r="R850" s="328"/>
      <c r="S850" s="327"/>
      <c r="T850" s="327"/>
      <c r="U850" s="327"/>
      <c r="V850" s="327"/>
      <c r="W850" s="327"/>
      <c r="X850" s="327"/>
    </row>
    <row r="851" spans="1:24" s="279" customFormat="1">
      <c r="A851" s="326"/>
      <c r="B851" s="328"/>
      <c r="C851" s="328"/>
      <c r="D851" s="328"/>
      <c r="E851" s="328"/>
      <c r="F851" s="327"/>
      <c r="G851" s="327"/>
      <c r="H851" s="327"/>
      <c r="I851" s="327"/>
      <c r="J851" s="327"/>
      <c r="K851" s="327"/>
      <c r="L851" s="327"/>
      <c r="M851" s="327"/>
      <c r="N851" s="327"/>
      <c r="O851" s="327"/>
      <c r="P851" s="327"/>
      <c r="Q851" s="327"/>
      <c r="R851" s="328"/>
      <c r="S851" s="327"/>
      <c r="T851" s="327"/>
      <c r="U851" s="327"/>
      <c r="V851" s="327"/>
      <c r="W851" s="327"/>
      <c r="X851" s="327"/>
    </row>
    <row r="852" spans="1:24" s="279" customFormat="1">
      <c r="A852" s="326"/>
      <c r="B852" s="328"/>
      <c r="C852" s="328"/>
      <c r="D852" s="328"/>
      <c r="E852" s="328"/>
      <c r="F852" s="327"/>
      <c r="G852" s="327"/>
      <c r="H852" s="327"/>
      <c r="I852" s="327"/>
      <c r="J852" s="327"/>
      <c r="K852" s="327"/>
      <c r="L852" s="327"/>
      <c r="M852" s="327"/>
      <c r="N852" s="327"/>
      <c r="O852" s="327"/>
      <c r="P852" s="327"/>
      <c r="Q852" s="327"/>
      <c r="R852" s="328"/>
      <c r="S852" s="327"/>
      <c r="T852" s="327"/>
      <c r="U852" s="327"/>
      <c r="V852" s="327"/>
      <c r="W852" s="327"/>
      <c r="X852" s="327"/>
    </row>
    <row r="853" spans="1:24" s="279" customFormat="1">
      <c r="A853" s="326"/>
      <c r="B853" s="328"/>
      <c r="C853" s="328"/>
      <c r="D853" s="328"/>
      <c r="E853" s="328"/>
      <c r="F853" s="327"/>
      <c r="G853" s="327"/>
      <c r="H853" s="327"/>
      <c r="I853" s="327"/>
      <c r="J853" s="327"/>
      <c r="K853" s="327"/>
      <c r="L853" s="327"/>
      <c r="M853" s="327"/>
      <c r="N853" s="327"/>
      <c r="O853" s="327"/>
      <c r="P853" s="327"/>
      <c r="Q853" s="327"/>
      <c r="R853" s="328"/>
      <c r="S853" s="327"/>
      <c r="T853" s="327"/>
      <c r="U853" s="327"/>
      <c r="V853" s="327"/>
      <c r="W853" s="327"/>
      <c r="X853" s="327"/>
    </row>
    <row r="854" spans="1:24" s="279" customFormat="1">
      <c r="A854" s="326"/>
      <c r="B854" s="328"/>
      <c r="C854" s="328"/>
      <c r="D854" s="328"/>
      <c r="E854" s="328"/>
      <c r="F854" s="327"/>
      <c r="G854" s="327"/>
      <c r="H854" s="327"/>
      <c r="I854" s="327"/>
      <c r="J854" s="327"/>
      <c r="K854" s="327"/>
      <c r="L854" s="327"/>
      <c r="M854" s="327"/>
      <c r="N854" s="327"/>
      <c r="O854" s="327"/>
      <c r="P854" s="327"/>
      <c r="Q854" s="327"/>
      <c r="R854" s="328"/>
      <c r="S854" s="327"/>
      <c r="T854" s="327"/>
      <c r="U854" s="327"/>
      <c r="V854" s="327"/>
      <c r="W854" s="327"/>
      <c r="X854" s="327"/>
    </row>
    <row r="855" spans="1:24" s="279" customFormat="1">
      <c r="A855" s="326"/>
      <c r="B855" s="328"/>
      <c r="C855" s="328"/>
      <c r="D855" s="328"/>
      <c r="E855" s="328"/>
      <c r="F855" s="327"/>
      <c r="G855" s="327"/>
      <c r="H855" s="327"/>
      <c r="I855" s="327"/>
      <c r="J855" s="327"/>
      <c r="K855" s="327"/>
      <c r="L855" s="327"/>
      <c r="M855" s="327"/>
      <c r="N855" s="327"/>
      <c r="O855" s="327"/>
      <c r="P855" s="327"/>
      <c r="Q855" s="327"/>
      <c r="R855" s="328"/>
      <c r="S855" s="327"/>
      <c r="T855" s="327"/>
      <c r="U855" s="327"/>
      <c r="V855" s="327"/>
      <c r="W855" s="327"/>
      <c r="X855" s="327"/>
    </row>
    <row r="856" spans="1:24" s="279" customFormat="1">
      <c r="A856" s="326"/>
      <c r="B856" s="328"/>
      <c r="C856" s="328"/>
      <c r="D856" s="328"/>
      <c r="E856" s="328"/>
      <c r="F856" s="327"/>
      <c r="G856" s="327"/>
      <c r="H856" s="327"/>
      <c r="I856" s="327"/>
      <c r="J856" s="327"/>
      <c r="K856" s="327"/>
      <c r="L856" s="327"/>
      <c r="M856" s="327"/>
      <c r="N856" s="327"/>
      <c r="O856" s="327"/>
      <c r="P856" s="327"/>
      <c r="Q856" s="327"/>
      <c r="R856" s="328"/>
      <c r="S856" s="327"/>
      <c r="T856" s="327"/>
      <c r="U856" s="327"/>
      <c r="V856" s="327"/>
      <c r="W856" s="327"/>
      <c r="X856" s="327"/>
    </row>
    <row r="857" spans="1:24" s="279" customFormat="1">
      <c r="A857" s="326"/>
      <c r="B857" s="328"/>
      <c r="C857" s="328"/>
      <c r="D857" s="328"/>
      <c r="E857" s="328"/>
      <c r="F857" s="327"/>
      <c r="G857" s="327"/>
      <c r="H857" s="327"/>
      <c r="I857" s="327"/>
      <c r="J857" s="327"/>
      <c r="K857" s="327"/>
      <c r="L857" s="327"/>
      <c r="M857" s="327"/>
      <c r="N857" s="327"/>
      <c r="O857" s="327"/>
      <c r="P857" s="327"/>
      <c r="Q857" s="327"/>
      <c r="R857" s="328"/>
      <c r="S857" s="327"/>
      <c r="T857" s="327"/>
      <c r="U857" s="327"/>
      <c r="V857" s="327"/>
      <c r="W857" s="327"/>
      <c r="X857" s="327"/>
    </row>
    <row r="858" spans="1:24" s="279" customFormat="1">
      <c r="A858" s="326"/>
      <c r="B858" s="328"/>
      <c r="C858" s="328"/>
      <c r="D858" s="328"/>
      <c r="E858" s="328"/>
      <c r="F858" s="327"/>
      <c r="G858" s="327"/>
      <c r="H858" s="327"/>
      <c r="I858" s="327"/>
      <c r="J858" s="327"/>
      <c r="K858" s="327"/>
      <c r="L858" s="327"/>
      <c r="M858" s="327"/>
      <c r="N858" s="327"/>
      <c r="O858" s="327"/>
      <c r="P858" s="327"/>
      <c r="Q858" s="327"/>
      <c r="R858" s="328"/>
      <c r="S858" s="327"/>
      <c r="T858" s="327"/>
      <c r="U858" s="327"/>
      <c r="V858" s="327"/>
      <c r="W858" s="327"/>
      <c r="X858" s="327"/>
    </row>
    <row r="859" spans="1:24" s="279" customFormat="1">
      <c r="A859" s="326"/>
      <c r="B859" s="328"/>
      <c r="C859" s="328"/>
      <c r="D859" s="328"/>
      <c r="E859" s="328"/>
      <c r="F859" s="327"/>
      <c r="G859" s="327"/>
      <c r="H859" s="327"/>
      <c r="I859" s="327"/>
      <c r="J859" s="327"/>
      <c r="K859" s="327"/>
      <c r="L859" s="327"/>
      <c r="M859" s="327"/>
      <c r="N859" s="327"/>
      <c r="O859" s="327"/>
      <c r="P859" s="327"/>
      <c r="Q859" s="327"/>
      <c r="R859" s="328"/>
      <c r="S859" s="327"/>
      <c r="T859" s="327"/>
      <c r="U859" s="327"/>
      <c r="V859" s="327"/>
      <c r="W859" s="327"/>
      <c r="X859" s="327"/>
    </row>
    <row r="860" spans="1:24" s="279" customFormat="1">
      <c r="A860" s="326"/>
      <c r="B860" s="328"/>
      <c r="C860" s="328"/>
      <c r="D860" s="328"/>
      <c r="E860" s="328"/>
      <c r="F860" s="327"/>
      <c r="G860" s="327"/>
      <c r="H860" s="327"/>
      <c r="I860" s="327"/>
      <c r="J860" s="327"/>
      <c r="K860" s="327"/>
      <c r="L860" s="327"/>
      <c r="M860" s="327"/>
      <c r="N860" s="327"/>
      <c r="O860" s="327"/>
      <c r="P860" s="327"/>
      <c r="Q860" s="327"/>
      <c r="R860" s="328"/>
      <c r="S860" s="327"/>
      <c r="T860" s="327"/>
      <c r="U860" s="327"/>
      <c r="V860" s="327"/>
      <c r="W860" s="327"/>
      <c r="X860" s="327"/>
    </row>
    <row r="861" spans="1:24" s="279" customFormat="1">
      <c r="A861" s="326"/>
      <c r="B861" s="328"/>
      <c r="C861" s="328"/>
      <c r="D861" s="328"/>
      <c r="E861" s="328"/>
      <c r="F861" s="327"/>
      <c r="G861" s="327"/>
      <c r="H861" s="327"/>
      <c r="I861" s="327"/>
      <c r="J861" s="327"/>
      <c r="K861" s="327"/>
      <c r="L861" s="327"/>
      <c r="M861" s="327"/>
      <c r="N861" s="327"/>
      <c r="O861" s="327"/>
      <c r="P861" s="327"/>
      <c r="Q861" s="327"/>
      <c r="R861" s="328"/>
      <c r="S861" s="327"/>
      <c r="T861" s="327"/>
      <c r="U861" s="327"/>
      <c r="V861" s="327"/>
      <c r="W861" s="327"/>
      <c r="X861" s="327"/>
    </row>
    <row r="862" spans="1:24" s="279" customFormat="1">
      <c r="A862" s="326"/>
      <c r="B862" s="328"/>
      <c r="C862" s="328"/>
      <c r="D862" s="328"/>
      <c r="E862" s="328"/>
      <c r="F862" s="327"/>
      <c r="G862" s="327"/>
      <c r="H862" s="327"/>
      <c r="I862" s="327"/>
      <c r="J862" s="327"/>
      <c r="K862" s="327"/>
      <c r="L862" s="327"/>
      <c r="M862" s="327"/>
      <c r="N862" s="327"/>
      <c r="O862" s="327"/>
      <c r="P862" s="327"/>
      <c r="Q862" s="327"/>
      <c r="R862" s="328"/>
      <c r="S862" s="327"/>
      <c r="T862" s="327"/>
      <c r="U862" s="327"/>
      <c r="V862" s="327"/>
      <c r="W862" s="327"/>
      <c r="X862" s="327"/>
    </row>
    <row r="863" spans="1:24" s="279" customFormat="1">
      <c r="A863" s="326"/>
      <c r="B863" s="328"/>
      <c r="C863" s="328"/>
      <c r="D863" s="328"/>
      <c r="E863" s="328"/>
      <c r="F863" s="327"/>
      <c r="G863" s="327"/>
      <c r="H863" s="327"/>
      <c r="I863" s="327"/>
      <c r="J863" s="327"/>
      <c r="K863" s="327"/>
      <c r="L863" s="327"/>
      <c r="M863" s="327"/>
      <c r="N863" s="327"/>
      <c r="O863" s="327"/>
      <c r="P863" s="327"/>
      <c r="Q863" s="327"/>
      <c r="R863" s="328"/>
      <c r="S863" s="327"/>
      <c r="T863" s="327"/>
      <c r="U863" s="327"/>
      <c r="V863" s="327"/>
      <c r="W863" s="327"/>
      <c r="X863" s="327"/>
    </row>
    <row r="864" spans="1:24" s="279" customFormat="1">
      <c r="A864" s="326"/>
      <c r="B864" s="328"/>
      <c r="C864" s="328"/>
      <c r="D864" s="328"/>
      <c r="E864" s="328"/>
      <c r="F864" s="327"/>
      <c r="G864" s="327"/>
      <c r="H864" s="327"/>
      <c r="I864" s="327"/>
      <c r="J864" s="327"/>
      <c r="K864" s="327"/>
      <c r="L864" s="327"/>
      <c r="M864" s="327"/>
      <c r="N864" s="327"/>
      <c r="O864" s="327"/>
      <c r="P864" s="327"/>
      <c r="Q864" s="327"/>
      <c r="R864" s="328"/>
      <c r="S864" s="327"/>
      <c r="T864" s="327"/>
      <c r="U864" s="327"/>
      <c r="V864" s="327"/>
      <c r="W864" s="327"/>
      <c r="X864" s="327"/>
    </row>
    <row r="865" spans="1:24" s="279" customFormat="1">
      <c r="A865" s="326"/>
      <c r="B865" s="328"/>
      <c r="C865" s="328"/>
      <c r="D865" s="328"/>
      <c r="E865" s="328"/>
      <c r="F865" s="327"/>
      <c r="G865" s="327"/>
      <c r="H865" s="327"/>
      <c r="I865" s="327"/>
      <c r="J865" s="327"/>
      <c r="K865" s="327"/>
      <c r="L865" s="327"/>
      <c r="M865" s="327"/>
      <c r="N865" s="327"/>
      <c r="O865" s="327"/>
      <c r="P865" s="327"/>
      <c r="Q865" s="327"/>
      <c r="R865" s="328"/>
      <c r="S865" s="327"/>
      <c r="T865" s="327"/>
      <c r="U865" s="327"/>
      <c r="V865" s="327"/>
      <c r="W865" s="327"/>
      <c r="X865" s="327"/>
    </row>
    <row r="866" spans="1:24" s="279" customFormat="1">
      <c r="A866" s="326"/>
      <c r="B866" s="328"/>
      <c r="C866" s="328"/>
      <c r="D866" s="328"/>
      <c r="E866" s="328"/>
      <c r="F866" s="327"/>
      <c r="G866" s="327"/>
      <c r="H866" s="327"/>
      <c r="I866" s="327"/>
      <c r="J866" s="327"/>
      <c r="K866" s="327"/>
      <c r="L866" s="327"/>
      <c r="M866" s="327"/>
      <c r="N866" s="327"/>
      <c r="O866" s="327"/>
      <c r="P866" s="327"/>
      <c r="Q866" s="327"/>
      <c r="R866" s="328"/>
      <c r="S866" s="327"/>
      <c r="T866" s="327"/>
      <c r="U866" s="327"/>
      <c r="V866" s="327"/>
      <c r="W866" s="327"/>
      <c r="X866" s="327"/>
    </row>
    <row r="867" spans="1:24" s="279" customFormat="1">
      <c r="A867" s="326"/>
      <c r="B867" s="328"/>
      <c r="C867" s="328"/>
      <c r="D867" s="328"/>
      <c r="E867" s="328"/>
      <c r="F867" s="327"/>
      <c r="G867" s="327"/>
      <c r="H867" s="327"/>
      <c r="I867" s="327"/>
      <c r="J867" s="327"/>
      <c r="K867" s="327"/>
      <c r="L867" s="327"/>
      <c r="M867" s="327"/>
      <c r="N867" s="327"/>
      <c r="O867" s="327"/>
      <c r="P867" s="327"/>
      <c r="Q867" s="327"/>
      <c r="R867" s="328"/>
      <c r="S867" s="327"/>
      <c r="T867" s="327"/>
      <c r="U867" s="327"/>
      <c r="V867" s="327"/>
      <c r="W867" s="327"/>
      <c r="X867" s="327"/>
    </row>
    <row r="868" spans="1:24" s="279" customFormat="1">
      <c r="A868" s="326"/>
      <c r="B868" s="328"/>
      <c r="C868" s="328"/>
      <c r="D868" s="328"/>
      <c r="E868" s="328"/>
      <c r="F868" s="327"/>
      <c r="G868" s="327"/>
      <c r="H868" s="327"/>
      <c r="I868" s="327"/>
      <c r="J868" s="327"/>
      <c r="K868" s="327"/>
      <c r="L868" s="327"/>
      <c r="M868" s="327"/>
      <c r="N868" s="327"/>
      <c r="O868" s="327"/>
      <c r="P868" s="327"/>
      <c r="Q868" s="327"/>
      <c r="R868" s="328"/>
      <c r="S868" s="327"/>
      <c r="T868" s="327"/>
      <c r="U868" s="327"/>
      <c r="V868" s="327"/>
      <c r="W868" s="327"/>
      <c r="X868" s="327"/>
    </row>
    <row r="869" spans="1:24" s="279" customFormat="1">
      <c r="A869" s="326"/>
      <c r="B869" s="328"/>
      <c r="C869" s="328"/>
      <c r="D869" s="328"/>
      <c r="E869" s="328"/>
      <c r="F869" s="327"/>
      <c r="G869" s="327"/>
      <c r="H869" s="327"/>
      <c r="I869" s="327"/>
      <c r="J869" s="327"/>
      <c r="K869" s="327"/>
      <c r="L869" s="327"/>
      <c r="M869" s="327"/>
      <c r="N869" s="327"/>
      <c r="O869" s="327"/>
      <c r="P869" s="327"/>
      <c r="Q869" s="327"/>
      <c r="R869" s="328"/>
      <c r="S869" s="327"/>
      <c r="T869" s="327"/>
      <c r="U869" s="327"/>
      <c r="V869" s="327"/>
      <c r="W869" s="327"/>
      <c r="X869" s="327"/>
    </row>
    <row r="870" spans="1:24" s="279" customFormat="1">
      <c r="A870" s="326"/>
      <c r="B870" s="328"/>
      <c r="C870" s="328"/>
      <c r="D870" s="328"/>
      <c r="E870" s="328"/>
      <c r="F870" s="327"/>
      <c r="G870" s="327"/>
      <c r="H870" s="327"/>
      <c r="I870" s="327"/>
      <c r="J870" s="327"/>
      <c r="K870" s="327"/>
      <c r="L870" s="327"/>
      <c r="M870" s="327"/>
      <c r="N870" s="327"/>
      <c r="O870" s="327"/>
      <c r="P870" s="327"/>
      <c r="Q870" s="327"/>
      <c r="R870" s="328"/>
      <c r="S870" s="327"/>
      <c r="T870" s="327"/>
      <c r="U870" s="327"/>
      <c r="V870" s="327"/>
      <c r="W870" s="327"/>
      <c r="X870" s="327"/>
    </row>
    <row r="871" spans="1:24" s="279" customFormat="1">
      <c r="A871" s="326"/>
      <c r="B871" s="328"/>
      <c r="C871" s="328"/>
      <c r="D871" s="328"/>
      <c r="E871" s="328"/>
      <c r="F871" s="327"/>
      <c r="G871" s="327"/>
      <c r="H871" s="327"/>
      <c r="I871" s="327"/>
      <c r="J871" s="327"/>
      <c r="K871" s="327"/>
      <c r="L871" s="327"/>
      <c r="M871" s="327"/>
      <c r="N871" s="327"/>
      <c r="O871" s="327"/>
      <c r="P871" s="327"/>
      <c r="Q871" s="327"/>
      <c r="R871" s="328"/>
      <c r="S871" s="327"/>
      <c r="T871" s="327"/>
      <c r="U871" s="327"/>
      <c r="V871" s="327"/>
      <c r="W871" s="327"/>
      <c r="X871" s="327"/>
    </row>
    <row r="872" spans="1:24" s="279" customFormat="1">
      <c r="A872" s="326"/>
      <c r="B872" s="328"/>
      <c r="C872" s="328"/>
      <c r="D872" s="328"/>
      <c r="E872" s="328"/>
      <c r="F872" s="327"/>
      <c r="G872" s="327"/>
      <c r="H872" s="327"/>
      <c r="I872" s="327"/>
      <c r="J872" s="327"/>
      <c r="K872" s="327"/>
      <c r="L872" s="327"/>
      <c r="M872" s="327"/>
      <c r="N872" s="327"/>
      <c r="O872" s="327"/>
      <c r="P872" s="327"/>
      <c r="Q872" s="327"/>
      <c r="R872" s="328"/>
      <c r="S872" s="327"/>
      <c r="T872" s="327"/>
      <c r="U872" s="327"/>
      <c r="V872" s="327"/>
      <c r="W872" s="327"/>
      <c r="X872" s="327"/>
    </row>
    <row r="873" spans="1:24" s="279" customFormat="1">
      <c r="A873" s="326"/>
      <c r="B873" s="328"/>
      <c r="C873" s="328"/>
      <c r="D873" s="328"/>
      <c r="E873" s="328"/>
      <c r="F873" s="327"/>
      <c r="G873" s="327"/>
      <c r="H873" s="327"/>
      <c r="I873" s="327"/>
      <c r="J873" s="327"/>
      <c r="K873" s="327"/>
      <c r="L873" s="327"/>
      <c r="M873" s="327"/>
      <c r="N873" s="327"/>
      <c r="O873" s="327"/>
      <c r="P873" s="327"/>
      <c r="Q873" s="327"/>
      <c r="R873" s="328"/>
      <c r="S873" s="327"/>
      <c r="T873" s="327"/>
      <c r="U873" s="327"/>
      <c r="V873" s="327"/>
      <c r="W873" s="327"/>
      <c r="X873" s="327"/>
    </row>
    <row r="874" spans="1:24" s="279" customFormat="1">
      <c r="A874" s="326"/>
      <c r="B874" s="328"/>
      <c r="C874" s="328"/>
      <c r="D874" s="328"/>
      <c r="E874" s="328"/>
      <c r="F874" s="327"/>
      <c r="G874" s="327"/>
      <c r="H874" s="327"/>
      <c r="I874" s="327"/>
      <c r="J874" s="327"/>
      <c r="K874" s="327"/>
      <c r="L874" s="327"/>
      <c r="M874" s="327"/>
      <c r="N874" s="327"/>
      <c r="O874" s="327"/>
      <c r="P874" s="327"/>
      <c r="Q874" s="327"/>
      <c r="R874" s="328"/>
      <c r="S874" s="327"/>
      <c r="T874" s="327"/>
      <c r="U874" s="327"/>
      <c r="V874" s="327"/>
      <c r="W874" s="327"/>
      <c r="X874" s="327"/>
    </row>
    <row r="875" spans="1:24" s="279" customFormat="1">
      <c r="A875" s="326"/>
      <c r="B875" s="328"/>
      <c r="C875" s="328"/>
      <c r="D875" s="328"/>
      <c r="E875" s="328"/>
      <c r="F875" s="327"/>
      <c r="G875" s="327"/>
      <c r="H875" s="327"/>
      <c r="I875" s="327"/>
      <c r="J875" s="327"/>
      <c r="K875" s="327"/>
      <c r="L875" s="327"/>
      <c r="M875" s="327"/>
      <c r="N875" s="327"/>
      <c r="O875" s="327"/>
      <c r="P875" s="327"/>
      <c r="Q875" s="327"/>
      <c r="R875" s="328"/>
      <c r="S875" s="327"/>
      <c r="T875" s="327"/>
      <c r="U875" s="327"/>
      <c r="V875" s="327"/>
      <c r="W875" s="327"/>
      <c r="X875" s="327"/>
    </row>
    <row r="876" spans="1:24" s="279" customFormat="1">
      <c r="A876" s="326"/>
      <c r="B876" s="328"/>
      <c r="C876" s="328"/>
      <c r="D876" s="328"/>
      <c r="E876" s="328"/>
      <c r="F876" s="327"/>
      <c r="G876" s="327"/>
      <c r="H876" s="327"/>
      <c r="I876" s="327"/>
      <c r="J876" s="327"/>
      <c r="K876" s="327"/>
      <c r="L876" s="327"/>
      <c r="M876" s="327"/>
      <c r="N876" s="327"/>
      <c r="O876" s="327"/>
      <c r="P876" s="327"/>
      <c r="Q876" s="327"/>
      <c r="R876" s="328"/>
      <c r="S876" s="327"/>
      <c r="T876" s="327"/>
      <c r="U876" s="327"/>
      <c r="V876" s="327"/>
      <c r="W876" s="327"/>
      <c r="X876" s="327"/>
    </row>
    <row r="877" spans="1:24" s="279" customFormat="1">
      <c r="A877" s="326"/>
      <c r="B877" s="328"/>
      <c r="C877" s="328"/>
      <c r="D877" s="328"/>
      <c r="E877" s="328"/>
      <c r="F877" s="327"/>
      <c r="G877" s="327"/>
      <c r="H877" s="327"/>
      <c r="I877" s="327"/>
      <c r="J877" s="327"/>
      <c r="K877" s="327"/>
      <c r="L877" s="327"/>
      <c r="M877" s="327"/>
      <c r="N877" s="327"/>
      <c r="O877" s="327"/>
      <c r="P877" s="327"/>
      <c r="Q877" s="327"/>
      <c r="R877" s="328"/>
      <c r="S877" s="327"/>
      <c r="T877" s="327"/>
      <c r="U877" s="327"/>
      <c r="V877" s="327"/>
      <c r="W877" s="327"/>
      <c r="X877" s="327"/>
    </row>
    <row r="878" spans="1:24" s="279" customFormat="1">
      <c r="A878" s="326"/>
      <c r="B878" s="328"/>
      <c r="C878" s="328"/>
      <c r="D878" s="328"/>
      <c r="E878" s="328"/>
      <c r="F878" s="327"/>
      <c r="G878" s="327"/>
      <c r="H878" s="327"/>
      <c r="I878" s="327"/>
      <c r="J878" s="327"/>
      <c r="K878" s="327"/>
      <c r="L878" s="327"/>
      <c r="M878" s="327"/>
      <c r="N878" s="327"/>
      <c r="O878" s="327"/>
      <c r="P878" s="327"/>
      <c r="Q878" s="327"/>
      <c r="R878" s="328"/>
      <c r="S878" s="327"/>
      <c r="T878" s="327"/>
      <c r="U878" s="327"/>
      <c r="V878" s="327"/>
      <c r="W878" s="327"/>
      <c r="X878" s="327"/>
    </row>
    <row r="879" spans="1:24" s="279" customFormat="1">
      <c r="A879" s="326"/>
      <c r="B879" s="328"/>
      <c r="C879" s="328"/>
      <c r="D879" s="328"/>
      <c r="E879" s="328"/>
      <c r="F879" s="327"/>
      <c r="G879" s="327"/>
      <c r="H879" s="327"/>
      <c r="I879" s="327"/>
      <c r="J879" s="327"/>
      <c r="K879" s="327"/>
      <c r="L879" s="327"/>
      <c r="M879" s="327"/>
      <c r="N879" s="327"/>
      <c r="O879" s="327"/>
      <c r="P879" s="327"/>
      <c r="Q879" s="327"/>
      <c r="R879" s="328"/>
      <c r="S879" s="327"/>
      <c r="T879" s="327"/>
      <c r="U879" s="327"/>
      <c r="V879" s="327"/>
      <c r="W879" s="327"/>
      <c r="X879" s="327"/>
    </row>
    <row r="880" spans="1:24" s="279" customFormat="1">
      <c r="A880" s="326"/>
      <c r="B880" s="328"/>
      <c r="C880" s="328"/>
      <c r="D880" s="328"/>
      <c r="E880" s="328"/>
      <c r="F880" s="327"/>
      <c r="G880" s="327"/>
      <c r="H880" s="327"/>
      <c r="I880" s="327"/>
      <c r="J880" s="327"/>
      <c r="K880" s="327"/>
      <c r="L880" s="327"/>
      <c r="M880" s="327"/>
      <c r="N880" s="327"/>
      <c r="O880" s="327"/>
      <c r="P880" s="327"/>
      <c r="Q880" s="327"/>
      <c r="R880" s="328"/>
      <c r="S880" s="327"/>
      <c r="T880" s="327"/>
      <c r="U880" s="327"/>
      <c r="V880" s="327"/>
      <c r="W880" s="327"/>
      <c r="X880" s="327"/>
    </row>
    <row r="881" spans="1:24" s="279" customFormat="1">
      <c r="A881" s="326"/>
      <c r="B881" s="328"/>
      <c r="C881" s="328"/>
      <c r="D881" s="328"/>
      <c r="E881" s="328"/>
      <c r="F881" s="327"/>
      <c r="G881" s="327"/>
      <c r="H881" s="327"/>
      <c r="I881" s="327"/>
      <c r="J881" s="327"/>
      <c r="K881" s="327"/>
      <c r="L881" s="327"/>
      <c r="M881" s="327"/>
      <c r="N881" s="327"/>
      <c r="O881" s="327"/>
      <c r="P881" s="327"/>
      <c r="Q881" s="327"/>
      <c r="R881" s="328"/>
      <c r="S881" s="327"/>
      <c r="T881" s="327"/>
      <c r="U881" s="327"/>
      <c r="V881" s="327"/>
      <c r="W881" s="327"/>
      <c r="X881" s="327"/>
    </row>
    <row r="882" spans="1:24" s="279" customFormat="1">
      <c r="A882" s="326"/>
      <c r="B882" s="328"/>
      <c r="C882" s="328"/>
      <c r="D882" s="328"/>
      <c r="E882" s="328"/>
      <c r="F882" s="327"/>
      <c r="G882" s="327"/>
      <c r="H882" s="327"/>
      <c r="I882" s="327"/>
      <c r="J882" s="327"/>
      <c r="K882" s="327"/>
      <c r="L882" s="327"/>
      <c r="M882" s="327"/>
      <c r="N882" s="327"/>
      <c r="O882" s="327"/>
      <c r="P882" s="327"/>
      <c r="Q882" s="327"/>
      <c r="R882" s="328"/>
      <c r="S882" s="327"/>
      <c r="T882" s="327"/>
      <c r="U882" s="327"/>
      <c r="V882" s="327"/>
      <c r="W882" s="327"/>
      <c r="X882" s="327"/>
    </row>
    <row r="883" spans="1:24" s="279" customFormat="1">
      <c r="A883" s="326"/>
      <c r="B883" s="328"/>
      <c r="C883" s="328"/>
      <c r="D883" s="328"/>
      <c r="E883" s="328"/>
      <c r="F883" s="327"/>
      <c r="G883" s="327"/>
      <c r="H883" s="327"/>
      <c r="I883" s="327"/>
      <c r="J883" s="327"/>
      <c r="K883" s="327"/>
      <c r="L883" s="327"/>
      <c r="M883" s="327"/>
      <c r="N883" s="327"/>
      <c r="O883" s="327"/>
      <c r="P883" s="327"/>
      <c r="Q883" s="327"/>
      <c r="R883" s="328"/>
      <c r="S883" s="327"/>
      <c r="T883" s="327"/>
      <c r="U883" s="327"/>
      <c r="V883" s="327"/>
      <c r="W883" s="327"/>
      <c r="X883" s="327"/>
    </row>
    <row r="884" spans="1:24" s="279" customFormat="1">
      <c r="A884" s="326"/>
      <c r="B884" s="328"/>
      <c r="C884" s="328"/>
      <c r="D884" s="328"/>
      <c r="E884" s="328"/>
      <c r="F884" s="327"/>
      <c r="G884" s="327"/>
      <c r="H884" s="327"/>
      <c r="I884" s="327"/>
      <c r="J884" s="327"/>
      <c r="K884" s="327"/>
      <c r="L884" s="327"/>
      <c r="M884" s="327"/>
      <c r="N884" s="327"/>
      <c r="O884" s="327"/>
      <c r="P884" s="327"/>
      <c r="Q884" s="327"/>
      <c r="R884" s="328"/>
      <c r="S884" s="327"/>
      <c r="T884" s="327"/>
      <c r="U884" s="327"/>
      <c r="V884" s="327"/>
      <c r="W884" s="327"/>
      <c r="X884" s="327"/>
    </row>
    <row r="885" spans="1:24" s="279" customFormat="1">
      <c r="A885" s="326"/>
      <c r="B885" s="328"/>
      <c r="C885" s="328"/>
      <c r="D885" s="328"/>
      <c r="E885" s="328"/>
      <c r="F885" s="327"/>
      <c r="G885" s="327"/>
      <c r="H885" s="327"/>
      <c r="I885" s="327"/>
      <c r="J885" s="327"/>
      <c r="K885" s="327"/>
      <c r="L885" s="327"/>
      <c r="M885" s="327"/>
      <c r="N885" s="327"/>
      <c r="O885" s="327"/>
      <c r="P885" s="327"/>
      <c r="Q885" s="327"/>
      <c r="R885" s="328"/>
      <c r="S885" s="327"/>
      <c r="T885" s="327"/>
      <c r="U885" s="327"/>
      <c r="V885" s="327"/>
      <c r="W885" s="327"/>
      <c r="X885" s="327"/>
    </row>
    <row r="886" spans="1:24" s="279" customFormat="1">
      <c r="A886" s="326"/>
      <c r="B886" s="328"/>
      <c r="C886" s="328"/>
      <c r="D886" s="328"/>
      <c r="E886" s="328"/>
      <c r="F886" s="327"/>
      <c r="G886" s="327"/>
      <c r="H886" s="327"/>
      <c r="I886" s="327"/>
      <c r="J886" s="327"/>
      <c r="K886" s="327"/>
      <c r="L886" s="327"/>
      <c r="M886" s="327"/>
      <c r="N886" s="327"/>
      <c r="O886" s="327"/>
      <c r="P886" s="327"/>
      <c r="Q886" s="327"/>
      <c r="R886" s="328"/>
      <c r="S886" s="327"/>
      <c r="T886" s="327"/>
      <c r="U886" s="327"/>
      <c r="V886" s="327"/>
      <c r="W886" s="327"/>
      <c r="X886" s="327"/>
    </row>
    <row r="887" spans="1:24" s="279" customFormat="1">
      <c r="A887" s="326"/>
      <c r="B887" s="328"/>
      <c r="C887" s="328"/>
      <c r="D887" s="328"/>
      <c r="E887" s="328"/>
      <c r="F887" s="327"/>
      <c r="G887" s="327"/>
      <c r="H887" s="327"/>
      <c r="I887" s="327"/>
      <c r="J887" s="327"/>
      <c r="K887" s="327"/>
      <c r="L887" s="327"/>
      <c r="M887" s="327"/>
      <c r="N887" s="327"/>
      <c r="O887" s="327"/>
      <c r="P887" s="327"/>
      <c r="Q887" s="327"/>
      <c r="R887" s="328"/>
      <c r="S887" s="327"/>
      <c r="T887" s="327"/>
      <c r="U887" s="327"/>
      <c r="V887" s="327"/>
      <c r="W887" s="327"/>
      <c r="X887" s="327"/>
    </row>
    <row r="888" spans="1:24" s="279" customFormat="1">
      <c r="A888" s="326"/>
      <c r="B888" s="328"/>
      <c r="C888" s="328"/>
      <c r="D888" s="328"/>
      <c r="E888" s="328"/>
      <c r="F888" s="327"/>
      <c r="G888" s="327"/>
      <c r="H888" s="327"/>
      <c r="I888" s="327"/>
      <c r="J888" s="327"/>
      <c r="K888" s="327"/>
      <c r="L888" s="327"/>
      <c r="M888" s="327"/>
      <c r="N888" s="327"/>
      <c r="O888" s="327"/>
      <c r="P888" s="327"/>
      <c r="Q888" s="327"/>
      <c r="R888" s="328"/>
      <c r="S888" s="327"/>
      <c r="T888" s="327"/>
      <c r="U888" s="327"/>
      <c r="V888" s="327"/>
      <c r="W888" s="327"/>
      <c r="X888" s="327"/>
    </row>
    <row r="889" spans="1:24" s="279" customFormat="1">
      <c r="A889" s="326"/>
      <c r="B889" s="328"/>
      <c r="C889" s="328"/>
      <c r="D889" s="328"/>
      <c r="E889" s="328"/>
      <c r="F889" s="327"/>
      <c r="G889" s="327"/>
      <c r="H889" s="327"/>
      <c r="I889" s="327"/>
      <c r="J889" s="327"/>
      <c r="K889" s="327"/>
      <c r="L889" s="327"/>
      <c r="M889" s="327"/>
      <c r="N889" s="327"/>
      <c r="O889" s="327"/>
      <c r="P889" s="327"/>
      <c r="Q889" s="327"/>
      <c r="R889" s="328"/>
      <c r="S889" s="327"/>
      <c r="T889" s="327"/>
      <c r="U889" s="327"/>
      <c r="V889" s="327"/>
      <c r="W889" s="327"/>
      <c r="X889" s="327"/>
    </row>
    <row r="890" spans="1:24" s="279" customFormat="1">
      <c r="A890" s="326"/>
      <c r="B890" s="328"/>
      <c r="C890" s="328"/>
      <c r="D890" s="328"/>
      <c r="E890" s="328"/>
      <c r="F890" s="327"/>
      <c r="G890" s="327"/>
      <c r="H890" s="327"/>
      <c r="I890" s="327"/>
      <c r="J890" s="327"/>
      <c r="K890" s="327"/>
      <c r="L890" s="327"/>
      <c r="M890" s="327"/>
      <c r="N890" s="327"/>
      <c r="O890" s="327"/>
      <c r="P890" s="327"/>
      <c r="Q890" s="327"/>
      <c r="R890" s="328"/>
      <c r="S890" s="327"/>
      <c r="T890" s="327"/>
      <c r="U890" s="327"/>
      <c r="V890" s="327"/>
      <c r="W890" s="327"/>
      <c r="X890" s="327"/>
    </row>
    <row r="891" spans="1:24" s="279" customFormat="1">
      <c r="A891" s="326"/>
      <c r="B891" s="328"/>
      <c r="C891" s="328"/>
      <c r="D891" s="328"/>
      <c r="E891" s="328"/>
      <c r="F891" s="327"/>
      <c r="G891" s="327"/>
      <c r="H891" s="327"/>
      <c r="I891" s="327"/>
      <c r="J891" s="327"/>
      <c r="K891" s="327"/>
      <c r="L891" s="327"/>
      <c r="M891" s="327"/>
      <c r="N891" s="327"/>
      <c r="O891" s="327"/>
      <c r="P891" s="327"/>
      <c r="Q891" s="327"/>
      <c r="R891" s="328"/>
      <c r="S891" s="327"/>
      <c r="T891" s="327"/>
      <c r="U891" s="327"/>
      <c r="V891" s="327"/>
      <c r="W891" s="327"/>
      <c r="X891" s="327"/>
    </row>
    <row r="892" spans="1:24" s="279" customFormat="1">
      <c r="A892" s="326"/>
      <c r="B892" s="328"/>
      <c r="C892" s="328"/>
      <c r="D892" s="328"/>
      <c r="E892" s="328"/>
      <c r="F892" s="327"/>
      <c r="G892" s="327"/>
      <c r="H892" s="327"/>
      <c r="I892" s="327"/>
      <c r="J892" s="327"/>
      <c r="K892" s="327"/>
      <c r="L892" s="327"/>
      <c r="M892" s="327"/>
      <c r="N892" s="327"/>
      <c r="O892" s="327"/>
      <c r="P892" s="327"/>
      <c r="Q892" s="327"/>
      <c r="R892" s="328"/>
      <c r="S892" s="327"/>
      <c r="T892" s="327"/>
      <c r="U892" s="327"/>
      <c r="V892" s="327"/>
      <c r="W892" s="327"/>
      <c r="X892" s="327"/>
    </row>
    <row r="893" spans="1:24" s="279" customFormat="1">
      <c r="A893" s="326"/>
      <c r="B893" s="328"/>
      <c r="C893" s="328"/>
      <c r="D893" s="328"/>
      <c r="E893" s="328"/>
      <c r="F893" s="327"/>
      <c r="G893" s="327"/>
      <c r="H893" s="327"/>
      <c r="I893" s="327"/>
      <c r="J893" s="327"/>
      <c r="K893" s="327"/>
      <c r="L893" s="327"/>
      <c r="M893" s="327"/>
      <c r="N893" s="327"/>
      <c r="O893" s="327"/>
      <c r="P893" s="327"/>
      <c r="Q893" s="327"/>
      <c r="R893" s="328"/>
      <c r="S893" s="327"/>
      <c r="T893" s="327"/>
      <c r="U893" s="327"/>
      <c r="V893" s="327"/>
      <c r="W893" s="327"/>
      <c r="X893" s="327"/>
    </row>
    <row r="894" spans="1:24" s="279" customFormat="1">
      <c r="A894" s="326"/>
      <c r="B894" s="328"/>
      <c r="C894" s="328"/>
      <c r="D894" s="328"/>
      <c r="E894" s="328"/>
      <c r="F894" s="327"/>
      <c r="G894" s="327"/>
      <c r="H894" s="327"/>
      <c r="I894" s="327"/>
      <c r="J894" s="327"/>
      <c r="K894" s="327"/>
      <c r="L894" s="327"/>
      <c r="M894" s="327"/>
      <c r="N894" s="327"/>
      <c r="O894" s="327"/>
      <c r="P894" s="327"/>
      <c r="Q894" s="327"/>
      <c r="R894" s="328"/>
      <c r="S894" s="327"/>
      <c r="T894" s="327"/>
      <c r="U894" s="327"/>
      <c r="V894" s="327"/>
      <c r="W894" s="327"/>
      <c r="X894" s="327"/>
    </row>
    <row r="895" spans="1:24" s="279" customFormat="1">
      <c r="A895" s="326"/>
      <c r="B895" s="328"/>
      <c r="C895" s="328"/>
      <c r="D895" s="328"/>
      <c r="E895" s="328"/>
      <c r="F895" s="327"/>
      <c r="G895" s="327"/>
      <c r="H895" s="327"/>
      <c r="I895" s="327"/>
      <c r="J895" s="327"/>
      <c r="K895" s="327"/>
      <c r="L895" s="327"/>
      <c r="M895" s="327"/>
      <c r="N895" s="327"/>
      <c r="O895" s="327"/>
      <c r="P895" s="327"/>
      <c r="Q895" s="327"/>
      <c r="R895" s="328"/>
      <c r="S895" s="327"/>
      <c r="T895" s="327"/>
      <c r="U895" s="327"/>
      <c r="V895" s="327"/>
      <c r="W895" s="327"/>
      <c r="X895" s="327"/>
    </row>
    <row r="896" spans="1:24" s="279" customFormat="1">
      <c r="A896" s="326"/>
      <c r="B896" s="328"/>
      <c r="C896" s="328"/>
      <c r="D896" s="328"/>
      <c r="E896" s="328"/>
      <c r="F896" s="327"/>
      <c r="G896" s="327"/>
      <c r="H896" s="327"/>
      <c r="I896" s="327"/>
      <c r="J896" s="327"/>
      <c r="K896" s="327"/>
      <c r="L896" s="327"/>
      <c r="M896" s="327"/>
      <c r="N896" s="327"/>
      <c r="O896" s="327"/>
      <c r="P896" s="327"/>
      <c r="Q896" s="327"/>
      <c r="R896" s="328"/>
      <c r="S896" s="327"/>
      <c r="T896" s="327"/>
      <c r="U896" s="327"/>
      <c r="V896" s="327"/>
      <c r="W896" s="327"/>
      <c r="X896" s="327"/>
    </row>
    <row r="897" spans="1:24" s="279" customFormat="1">
      <c r="A897" s="326"/>
      <c r="B897" s="328"/>
      <c r="C897" s="328"/>
      <c r="D897" s="328"/>
      <c r="E897" s="328"/>
      <c r="F897" s="327"/>
      <c r="G897" s="327"/>
      <c r="H897" s="327"/>
      <c r="I897" s="327"/>
      <c r="J897" s="327"/>
      <c r="K897" s="327"/>
      <c r="L897" s="327"/>
      <c r="M897" s="327"/>
      <c r="N897" s="327"/>
      <c r="O897" s="327"/>
      <c r="P897" s="327"/>
      <c r="Q897" s="327"/>
      <c r="R897" s="328"/>
      <c r="S897" s="327"/>
      <c r="T897" s="327"/>
      <c r="U897" s="327"/>
      <c r="V897" s="327"/>
      <c r="W897" s="327"/>
      <c r="X897" s="327"/>
    </row>
    <row r="898" spans="1:24" s="279" customFormat="1">
      <c r="A898" s="326"/>
      <c r="B898" s="328"/>
      <c r="C898" s="328"/>
      <c r="D898" s="328"/>
      <c r="E898" s="328"/>
      <c r="F898" s="327"/>
      <c r="G898" s="327"/>
      <c r="H898" s="327"/>
      <c r="I898" s="327"/>
      <c r="J898" s="327"/>
      <c r="K898" s="327"/>
      <c r="L898" s="327"/>
      <c r="M898" s="327"/>
      <c r="N898" s="327"/>
      <c r="O898" s="327"/>
      <c r="P898" s="327"/>
      <c r="Q898" s="327"/>
      <c r="R898" s="328"/>
      <c r="S898" s="327"/>
      <c r="T898" s="327"/>
      <c r="U898" s="327"/>
      <c r="V898" s="327"/>
      <c r="W898" s="327"/>
      <c r="X898" s="327"/>
    </row>
    <row r="899" spans="1:24" s="279" customFormat="1">
      <c r="A899" s="326"/>
      <c r="B899" s="328"/>
      <c r="C899" s="328"/>
      <c r="D899" s="328"/>
      <c r="E899" s="328"/>
      <c r="F899" s="327"/>
      <c r="G899" s="327"/>
      <c r="H899" s="327"/>
      <c r="I899" s="327"/>
      <c r="J899" s="327"/>
      <c r="K899" s="327"/>
      <c r="L899" s="327"/>
      <c r="M899" s="327"/>
      <c r="N899" s="327"/>
      <c r="O899" s="327"/>
      <c r="P899" s="327"/>
      <c r="Q899" s="327"/>
      <c r="R899" s="328"/>
      <c r="S899" s="327"/>
      <c r="T899" s="327"/>
      <c r="U899" s="327"/>
      <c r="V899" s="327"/>
      <c r="W899" s="327"/>
      <c r="X899" s="327"/>
    </row>
    <row r="900" spans="1:24" s="279" customFormat="1">
      <c r="A900" s="326"/>
      <c r="B900" s="328"/>
      <c r="C900" s="328"/>
      <c r="D900" s="328"/>
      <c r="E900" s="328"/>
      <c r="F900" s="327"/>
      <c r="G900" s="327"/>
      <c r="H900" s="327"/>
      <c r="I900" s="327"/>
      <c r="J900" s="327"/>
      <c r="K900" s="327"/>
      <c r="L900" s="327"/>
      <c r="M900" s="327"/>
      <c r="N900" s="327"/>
      <c r="O900" s="327"/>
      <c r="P900" s="327"/>
      <c r="Q900" s="327"/>
      <c r="R900" s="328"/>
      <c r="S900" s="327"/>
      <c r="T900" s="327"/>
      <c r="U900" s="327"/>
      <c r="V900" s="327"/>
      <c r="W900" s="327"/>
      <c r="X900" s="327"/>
    </row>
    <row r="901" spans="1:24" s="279" customFormat="1">
      <c r="A901" s="326"/>
      <c r="B901" s="328"/>
      <c r="C901" s="328"/>
      <c r="D901" s="328"/>
      <c r="E901" s="328"/>
      <c r="F901" s="327"/>
      <c r="G901" s="327"/>
      <c r="H901" s="327"/>
      <c r="I901" s="327"/>
      <c r="J901" s="327"/>
      <c r="K901" s="327"/>
      <c r="L901" s="327"/>
      <c r="M901" s="327"/>
      <c r="N901" s="327"/>
      <c r="O901" s="327"/>
      <c r="P901" s="327"/>
      <c r="Q901" s="327"/>
      <c r="R901" s="328"/>
      <c r="S901" s="327"/>
      <c r="T901" s="327"/>
      <c r="U901" s="327"/>
      <c r="V901" s="327"/>
      <c r="W901" s="327"/>
      <c r="X901" s="327"/>
    </row>
    <row r="902" spans="1:24" s="279" customFormat="1">
      <c r="A902" s="278"/>
      <c r="B902" s="280"/>
      <c r="C902" s="280"/>
      <c r="D902" s="280"/>
      <c r="E902" s="280"/>
      <c r="R902" s="328"/>
      <c r="S902" s="327"/>
      <c r="T902" s="327"/>
      <c r="U902" s="327"/>
      <c r="V902" s="327"/>
      <c r="W902" s="327"/>
      <c r="X902" s="327"/>
    </row>
    <row r="903" spans="1:24" s="279" customFormat="1">
      <c r="A903" s="278"/>
      <c r="B903" s="280"/>
      <c r="C903" s="280"/>
      <c r="D903" s="280"/>
      <c r="E903" s="280"/>
      <c r="R903" s="280"/>
    </row>
    <row r="904" spans="1:24" s="279" customFormat="1">
      <c r="A904" s="278"/>
      <c r="B904" s="280"/>
      <c r="C904" s="280"/>
      <c r="D904" s="280"/>
      <c r="E904" s="280"/>
      <c r="R904" s="280"/>
    </row>
    <row r="905" spans="1:24" s="279" customFormat="1">
      <c r="A905" s="278"/>
      <c r="B905" s="280"/>
      <c r="C905" s="280"/>
      <c r="D905" s="280"/>
      <c r="E905" s="280"/>
      <c r="R905" s="280"/>
    </row>
    <row r="906" spans="1:24" s="279" customFormat="1">
      <c r="A906" s="278"/>
      <c r="B906" s="280"/>
      <c r="C906" s="280"/>
      <c r="D906" s="280"/>
      <c r="E906" s="280"/>
      <c r="R906" s="280"/>
    </row>
    <row r="907" spans="1:24" s="279" customFormat="1">
      <c r="A907" s="278"/>
      <c r="B907" s="280"/>
      <c r="C907" s="280"/>
      <c r="D907" s="280"/>
      <c r="E907" s="280"/>
      <c r="R907" s="280"/>
    </row>
    <row r="908" spans="1:24" s="279" customFormat="1">
      <c r="A908" s="278"/>
      <c r="B908" s="280"/>
      <c r="C908" s="280"/>
      <c r="D908" s="280"/>
      <c r="E908" s="280"/>
      <c r="R908" s="280"/>
    </row>
    <row r="909" spans="1:24" s="279" customFormat="1">
      <c r="A909" s="278"/>
      <c r="B909" s="280"/>
      <c r="C909" s="280"/>
      <c r="D909" s="280"/>
      <c r="E909" s="280"/>
      <c r="R909" s="280"/>
    </row>
    <row r="910" spans="1:24" s="279" customFormat="1">
      <c r="A910" s="278"/>
      <c r="B910" s="280"/>
      <c r="C910" s="280"/>
      <c r="D910" s="280"/>
      <c r="E910" s="280"/>
      <c r="R910" s="280"/>
    </row>
    <row r="911" spans="1:24" s="279" customFormat="1">
      <c r="A911" s="278"/>
      <c r="B911" s="280"/>
      <c r="C911" s="280"/>
      <c r="D911" s="280"/>
      <c r="E911" s="280"/>
      <c r="R911" s="280"/>
    </row>
    <row r="912" spans="1:24" s="279" customFormat="1">
      <c r="A912" s="278"/>
      <c r="B912" s="280"/>
      <c r="C912" s="280"/>
      <c r="D912" s="280"/>
      <c r="E912" s="280"/>
      <c r="R912" s="280"/>
    </row>
    <row r="913" spans="1:18" s="279" customFormat="1">
      <c r="A913" s="278"/>
      <c r="B913" s="280"/>
      <c r="C913" s="280"/>
      <c r="D913" s="280"/>
      <c r="E913" s="280"/>
      <c r="R913" s="280"/>
    </row>
    <row r="914" spans="1:18" s="279" customFormat="1">
      <c r="A914" s="278"/>
      <c r="B914" s="280"/>
      <c r="C914" s="280"/>
      <c r="D914" s="280"/>
      <c r="E914" s="280"/>
      <c r="R914" s="280"/>
    </row>
    <row r="915" spans="1:18" s="279" customFormat="1">
      <c r="A915" s="278"/>
      <c r="B915" s="280"/>
      <c r="C915" s="280"/>
      <c r="D915" s="280"/>
      <c r="E915" s="280"/>
      <c r="R915" s="280"/>
    </row>
    <row r="916" spans="1:18" s="279" customFormat="1">
      <c r="A916" s="278"/>
      <c r="B916" s="280"/>
      <c r="C916" s="280"/>
      <c r="D916" s="280"/>
      <c r="E916" s="280"/>
      <c r="R916" s="280"/>
    </row>
    <row r="917" spans="1:18" s="279" customFormat="1">
      <c r="A917" s="278"/>
      <c r="B917" s="280"/>
      <c r="C917" s="280"/>
      <c r="D917" s="280"/>
      <c r="E917" s="280"/>
      <c r="R917" s="280"/>
    </row>
    <row r="918" spans="1:18" s="279" customFormat="1">
      <c r="A918" s="278"/>
      <c r="B918" s="280"/>
      <c r="C918" s="280"/>
      <c r="D918" s="280"/>
      <c r="E918" s="280"/>
      <c r="R918" s="280"/>
    </row>
    <row r="919" spans="1:18" s="279" customFormat="1">
      <c r="A919" s="278"/>
      <c r="B919" s="280"/>
      <c r="C919" s="280"/>
      <c r="D919" s="280"/>
      <c r="E919" s="280"/>
      <c r="R919" s="280"/>
    </row>
    <row r="920" spans="1:18" s="279" customFormat="1">
      <c r="A920" s="278"/>
      <c r="B920" s="280"/>
      <c r="C920" s="280"/>
      <c r="D920" s="280"/>
      <c r="E920" s="280"/>
      <c r="R920" s="280"/>
    </row>
    <row r="921" spans="1:18" s="279" customFormat="1">
      <c r="A921" s="278"/>
      <c r="B921" s="280"/>
      <c r="C921" s="280"/>
      <c r="D921" s="280"/>
      <c r="E921" s="280"/>
      <c r="R921" s="280"/>
    </row>
    <row r="922" spans="1:18" s="279" customFormat="1">
      <c r="A922" s="278"/>
      <c r="B922" s="280"/>
      <c r="C922" s="280"/>
      <c r="D922" s="280"/>
      <c r="E922" s="280"/>
      <c r="R922" s="280"/>
    </row>
    <row r="923" spans="1:18" s="279" customFormat="1">
      <c r="A923" s="278"/>
      <c r="B923" s="280"/>
      <c r="C923" s="280"/>
      <c r="D923" s="280"/>
      <c r="E923" s="280"/>
      <c r="R923" s="280"/>
    </row>
    <row r="924" spans="1:18" s="279" customFormat="1">
      <c r="A924" s="278"/>
      <c r="B924" s="280"/>
      <c r="C924" s="280"/>
      <c r="D924" s="280"/>
      <c r="E924" s="280"/>
      <c r="R924" s="280"/>
    </row>
    <row r="925" spans="1:18" s="279" customFormat="1">
      <c r="A925" s="278"/>
      <c r="B925" s="280"/>
      <c r="C925" s="280"/>
      <c r="D925" s="280"/>
      <c r="E925" s="280"/>
      <c r="R925" s="280"/>
    </row>
    <row r="926" spans="1:18" s="279" customFormat="1">
      <c r="A926" s="278"/>
      <c r="B926" s="280"/>
      <c r="C926" s="280"/>
      <c r="D926" s="280"/>
      <c r="E926" s="280"/>
      <c r="R926" s="280"/>
    </row>
    <row r="927" spans="1:18" s="279" customFormat="1">
      <c r="A927" s="278"/>
      <c r="B927" s="280"/>
      <c r="C927" s="280"/>
      <c r="D927" s="280"/>
      <c r="E927" s="280"/>
      <c r="R927" s="280"/>
    </row>
    <row r="928" spans="1:18" s="279" customFormat="1">
      <c r="A928" s="278"/>
      <c r="B928" s="280"/>
      <c r="C928" s="280"/>
      <c r="D928" s="280"/>
      <c r="E928" s="280"/>
      <c r="R928" s="280"/>
    </row>
    <row r="929" spans="1:18" s="279" customFormat="1">
      <c r="A929" s="278"/>
      <c r="B929" s="280"/>
      <c r="C929" s="280"/>
      <c r="D929" s="280"/>
      <c r="E929" s="280"/>
      <c r="R929" s="280"/>
    </row>
    <row r="930" spans="1:18" s="279" customFormat="1">
      <c r="A930" s="278"/>
      <c r="B930" s="280"/>
      <c r="C930" s="280"/>
      <c r="D930" s="280"/>
      <c r="E930" s="280"/>
      <c r="R930" s="280"/>
    </row>
    <row r="931" spans="1:18" s="279" customFormat="1">
      <c r="A931" s="278"/>
      <c r="B931" s="280"/>
      <c r="C931" s="280"/>
      <c r="D931" s="280"/>
      <c r="E931" s="280"/>
      <c r="R931" s="280"/>
    </row>
    <row r="932" spans="1:18" s="279" customFormat="1">
      <c r="A932" s="278"/>
      <c r="B932" s="280"/>
      <c r="C932" s="280"/>
      <c r="D932" s="280"/>
      <c r="E932" s="280"/>
      <c r="R932" s="280"/>
    </row>
    <row r="933" spans="1:18" s="279" customFormat="1">
      <c r="A933" s="278"/>
      <c r="B933" s="280"/>
      <c r="C933" s="280"/>
      <c r="D933" s="280"/>
      <c r="E933" s="280"/>
      <c r="R933" s="280"/>
    </row>
    <row r="934" spans="1:18" s="279" customFormat="1">
      <c r="A934" s="278"/>
      <c r="B934" s="280"/>
      <c r="C934" s="280"/>
      <c r="D934" s="280"/>
      <c r="E934" s="280"/>
      <c r="R934" s="280"/>
    </row>
    <row r="935" spans="1:18" s="279" customFormat="1">
      <c r="A935" s="278"/>
      <c r="B935" s="280"/>
      <c r="C935" s="280"/>
      <c r="D935" s="280"/>
      <c r="E935" s="280"/>
      <c r="R935" s="280"/>
    </row>
    <row r="936" spans="1:18" s="279" customFormat="1">
      <c r="A936" s="278"/>
      <c r="B936" s="280"/>
      <c r="C936" s="280"/>
      <c r="D936" s="280"/>
      <c r="E936" s="280"/>
      <c r="R936" s="280"/>
    </row>
    <row r="937" spans="1:18" s="279" customFormat="1">
      <c r="A937" s="278"/>
      <c r="B937" s="280"/>
      <c r="C937" s="280"/>
      <c r="D937" s="280"/>
      <c r="E937" s="280"/>
      <c r="R937" s="280"/>
    </row>
    <row r="938" spans="1:18" s="279" customFormat="1">
      <c r="A938" s="278"/>
      <c r="B938" s="280"/>
      <c r="C938" s="280"/>
      <c r="D938" s="280"/>
      <c r="E938" s="280"/>
      <c r="R938" s="280"/>
    </row>
    <row r="939" spans="1:18" s="279" customFormat="1">
      <c r="A939" s="278"/>
      <c r="B939" s="280"/>
      <c r="C939" s="280"/>
      <c r="D939" s="280"/>
      <c r="E939" s="280"/>
      <c r="R939" s="280"/>
    </row>
    <row r="940" spans="1:18" s="279" customFormat="1">
      <c r="A940" s="278"/>
      <c r="B940" s="280"/>
      <c r="C940" s="280"/>
      <c r="D940" s="280"/>
      <c r="E940" s="280"/>
      <c r="R940" s="280"/>
    </row>
    <row r="941" spans="1:18" s="279" customFormat="1">
      <c r="A941" s="278"/>
      <c r="B941" s="280"/>
      <c r="C941" s="280"/>
      <c r="D941" s="280"/>
      <c r="E941" s="280"/>
      <c r="R941" s="280"/>
    </row>
    <row r="942" spans="1:18" s="279" customFormat="1">
      <c r="A942" s="278"/>
      <c r="B942" s="280"/>
      <c r="C942" s="280"/>
      <c r="D942" s="280"/>
      <c r="E942" s="280"/>
      <c r="R942" s="280"/>
    </row>
    <row r="943" spans="1:18" s="279" customFormat="1">
      <c r="A943" s="278"/>
      <c r="B943" s="280"/>
      <c r="C943" s="280"/>
      <c r="D943" s="280"/>
      <c r="E943" s="280"/>
      <c r="R943" s="280"/>
    </row>
    <row r="944" spans="1:18" s="279" customFormat="1">
      <c r="A944" s="278"/>
      <c r="B944" s="280"/>
      <c r="C944" s="280"/>
      <c r="D944" s="280"/>
      <c r="E944" s="280"/>
      <c r="R944" s="280"/>
    </row>
    <row r="945" spans="1:18" s="279" customFormat="1">
      <c r="A945" s="278"/>
      <c r="B945" s="280"/>
      <c r="C945" s="280"/>
      <c r="D945" s="280"/>
      <c r="E945" s="280"/>
      <c r="R945" s="280"/>
    </row>
    <row r="946" spans="1:18" s="279" customFormat="1">
      <c r="A946" s="278"/>
      <c r="B946" s="280"/>
      <c r="C946" s="280"/>
      <c r="D946" s="280"/>
      <c r="E946" s="280"/>
      <c r="R946" s="280"/>
    </row>
    <row r="947" spans="1:18" s="279" customFormat="1">
      <c r="A947" s="278"/>
      <c r="B947" s="280"/>
      <c r="C947" s="280"/>
      <c r="D947" s="280"/>
      <c r="E947" s="280"/>
      <c r="R947" s="280"/>
    </row>
    <row r="948" spans="1:18" s="279" customFormat="1">
      <c r="A948" s="278"/>
      <c r="B948" s="280"/>
      <c r="C948" s="280"/>
      <c r="D948" s="280"/>
      <c r="E948" s="280"/>
      <c r="R948" s="280"/>
    </row>
    <row r="949" spans="1:18" s="279" customFormat="1">
      <c r="A949" s="278"/>
      <c r="B949" s="280"/>
      <c r="C949" s="280"/>
      <c r="D949" s="280"/>
      <c r="E949" s="280"/>
      <c r="R949" s="280"/>
    </row>
    <row r="950" spans="1:18" s="279" customFormat="1">
      <c r="A950" s="278"/>
      <c r="B950" s="280"/>
      <c r="C950" s="280"/>
      <c r="D950" s="280"/>
      <c r="E950" s="280"/>
      <c r="R950" s="280"/>
    </row>
    <row r="951" spans="1:18" s="279" customFormat="1">
      <c r="A951" s="278"/>
      <c r="B951" s="280"/>
      <c r="C951" s="280"/>
      <c r="D951" s="280"/>
      <c r="E951" s="280"/>
      <c r="R951" s="280"/>
    </row>
    <row r="952" spans="1:18" s="279" customFormat="1">
      <c r="A952" s="278"/>
      <c r="B952" s="280"/>
      <c r="C952" s="280"/>
      <c r="D952" s="280"/>
      <c r="E952" s="280"/>
      <c r="R952" s="280"/>
    </row>
    <row r="953" spans="1:18" s="279" customFormat="1">
      <c r="A953" s="278"/>
      <c r="B953" s="280"/>
      <c r="C953" s="280"/>
      <c r="D953" s="280"/>
      <c r="E953" s="280"/>
      <c r="R953" s="280"/>
    </row>
    <row r="954" spans="1:18" s="279" customFormat="1">
      <c r="A954" s="278"/>
      <c r="B954" s="280"/>
      <c r="C954" s="280"/>
      <c r="D954" s="280"/>
      <c r="E954" s="280"/>
      <c r="R954" s="280"/>
    </row>
    <row r="955" spans="1:18" s="279" customFormat="1">
      <c r="A955" s="278"/>
      <c r="B955" s="280"/>
      <c r="C955" s="280"/>
      <c r="D955" s="280"/>
      <c r="E955" s="280"/>
      <c r="R955" s="280"/>
    </row>
    <row r="956" spans="1:18" s="279" customFormat="1">
      <c r="A956" s="278"/>
      <c r="B956" s="280"/>
      <c r="C956" s="280"/>
      <c r="D956" s="280"/>
      <c r="E956" s="280"/>
      <c r="R956" s="280"/>
    </row>
    <row r="957" spans="1:18" s="279" customFormat="1">
      <c r="A957" s="278"/>
      <c r="B957" s="280"/>
      <c r="C957" s="280"/>
      <c r="D957" s="280"/>
      <c r="E957" s="280"/>
      <c r="R957" s="280"/>
    </row>
    <row r="958" spans="1:18" s="279" customFormat="1">
      <c r="A958" s="278"/>
      <c r="B958" s="280"/>
      <c r="C958" s="280"/>
      <c r="D958" s="280"/>
      <c r="E958" s="280"/>
      <c r="R958" s="280"/>
    </row>
    <row r="959" spans="1:18" s="279" customFormat="1">
      <c r="A959" s="278"/>
      <c r="B959" s="280"/>
      <c r="C959" s="280"/>
      <c r="D959" s="280"/>
      <c r="E959" s="280"/>
      <c r="R959" s="280"/>
    </row>
    <row r="960" spans="1:18" s="279" customFormat="1">
      <c r="A960" s="278"/>
      <c r="B960" s="280"/>
      <c r="C960" s="280"/>
      <c r="D960" s="280"/>
      <c r="E960" s="280"/>
      <c r="R960" s="280"/>
    </row>
    <row r="961" spans="1:18" s="279" customFormat="1">
      <c r="A961" s="278"/>
      <c r="B961" s="280"/>
      <c r="C961" s="280"/>
      <c r="D961" s="280"/>
      <c r="E961" s="280"/>
      <c r="R961" s="280"/>
    </row>
    <row r="962" spans="1:18" s="279" customFormat="1">
      <c r="A962" s="278"/>
      <c r="B962" s="280"/>
      <c r="C962" s="280"/>
      <c r="D962" s="280"/>
      <c r="E962" s="280"/>
      <c r="R962" s="280"/>
    </row>
    <row r="963" spans="1:18" s="279" customFormat="1">
      <c r="A963" s="278"/>
      <c r="B963" s="280"/>
      <c r="C963" s="280"/>
      <c r="D963" s="280"/>
      <c r="E963" s="280"/>
      <c r="R963" s="280"/>
    </row>
    <row r="964" spans="1:18" s="279" customFormat="1">
      <c r="A964" s="278"/>
      <c r="B964" s="280"/>
      <c r="C964" s="280"/>
      <c r="D964" s="280"/>
      <c r="E964" s="280"/>
      <c r="R964" s="280"/>
    </row>
    <row r="965" spans="1:18" s="279" customFormat="1">
      <c r="A965" s="278"/>
      <c r="B965" s="280"/>
      <c r="C965" s="280"/>
      <c r="D965" s="280"/>
      <c r="E965" s="280"/>
      <c r="R965" s="280"/>
    </row>
    <row r="966" spans="1:18" s="279" customFormat="1">
      <c r="A966" s="278"/>
      <c r="B966" s="280"/>
      <c r="C966" s="280"/>
      <c r="D966" s="280"/>
      <c r="E966" s="280"/>
      <c r="R966" s="280"/>
    </row>
    <row r="967" spans="1:18" s="279" customFormat="1">
      <c r="A967" s="278"/>
      <c r="B967" s="280"/>
      <c r="C967" s="280"/>
      <c r="D967" s="280"/>
      <c r="E967" s="280"/>
      <c r="R967" s="280"/>
    </row>
    <row r="968" spans="1:18" s="279" customFormat="1">
      <c r="A968" s="278"/>
      <c r="B968" s="280"/>
      <c r="C968" s="280"/>
      <c r="D968" s="280"/>
      <c r="E968" s="280"/>
      <c r="R968" s="280"/>
    </row>
    <row r="969" spans="1:18" s="279" customFormat="1">
      <c r="A969" s="278"/>
      <c r="B969" s="280"/>
      <c r="C969" s="280"/>
      <c r="D969" s="280"/>
      <c r="E969" s="280"/>
      <c r="R969" s="280"/>
    </row>
    <row r="970" spans="1:18" s="279" customFormat="1">
      <c r="A970" s="278"/>
      <c r="B970" s="280"/>
      <c r="C970" s="280"/>
      <c r="D970" s="280"/>
      <c r="E970" s="280"/>
      <c r="R970" s="280"/>
    </row>
    <row r="971" spans="1:18" s="279" customFormat="1">
      <c r="A971" s="278"/>
      <c r="B971" s="280"/>
      <c r="C971" s="280"/>
      <c r="D971" s="280"/>
      <c r="E971" s="280"/>
      <c r="R971" s="280"/>
    </row>
    <row r="972" spans="1:18" s="279" customFormat="1">
      <c r="A972" s="278"/>
      <c r="B972" s="280"/>
      <c r="C972" s="280"/>
      <c r="D972" s="280"/>
      <c r="E972" s="280"/>
      <c r="R972" s="280"/>
    </row>
    <row r="973" spans="1:18" s="279" customFormat="1">
      <c r="A973" s="278"/>
      <c r="B973" s="280"/>
      <c r="C973" s="280"/>
      <c r="D973" s="280"/>
      <c r="E973" s="280"/>
      <c r="R973" s="280"/>
    </row>
    <row r="974" spans="1:18" s="279" customFormat="1">
      <c r="A974" s="278"/>
      <c r="B974" s="280"/>
      <c r="C974" s="280"/>
      <c r="D974" s="280"/>
      <c r="E974" s="280"/>
      <c r="R974" s="280"/>
    </row>
    <row r="975" spans="1:18" s="279" customFormat="1">
      <c r="A975" s="278"/>
      <c r="B975" s="280"/>
      <c r="C975" s="280"/>
      <c r="D975" s="280"/>
      <c r="E975" s="280"/>
      <c r="R975" s="280"/>
    </row>
    <row r="976" spans="1:18" s="279" customFormat="1">
      <c r="A976" s="278"/>
      <c r="B976" s="280"/>
      <c r="C976" s="280"/>
      <c r="D976" s="280"/>
      <c r="E976" s="280"/>
      <c r="R976" s="280"/>
    </row>
    <row r="977" spans="1:18" s="279" customFormat="1">
      <c r="A977" s="278"/>
      <c r="B977" s="280"/>
      <c r="C977" s="280"/>
      <c r="D977" s="280"/>
      <c r="E977" s="280"/>
      <c r="R977" s="280"/>
    </row>
    <row r="978" spans="1:18" s="279" customFormat="1">
      <c r="A978" s="278"/>
      <c r="B978" s="280"/>
      <c r="C978" s="280"/>
      <c r="D978" s="280"/>
      <c r="E978" s="280"/>
      <c r="R978" s="280"/>
    </row>
    <row r="979" spans="1:18" s="279" customFormat="1">
      <c r="A979" s="278"/>
      <c r="B979" s="280"/>
      <c r="C979" s="280"/>
      <c r="D979" s="280"/>
      <c r="E979" s="280"/>
      <c r="R979" s="280"/>
    </row>
    <row r="980" spans="1:18" s="279" customFormat="1">
      <c r="A980" s="278"/>
      <c r="B980" s="280"/>
      <c r="C980" s="280"/>
      <c r="D980" s="280"/>
      <c r="E980" s="280"/>
      <c r="R980" s="280"/>
    </row>
    <row r="981" spans="1:18" s="279" customFormat="1">
      <c r="A981" s="278"/>
      <c r="B981" s="280"/>
      <c r="C981" s="280"/>
      <c r="D981" s="280"/>
      <c r="E981" s="280"/>
      <c r="R981" s="280"/>
    </row>
    <row r="982" spans="1:18" s="279" customFormat="1">
      <c r="A982" s="278"/>
      <c r="B982" s="280"/>
      <c r="C982" s="280"/>
      <c r="D982" s="280"/>
      <c r="E982" s="280"/>
      <c r="R982" s="280"/>
    </row>
    <row r="983" spans="1:18" s="279" customFormat="1">
      <c r="A983" s="278"/>
      <c r="B983" s="280"/>
      <c r="C983" s="280"/>
      <c r="D983" s="280"/>
      <c r="E983" s="280"/>
      <c r="R983" s="280"/>
    </row>
    <row r="984" spans="1:18" s="279" customFormat="1">
      <c r="A984" s="278"/>
      <c r="B984" s="280"/>
      <c r="C984" s="280"/>
      <c r="D984" s="280"/>
      <c r="E984" s="280"/>
      <c r="R984" s="280"/>
    </row>
    <row r="985" spans="1:18" s="279" customFormat="1">
      <c r="A985" s="278"/>
      <c r="B985" s="280"/>
      <c r="C985" s="280"/>
      <c r="D985" s="280"/>
      <c r="E985" s="280"/>
      <c r="R985" s="280"/>
    </row>
    <row r="986" spans="1:18" s="279" customFormat="1">
      <c r="A986" s="278"/>
      <c r="B986" s="280"/>
      <c r="C986" s="280"/>
      <c r="D986" s="280"/>
      <c r="E986" s="280"/>
      <c r="R986" s="280"/>
    </row>
    <row r="987" spans="1:18" s="279" customFormat="1">
      <c r="A987" s="278"/>
      <c r="B987" s="280"/>
      <c r="C987" s="280"/>
      <c r="D987" s="280"/>
      <c r="E987" s="280"/>
      <c r="R987" s="280"/>
    </row>
    <row r="988" spans="1:18" s="279" customFormat="1">
      <c r="A988" s="278"/>
      <c r="B988" s="280"/>
      <c r="C988" s="280"/>
      <c r="D988" s="280"/>
      <c r="E988" s="280"/>
      <c r="R988" s="280"/>
    </row>
    <row r="989" spans="1:18" s="279" customFormat="1">
      <c r="A989" s="278"/>
      <c r="B989" s="280"/>
      <c r="C989" s="280"/>
      <c r="D989" s="280"/>
      <c r="E989" s="280"/>
      <c r="R989" s="280"/>
    </row>
    <row r="990" spans="1:18" s="279" customFormat="1">
      <c r="A990" s="278"/>
      <c r="B990" s="280"/>
      <c r="C990" s="280"/>
      <c r="D990" s="280"/>
      <c r="E990" s="280"/>
      <c r="R990" s="280"/>
    </row>
    <row r="991" spans="1:18" s="279" customFormat="1">
      <c r="A991" s="278"/>
      <c r="B991" s="280"/>
      <c r="C991" s="280"/>
      <c r="D991" s="280"/>
      <c r="E991" s="280"/>
      <c r="R991" s="280"/>
    </row>
    <row r="992" spans="1:18" s="279" customFormat="1">
      <c r="A992" s="278"/>
      <c r="B992" s="280"/>
      <c r="C992" s="280"/>
      <c r="D992" s="280"/>
      <c r="E992" s="280"/>
      <c r="R992" s="280"/>
    </row>
    <row r="993" spans="1:18" s="279" customFormat="1">
      <c r="A993" s="278"/>
      <c r="B993" s="280"/>
      <c r="C993" s="280"/>
      <c r="D993" s="280"/>
      <c r="E993" s="280"/>
      <c r="R993" s="280"/>
    </row>
    <row r="994" spans="1:18" s="279" customFormat="1">
      <c r="A994" s="278"/>
      <c r="B994" s="280"/>
      <c r="C994" s="280"/>
      <c r="D994" s="280"/>
      <c r="E994" s="280"/>
      <c r="R994" s="280"/>
    </row>
    <row r="995" spans="1:18" s="279" customFormat="1">
      <c r="A995" s="278"/>
      <c r="B995" s="280"/>
      <c r="C995" s="280"/>
      <c r="D995" s="280"/>
      <c r="E995" s="280"/>
      <c r="R995" s="280"/>
    </row>
    <row r="996" spans="1:18" s="279" customFormat="1">
      <c r="A996" s="278"/>
      <c r="B996" s="280"/>
      <c r="C996" s="280"/>
      <c r="D996" s="280"/>
      <c r="E996" s="280"/>
      <c r="R996" s="280"/>
    </row>
    <row r="997" spans="1:18" s="279" customFormat="1">
      <c r="A997" s="278"/>
      <c r="B997" s="280"/>
      <c r="C997" s="280"/>
      <c r="D997" s="280"/>
      <c r="E997" s="280"/>
      <c r="R997" s="280"/>
    </row>
    <row r="998" spans="1:18" s="279" customFormat="1">
      <c r="A998" s="278"/>
      <c r="B998" s="280"/>
      <c r="C998" s="280"/>
      <c r="D998" s="280"/>
      <c r="E998" s="280"/>
      <c r="R998" s="280"/>
    </row>
    <row r="999" spans="1:18" s="279" customFormat="1">
      <c r="A999" s="278"/>
      <c r="B999" s="280"/>
      <c r="C999" s="280"/>
      <c r="D999" s="280"/>
      <c r="E999" s="280"/>
      <c r="R999" s="280"/>
    </row>
    <row r="1000" spans="1:18" s="279" customFormat="1">
      <c r="A1000" s="278"/>
      <c r="B1000" s="280"/>
      <c r="C1000" s="280"/>
      <c r="D1000" s="280"/>
      <c r="E1000" s="280"/>
      <c r="R1000" s="280"/>
    </row>
    <row r="1001" spans="1:18" s="279" customFormat="1">
      <c r="A1001" s="278"/>
      <c r="B1001" s="280"/>
      <c r="C1001" s="280"/>
      <c r="D1001" s="280"/>
      <c r="E1001" s="280"/>
      <c r="R1001" s="280"/>
    </row>
    <row r="1002" spans="1:18" s="279" customFormat="1">
      <c r="A1002" s="278"/>
      <c r="B1002" s="280"/>
      <c r="C1002" s="280"/>
      <c r="D1002" s="280"/>
      <c r="E1002" s="280"/>
      <c r="R1002" s="280"/>
    </row>
    <row r="1003" spans="1:18" s="279" customFormat="1">
      <c r="A1003" s="278"/>
      <c r="B1003" s="280"/>
      <c r="C1003" s="280"/>
      <c r="D1003" s="280"/>
      <c r="E1003" s="280"/>
      <c r="R1003" s="280"/>
    </row>
    <row r="1004" spans="1:18" s="279" customFormat="1">
      <c r="A1004" s="278"/>
      <c r="B1004" s="280"/>
      <c r="C1004" s="280"/>
      <c r="D1004" s="280"/>
      <c r="E1004" s="280"/>
      <c r="R1004" s="280"/>
    </row>
    <row r="1005" spans="1:18" s="279" customFormat="1">
      <c r="A1005" s="278"/>
      <c r="B1005" s="280"/>
      <c r="C1005" s="280"/>
      <c r="D1005" s="280"/>
      <c r="E1005" s="280"/>
      <c r="R1005" s="280"/>
    </row>
    <row r="1006" spans="1:18" s="279" customFormat="1">
      <c r="A1006" s="278"/>
      <c r="B1006" s="280"/>
      <c r="C1006" s="280"/>
      <c r="D1006" s="280"/>
      <c r="E1006" s="280"/>
      <c r="R1006" s="280"/>
    </row>
    <row r="1007" spans="1:18" s="279" customFormat="1">
      <c r="A1007" s="278"/>
      <c r="B1007" s="280"/>
      <c r="C1007" s="280"/>
      <c r="D1007" s="280"/>
      <c r="E1007" s="280"/>
      <c r="R1007" s="280"/>
    </row>
    <row r="1008" spans="1:18" s="279" customFormat="1">
      <c r="A1008" s="278"/>
      <c r="B1008" s="280"/>
      <c r="C1008" s="280"/>
      <c r="D1008" s="280"/>
      <c r="E1008" s="280"/>
      <c r="R1008" s="280"/>
    </row>
    <row r="1009" spans="1:18" s="279" customFormat="1">
      <c r="A1009" s="278"/>
      <c r="B1009" s="280"/>
      <c r="C1009" s="280"/>
      <c r="D1009" s="280"/>
      <c r="E1009" s="280"/>
      <c r="R1009" s="280"/>
    </row>
    <row r="1010" spans="1:18" s="279" customFormat="1">
      <c r="A1010" s="278"/>
      <c r="B1010" s="280"/>
      <c r="C1010" s="280"/>
      <c r="D1010" s="280"/>
      <c r="E1010" s="280"/>
      <c r="R1010" s="280"/>
    </row>
    <row r="1011" spans="1:18" s="279" customFormat="1">
      <c r="A1011" s="278"/>
      <c r="B1011" s="280"/>
      <c r="C1011" s="280"/>
      <c r="D1011" s="280"/>
      <c r="E1011" s="280"/>
      <c r="R1011" s="280"/>
    </row>
    <row r="1012" spans="1:18" s="279" customFormat="1">
      <c r="A1012" s="278"/>
      <c r="B1012" s="280"/>
      <c r="C1012" s="280"/>
      <c r="D1012" s="280"/>
      <c r="E1012" s="280"/>
      <c r="R1012" s="280"/>
    </row>
    <row r="1013" spans="1:18" s="279" customFormat="1">
      <c r="A1013" s="278"/>
      <c r="B1013" s="280"/>
      <c r="C1013" s="280"/>
      <c r="D1013" s="280"/>
      <c r="E1013" s="280"/>
      <c r="R1013" s="280"/>
    </row>
    <row r="1014" spans="1:18" s="279" customFormat="1">
      <c r="A1014" s="278"/>
      <c r="B1014" s="280"/>
      <c r="C1014" s="280"/>
      <c r="D1014" s="280"/>
      <c r="E1014" s="280"/>
      <c r="R1014" s="280"/>
    </row>
    <row r="1015" spans="1:18" s="279" customFormat="1">
      <c r="A1015" s="278"/>
      <c r="B1015" s="280"/>
      <c r="C1015" s="280"/>
      <c r="D1015" s="280"/>
      <c r="E1015" s="280"/>
      <c r="R1015" s="280"/>
    </row>
    <row r="1016" spans="1:18" s="279" customFormat="1">
      <c r="A1016" s="278"/>
      <c r="B1016" s="280"/>
      <c r="C1016" s="280"/>
      <c r="D1016" s="280"/>
      <c r="E1016" s="280"/>
      <c r="R1016" s="280"/>
    </row>
    <row r="1017" spans="1:18" s="279" customFormat="1">
      <c r="A1017" s="278"/>
      <c r="B1017" s="280"/>
      <c r="C1017" s="280"/>
      <c r="D1017" s="280"/>
      <c r="E1017" s="280"/>
      <c r="R1017" s="280"/>
    </row>
    <row r="1018" spans="1:18" s="279" customFormat="1">
      <c r="A1018" s="278"/>
      <c r="B1018" s="280"/>
      <c r="C1018" s="280"/>
      <c r="D1018" s="280"/>
      <c r="E1018" s="280"/>
      <c r="R1018" s="280"/>
    </row>
    <row r="1019" spans="1:18" s="279" customFormat="1">
      <c r="A1019" s="278"/>
      <c r="B1019" s="280"/>
      <c r="C1019" s="280"/>
      <c r="D1019" s="280"/>
      <c r="E1019" s="280"/>
      <c r="R1019" s="280"/>
    </row>
    <row r="1020" spans="1:18" s="279" customFormat="1">
      <c r="A1020" s="278"/>
      <c r="B1020" s="280"/>
      <c r="C1020" s="280"/>
      <c r="D1020" s="280"/>
      <c r="E1020" s="280"/>
      <c r="R1020" s="280"/>
    </row>
    <row r="1021" spans="1:18" s="279" customFormat="1">
      <c r="A1021" s="278"/>
      <c r="B1021" s="280"/>
      <c r="C1021" s="280"/>
      <c r="D1021" s="280"/>
      <c r="E1021" s="280"/>
      <c r="R1021" s="280"/>
    </row>
    <row r="1022" spans="1:18" s="279" customFormat="1">
      <c r="A1022" s="278"/>
      <c r="B1022" s="280"/>
      <c r="C1022" s="280"/>
      <c r="D1022" s="280"/>
      <c r="E1022" s="280"/>
      <c r="R1022" s="280"/>
    </row>
    <row r="1023" spans="1:18" s="279" customFormat="1">
      <c r="A1023" s="278"/>
      <c r="B1023" s="280"/>
      <c r="C1023" s="280"/>
      <c r="D1023" s="280"/>
      <c r="E1023" s="280"/>
      <c r="R1023" s="280"/>
    </row>
    <row r="1024" spans="1:18" s="279" customFormat="1">
      <c r="A1024" s="278"/>
      <c r="B1024" s="280"/>
      <c r="C1024" s="280"/>
      <c r="D1024" s="280"/>
      <c r="E1024" s="280"/>
      <c r="R1024" s="280"/>
    </row>
    <row r="1025" spans="1:18" s="279" customFormat="1">
      <c r="A1025" s="278"/>
      <c r="B1025" s="280"/>
      <c r="C1025" s="280"/>
      <c r="D1025" s="280"/>
      <c r="E1025" s="280"/>
      <c r="R1025" s="280"/>
    </row>
    <row r="1026" spans="1:18" s="279" customFormat="1">
      <c r="A1026" s="278"/>
      <c r="B1026" s="280"/>
      <c r="C1026" s="280"/>
      <c r="D1026" s="280"/>
      <c r="E1026" s="280"/>
      <c r="R1026" s="280"/>
    </row>
    <row r="1027" spans="1:18" s="279" customFormat="1">
      <c r="A1027" s="278"/>
      <c r="B1027" s="280"/>
      <c r="C1027" s="280"/>
      <c r="D1027" s="280"/>
      <c r="E1027" s="280"/>
      <c r="R1027" s="280"/>
    </row>
    <row r="1028" spans="1:18" s="279" customFormat="1">
      <c r="A1028" s="278"/>
      <c r="B1028" s="280"/>
      <c r="C1028" s="280"/>
      <c r="D1028" s="280"/>
      <c r="E1028" s="280"/>
      <c r="R1028" s="280"/>
    </row>
    <row r="1029" spans="1:18" s="279" customFormat="1">
      <c r="A1029" s="278"/>
      <c r="B1029" s="280"/>
      <c r="C1029" s="280"/>
      <c r="D1029" s="280"/>
      <c r="E1029" s="280"/>
      <c r="R1029" s="280"/>
    </row>
    <row r="1030" spans="1:18" s="279" customFormat="1">
      <c r="A1030" s="278"/>
      <c r="B1030" s="280"/>
      <c r="C1030" s="280"/>
      <c r="D1030" s="280"/>
      <c r="E1030" s="280"/>
      <c r="R1030" s="280"/>
    </row>
    <row r="1031" spans="1:18" s="279" customFormat="1">
      <c r="A1031" s="278"/>
      <c r="B1031" s="280"/>
      <c r="C1031" s="280"/>
      <c r="D1031" s="280"/>
      <c r="E1031" s="280"/>
      <c r="R1031" s="280"/>
    </row>
    <row r="1032" spans="1:18" s="279" customFormat="1">
      <c r="A1032" s="278"/>
      <c r="B1032" s="280"/>
      <c r="C1032" s="280"/>
      <c r="D1032" s="280"/>
      <c r="E1032" s="280"/>
      <c r="R1032" s="280"/>
    </row>
    <row r="1033" spans="1:18" s="279" customFormat="1">
      <c r="A1033" s="278"/>
      <c r="B1033" s="280"/>
      <c r="C1033" s="280"/>
      <c r="D1033" s="280"/>
      <c r="E1033" s="280"/>
      <c r="R1033" s="280"/>
    </row>
    <row r="1034" spans="1:18" s="279" customFormat="1">
      <c r="A1034" s="278"/>
      <c r="B1034" s="280"/>
      <c r="C1034" s="280"/>
      <c r="D1034" s="280"/>
      <c r="E1034" s="280"/>
      <c r="R1034" s="280"/>
    </row>
    <row r="1035" spans="1:18" s="279" customFormat="1">
      <c r="A1035" s="278"/>
      <c r="B1035" s="280"/>
      <c r="C1035" s="280"/>
      <c r="D1035" s="280"/>
      <c r="E1035" s="280"/>
      <c r="R1035" s="280"/>
    </row>
    <row r="1036" spans="1:18" s="279" customFormat="1">
      <c r="A1036" s="278"/>
      <c r="B1036" s="280"/>
      <c r="C1036" s="280"/>
      <c r="D1036" s="280"/>
      <c r="E1036" s="280"/>
      <c r="R1036" s="280"/>
    </row>
    <row r="1037" spans="1:18" s="279" customFormat="1">
      <c r="A1037" s="278"/>
      <c r="B1037" s="280"/>
      <c r="C1037" s="280"/>
      <c r="D1037" s="280"/>
      <c r="E1037" s="280"/>
      <c r="R1037" s="280"/>
    </row>
    <row r="1038" spans="1:18" s="279" customFormat="1">
      <c r="A1038" s="278"/>
      <c r="B1038" s="280"/>
      <c r="C1038" s="280"/>
      <c r="D1038" s="280"/>
      <c r="E1038" s="280"/>
      <c r="R1038" s="280"/>
    </row>
    <row r="1039" spans="1:18" s="279" customFormat="1">
      <c r="A1039" s="278"/>
      <c r="B1039" s="280"/>
      <c r="C1039" s="280"/>
      <c r="D1039" s="280"/>
      <c r="E1039" s="280"/>
      <c r="R1039" s="280"/>
    </row>
    <row r="1040" spans="1:18" s="279" customFormat="1">
      <c r="A1040" s="278"/>
      <c r="B1040" s="280"/>
      <c r="C1040" s="280"/>
      <c r="D1040" s="280"/>
      <c r="E1040" s="280"/>
      <c r="R1040" s="280"/>
    </row>
    <row r="1041" spans="1:18" s="279" customFormat="1">
      <c r="A1041" s="278"/>
      <c r="B1041" s="280"/>
      <c r="C1041" s="280"/>
      <c r="D1041" s="280"/>
      <c r="E1041" s="280"/>
      <c r="R1041" s="280"/>
    </row>
    <row r="1042" spans="1:18" s="279" customFormat="1">
      <c r="A1042" s="278"/>
      <c r="B1042" s="280"/>
      <c r="C1042" s="280"/>
      <c r="D1042" s="280"/>
      <c r="E1042" s="280"/>
      <c r="R1042" s="280"/>
    </row>
    <row r="1043" spans="1:18" s="279" customFormat="1">
      <c r="A1043" s="278"/>
      <c r="B1043" s="280"/>
      <c r="C1043" s="280"/>
      <c r="D1043" s="280"/>
      <c r="E1043" s="280"/>
      <c r="R1043" s="280"/>
    </row>
    <row r="1044" spans="1:18" s="279" customFormat="1">
      <c r="A1044" s="278"/>
      <c r="B1044" s="280"/>
      <c r="C1044" s="280"/>
      <c r="D1044" s="280"/>
      <c r="E1044" s="280"/>
      <c r="R1044" s="280"/>
    </row>
    <row r="1045" spans="1:18" s="279" customFormat="1">
      <c r="A1045" s="278"/>
      <c r="B1045" s="280"/>
      <c r="C1045" s="280"/>
      <c r="D1045" s="280"/>
      <c r="E1045" s="280"/>
      <c r="R1045" s="280"/>
    </row>
    <row r="1046" spans="1:18" s="279" customFormat="1">
      <c r="A1046" s="278"/>
      <c r="B1046" s="280"/>
      <c r="C1046" s="280"/>
      <c r="D1046" s="280"/>
      <c r="E1046" s="280"/>
      <c r="R1046" s="280"/>
    </row>
    <row r="1047" spans="1:18" s="279" customFormat="1">
      <c r="A1047" s="278"/>
      <c r="B1047" s="280"/>
      <c r="C1047" s="280"/>
      <c r="D1047" s="280"/>
      <c r="E1047" s="280"/>
      <c r="R1047" s="280"/>
    </row>
    <row r="1048" spans="1:18" s="279" customFormat="1">
      <c r="A1048" s="278"/>
      <c r="B1048" s="280"/>
      <c r="C1048" s="280"/>
      <c r="D1048" s="280"/>
      <c r="E1048" s="280"/>
      <c r="R1048" s="280"/>
    </row>
    <row r="1049" spans="1:18" s="279" customFormat="1">
      <c r="A1049" s="278"/>
      <c r="B1049" s="280"/>
      <c r="C1049" s="280"/>
      <c r="D1049" s="280"/>
      <c r="E1049" s="280"/>
      <c r="R1049" s="280"/>
    </row>
    <row r="1050" spans="1:18" s="279" customFormat="1">
      <c r="A1050" s="278"/>
      <c r="B1050" s="280"/>
      <c r="C1050" s="280"/>
      <c r="D1050" s="280"/>
      <c r="E1050" s="280"/>
      <c r="R1050" s="280"/>
    </row>
    <row r="1051" spans="1:18" s="279" customFormat="1">
      <c r="A1051" s="278"/>
      <c r="B1051" s="280"/>
      <c r="C1051" s="280"/>
      <c r="D1051" s="280"/>
      <c r="E1051" s="280"/>
      <c r="R1051" s="280"/>
    </row>
    <row r="1052" spans="1:18" s="279" customFormat="1">
      <c r="A1052" s="278"/>
      <c r="B1052" s="280"/>
      <c r="C1052" s="280"/>
      <c r="D1052" s="280"/>
      <c r="E1052" s="280"/>
      <c r="R1052" s="280"/>
    </row>
    <row r="1053" spans="1:18" s="279" customFormat="1">
      <c r="A1053" s="278"/>
      <c r="B1053" s="280"/>
      <c r="C1053" s="280"/>
      <c r="D1053" s="280"/>
      <c r="E1053" s="280"/>
      <c r="R1053" s="280"/>
    </row>
    <row r="1054" spans="1:18" s="279" customFormat="1">
      <c r="A1054" s="278"/>
      <c r="B1054" s="280"/>
      <c r="C1054" s="280"/>
      <c r="D1054" s="280"/>
      <c r="E1054" s="280"/>
      <c r="R1054" s="280"/>
    </row>
    <row r="1055" spans="1:18" s="279" customFormat="1">
      <c r="A1055" s="278"/>
      <c r="B1055" s="280"/>
      <c r="C1055" s="280"/>
      <c r="D1055" s="280"/>
      <c r="E1055" s="280"/>
      <c r="R1055" s="280"/>
    </row>
    <row r="1056" spans="1:18" s="279" customFormat="1">
      <c r="A1056" s="278"/>
      <c r="B1056" s="280"/>
      <c r="C1056" s="280"/>
      <c r="D1056" s="280"/>
      <c r="E1056" s="280"/>
      <c r="R1056" s="280"/>
    </row>
    <row r="1057" spans="1:18" s="279" customFormat="1">
      <c r="A1057" s="278"/>
      <c r="B1057" s="280"/>
      <c r="C1057" s="280"/>
      <c r="D1057" s="280"/>
      <c r="E1057" s="280"/>
      <c r="R1057" s="280"/>
    </row>
    <row r="1058" spans="1:18" s="279" customFormat="1">
      <c r="A1058" s="278"/>
      <c r="B1058" s="280"/>
      <c r="C1058" s="280"/>
      <c r="D1058" s="280"/>
      <c r="E1058" s="280"/>
      <c r="R1058" s="280"/>
    </row>
    <row r="1059" spans="1:18" s="279" customFormat="1">
      <c r="A1059" s="278"/>
      <c r="B1059" s="280"/>
      <c r="C1059" s="280"/>
      <c r="D1059" s="280"/>
      <c r="E1059" s="280"/>
      <c r="R1059" s="280"/>
    </row>
    <row r="1060" spans="1:18" s="279" customFormat="1">
      <c r="A1060" s="278"/>
      <c r="B1060" s="280"/>
      <c r="C1060" s="280"/>
      <c r="D1060" s="280"/>
      <c r="E1060" s="280"/>
      <c r="R1060" s="280"/>
    </row>
    <row r="1061" spans="1:18" s="279" customFormat="1">
      <c r="A1061" s="278"/>
      <c r="B1061" s="280"/>
      <c r="C1061" s="280"/>
      <c r="D1061" s="280"/>
      <c r="E1061" s="280"/>
      <c r="R1061" s="280"/>
    </row>
    <row r="1062" spans="1:18" s="279" customFormat="1">
      <c r="A1062" s="278"/>
      <c r="B1062" s="280"/>
      <c r="C1062" s="280"/>
      <c r="D1062" s="280"/>
      <c r="E1062" s="280"/>
      <c r="R1062" s="280"/>
    </row>
    <row r="1063" spans="1:18" s="279" customFormat="1">
      <c r="A1063" s="278"/>
      <c r="B1063" s="280"/>
      <c r="C1063" s="280"/>
      <c r="D1063" s="280"/>
      <c r="E1063" s="280"/>
      <c r="R1063" s="280"/>
    </row>
    <row r="1064" spans="1:18" s="279" customFormat="1">
      <c r="A1064" s="278"/>
      <c r="B1064" s="280"/>
      <c r="C1064" s="280"/>
      <c r="D1064" s="280"/>
      <c r="E1064" s="280"/>
      <c r="R1064" s="280"/>
    </row>
    <row r="1065" spans="1:18" s="279" customFormat="1">
      <c r="A1065" s="278"/>
      <c r="B1065" s="280"/>
      <c r="C1065" s="280"/>
      <c r="D1065" s="280"/>
      <c r="E1065" s="280"/>
      <c r="R1065" s="280"/>
    </row>
    <row r="1066" spans="1:18" s="279" customFormat="1">
      <c r="A1066" s="278"/>
      <c r="B1066" s="280"/>
      <c r="C1066" s="280"/>
      <c r="D1066" s="280"/>
      <c r="E1066" s="280"/>
      <c r="R1066" s="280"/>
    </row>
    <row r="1067" spans="1:18" s="279" customFormat="1">
      <c r="A1067" s="278"/>
      <c r="B1067" s="280"/>
      <c r="C1067" s="280"/>
      <c r="D1067" s="280"/>
      <c r="E1067" s="280"/>
      <c r="R1067" s="280"/>
    </row>
    <row r="1068" spans="1:18" s="279" customFormat="1">
      <c r="A1068" s="278"/>
      <c r="B1068" s="280"/>
      <c r="C1068" s="280"/>
      <c r="D1068" s="280"/>
      <c r="E1068" s="280"/>
      <c r="R1068" s="280"/>
    </row>
    <row r="1069" spans="1:18" s="279" customFormat="1">
      <c r="A1069" s="278"/>
      <c r="B1069" s="280"/>
      <c r="C1069" s="280"/>
      <c r="D1069" s="280"/>
      <c r="E1069" s="280"/>
      <c r="R1069" s="280"/>
    </row>
    <row r="1070" spans="1:18" s="279" customFormat="1">
      <c r="A1070" s="278"/>
      <c r="B1070" s="280"/>
      <c r="C1070" s="280"/>
      <c r="D1070" s="280"/>
      <c r="E1070" s="280"/>
      <c r="R1070" s="280"/>
    </row>
    <row r="1071" spans="1:18" s="279" customFormat="1">
      <c r="A1071" s="278"/>
      <c r="B1071" s="280"/>
      <c r="C1071" s="280"/>
      <c r="D1071" s="280"/>
      <c r="E1071" s="280"/>
      <c r="R1071" s="280"/>
    </row>
    <row r="1072" spans="1:18" s="279" customFormat="1">
      <c r="A1072" s="278"/>
      <c r="B1072" s="280"/>
      <c r="C1072" s="280"/>
      <c r="D1072" s="280"/>
      <c r="E1072" s="280"/>
      <c r="R1072" s="280"/>
    </row>
    <row r="1073" spans="1:18" s="279" customFormat="1">
      <c r="A1073" s="278"/>
      <c r="B1073" s="280"/>
      <c r="C1073" s="280"/>
      <c r="D1073" s="280"/>
      <c r="E1073" s="280"/>
      <c r="R1073" s="280"/>
    </row>
    <row r="1074" spans="1:18" s="279" customFormat="1">
      <c r="A1074" s="278"/>
      <c r="B1074" s="280"/>
      <c r="C1074" s="280"/>
      <c r="D1074" s="280"/>
      <c r="E1074" s="280"/>
      <c r="R1074" s="280"/>
    </row>
    <row r="1075" spans="1:18" s="279" customFormat="1">
      <c r="A1075" s="278"/>
      <c r="B1075" s="280"/>
      <c r="C1075" s="280"/>
      <c r="D1075" s="280"/>
      <c r="E1075" s="280"/>
      <c r="R1075" s="280"/>
    </row>
    <row r="1076" spans="1:18" s="279" customFormat="1">
      <c r="A1076" s="278"/>
      <c r="B1076" s="280"/>
      <c r="C1076" s="280"/>
      <c r="D1076" s="280"/>
      <c r="E1076" s="280"/>
      <c r="R1076" s="280"/>
    </row>
    <row r="1077" spans="1:18" s="279" customFormat="1">
      <c r="A1077" s="278"/>
      <c r="B1077" s="280"/>
      <c r="C1077" s="280"/>
      <c r="D1077" s="280"/>
      <c r="E1077" s="280"/>
      <c r="R1077" s="280"/>
    </row>
    <row r="1078" spans="1:18" s="279" customFormat="1">
      <c r="A1078" s="278"/>
      <c r="B1078" s="280"/>
      <c r="C1078" s="280"/>
      <c r="D1078" s="280"/>
      <c r="E1078" s="280"/>
      <c r="R1078" s="280"/>
    </row>
    <row r="1079" spans="1:18" s="279" customFormat="1">
      <c r="A1079" s="278"/>
      <c r="B1079" s="280"/>
      <c r="C1079" s="280"/>
      <c r="D1079" s="280"/>
      <c r="E1079" s="280"/>
      <c r="R1079" s="280"/>
    </row>
    <row r="1080" spans="1:18" s="279" customFormat="1">
      <c r="A1080" s="278"/>
      <c r="B1080" s="280"/>
      <c r="C1080" s="280"/>
      <c r="D1080" s="280"/>
      <c r="E1080" s="280"/>
      <c r="R1080" s="280"/>
    </row>
    <row r="1081" spans="1:18" s="279" customFormat="1">
      <c r="A1081" s="278"/>
      <c r="B1081" s="280"/>
      <c r="C1081" s="280"/>
      <c r="D1081" s="280"/>
      <c r="E1081" s="280"/>
      <c r="R1081" s="280"/>
    </row>
    <row r="1082" spans="1:18" s="279" customFormat="1">
      <c r="A1082" s="278"/>
      <c r="B1082" s="280"/>
      <c r="C1082" s="280"/>
      <c r="D1082" s="280"/>
      <c r="E1082" s="280"/>
      <c r="R1082" s="280"/>
    </row>
    <row r="1083" spans="1:18" s="279" customFormat="1">
      <c r="A1083" s="278"/>
      <c r="B1083" s="280"/>
      <c r="C1083" s="280"/>
      <c r="D1083" s="280"/>
      <c r="E1083" s="280"/>
      <c r="R1083" s="280"/>
    </row>
    <row r="1084" spans="1:18" s="279" customFormat="1">
      <c r="A1084" s="278"/>
      <c r="B1084" s="280"/>
      <c r="C1084" s="280"/>
      <c r="D1084" s="280"/>
      <c r="E1084" s="280"/>
      <c r="R1084" s="280"/>
    </row>
    <row r="1085" spans="1:18" s="279" customFormat="1">
      <c r="A1085" s="278"/>
      <c r="B1085" s="280"/>
      <c r="C1085" s="280"/>
      <c r="D1085" s="280"/>
      <c r="E1085" s="280"/>
      <c r="R1085" s="280"/>
    </row>
    <row r="1086" spans="1:18" s="279" customFormat="1">
      <c r="A1086" s="278"/>
      <c r="B1086" s="280"/>
      <c r="C1086" s="280"/>
      <c r="D1086" s="280"/>
      <c r="E1086" s="280"/>
      <c r="R1086" s="280"/>
    </row>
    <row r="1087" spans="1:18" s="279" customFormat="1">
      <c r="A1087" s="278"/>
      <c r="B1087" s="280"/>
      <c r="C1087" s="280"/>
      <c r="D1087" s="280"/>
      <c r="E1087" s="280"/>
      <c r="R1087" s="280"/>
    </row>
    <row r="1088" spans="1:18" s="279" customFormat="1">
      <c r="A1088" s="278"/>
      <c r="B1088" s="280"/>
      <c r="C1088" s="280"/>
      <c r="D1088" s="280"/>
      <c r="E1088" s="280"/>
      <c r="R1088" s="280"/>
    </row>
    <row r="1089" spans="1:18" s="279" customFormat="1">
      <c r="A1089" s="278"/>
      <c r="B1089" s="280"/>
      <c r="C1089" s="280"/>
      <c r="D1089" s="280"/>
      <c r="E1089" s="280"/>
      <c r="R1089" s="280"/>
    </row>
    <row r="1090" spans="1:18" s="279" customFormat="1">
      <c r="A1090" s="278"/>
      <c r="B1090" s="280"/>
      <c r="C1090" s="280"/>
      <c r="D1090" s="280"/>
      <c r="E1090" s="280"/>
      <c r="R1090" s="280"/>
    </row>
    <row r="1091" spans="1:18" s="279" customFormat="1">
      <c r="A1091" s="278"/>
      <c r="B1091" s="280"/>
      <c r="C1091" s="280"/>
      <c r="D1091" s="280"/>
      <c r="E1091" s="280"/>
      <c r="R1091" s="280"/>
    </row>
    <row r="1092" spans="1:18" s="279" customFormat="1">
      <c r="A1092" s="278"/>
      <c r="B1092" s="280"/>
      <c r="C1092" s="280"/>
      <c r="D1092" s="280"/>
      <c r="E1092" s="280"/>
      <c r="R1092" s="280"/>
    </row>
    <row r="1093" spans="1:18" s="279" customFormat="1">
      <c r="A1093" s="278"/>
      <c r="B1093" s="280"/>
      <c r="C1093" s="280"/>
      <c r="D1093" s="280"/>
      <c r="E1093" s="280"/>
      <c r="R1093" s="280"/>
    </row>
    <row r="1094" spans="1:18" s="279" customFormat="1">
      <c r="A1094" s="278"/>
      <c r="B1094" s="280"/>
      <c r="C1094" s="280"/>
      <c r="D1094" s="280"/>
      <c r="E1094" s="280"/>
      <c r="R1094" s="280"/>
    </row>
    <row r="1095" spans="1:18" s="279" customFormat="1">
      <c r="A1095" s="278"/>
      <c r="B1095" s="280"/>
      <c r="C1095" s="280"/>
      <c r="D1095" s="280"/>
      <c r="E1095" s="280"/>
      <c r="R1095" s="280"/>
    </row>
    <row r="1096" spans="1:18" s="279" customFormat="1">
      <c r="A1096" s="278"/>
      <c r="B1096" s="280"/>
      <c r="C1096" s="280"/>
      <c r="D1096" s="280"/>
      <c r="E1096" s="280"/>
      <c r="R1096" s="280"/>
    </row>
    <row r="1097" spans="1:18" s="279" customFormat="1">
      <c r="A1097" s="278"/>
      <c r="B1097" s="280"/>
      <c r="C1097" s="280"/>
      <c r="D1097" s="280"/>
      <c r="E1097" s="280"/>
      <c r="R1097" s="280"/>
    </row>
    <row r="1098" spans="1:18" s="279" customFormat="1">
      <c r="A1098" s="278"/>
      <c r="B1098" s="280"/>
      <c r="C1098" s="280"/>
      <c r="D1098" s="280"/>
      <c r="E1098" s="280"/>
      <c r="R1098" s="280"/>
    </row>
    <row r="1099" spans="1:18" s="279" customFormat="1">
      <c r="A1099" s="278"/>
      <c r="B1099" s="280"/>
      <c r="C1099" s="280"/>
      <c r="D1099" s="280"/>
      <c r="E1099" s="280"/>
      <c r="R1099" s="280"/>
    </row>
    <row r="1100" spans="1:18" s="279" customFormat="1">
      <c r="A1100" s="278"/>
      <c r="B1100" s="280"/>
      <c r="C1100" s="280"/>
      <c r="D1100" s="280"/>
      <c r="E1100" s="280"/>
      <c r="R1100" s="280"/>
    </row>
    <row r="1101" spans="1:18" s="279" customFormat="1">
      <c r="A1101" s="278"/>
      <c r="B1101" s="280"/>
      <c r="C1101" s="280"/>
      <c r="D1101" s="280"/>
      <c r="E1101" s="280"/>
      <c r="R1101" s="280"/>
    </row>
    <row r="1102" spans="1:18" s="279" customFormat="1">
      <c r="A1102" s="278"/>
      <c r="B1102" s="280"/>
      <c r="C1102" s="280"/>
      <c r="D1102" s="280"/>
      <c r="E1102" s="280"/>
      <c r="R1102" s="280"/>
    </row>
    <row r="1103" spans="1:18" s="279" customFormat="1">
      <c r="A1103" s="278"/>
      <c r="B1103" s="280"/>
      <c r="C1103" s="280"/>
      <c r="D1103" s="280"/>
      <c r="E1103" s="280"/>
      <c r="R1103" s="280"/>
    </row>
    <row r="1104" spans="1:18" s="279" customFormat="1">
      <c r="A1104" s="278"/>
      <c r="B1104" s="280"/>
      <c r="C1104" s="280"/>
      <c r="D1104" s="280"/>
      <c r="E1104" s="280"/>
      <c r="R1104" s="280"/>
    </row>
    <row r="1105" spans="1:18" s="279" customFormat="1">
      <c r="A1105" s="278"/>
      <c r="B1105" s="280"/>
      <c r="C1105" s="280"/>
      <c r="D1105" s="280"/>
      <c r="E1105" s="280"/>
      <c r="R1105" s="280"/>
    </row>
    <row r="1106" spans="1:18" s="279" customFormat="1">
      <c r="A1106" s="278"/>
      <c r="B1106" s="280"/>
      <c r="C1106" s="280"/>
      <c r="D1106" s="280"/>
      <c r="E1106" s="280"/>
      <c r="R1106" s="280"/>
    </row>
    <row r="1107" spans="1:18" s="279" customFormat="1">
      <c r="A1107" s="278"/>
      <c r="B1107" s="280"/>
      <c r="C1107" s="280"/>
      <c r="D1107" s="280"/>
      <c r="E1107" s="280"/>
      <c r="R1107" s="280"/>
    </row>
    <row r="1108" spans="1:18" s="279" customFormat="1">
      <c r="A1108" s="278"/>
      <c r="B1108" s="280"/>
      <c r="C1108" s="280"/>
      <c r="D1108" s="280"/>
      <c r="E1108" s="280"/>
      <c r="R1108" s="280"/>
    </row>
    <row r="1109" spans="1:18" s="279" customFormat="1">
      <c r="A1109" s="278"/>
      <c r="B1109" s="280"/>
      <c r="C1109" s="280"/>
      <c r="D1109" s="280"/>
      <c r="E1109" s="280"/>
      <c r="R1109" s="280"/>
    </row>
    <row r="1110" spans="1:18" s="279" customFormat="1">
      <c r="A1110" s="278"/>
      <c r="B1110" s="280"/>
      <c r="C1110" s="280"/>
      <c r="D1110" s="280"/>
      <c r="E1110" s="280"/>
      <c r="R1110" s="280"/>
    </row>
    <row r="1111" spans="1:18" s="279" customFormat="1">
      <c r="A1111" s="278"/>
      <c r="B1111" s="280"/>
      <c r="C1111" s="280"/>
      <c r="D1111" s="280"/>
      <c r="E1111" s="280"/>
      <c r="R1111" s="280"/>
    </row>
    <row r="1112" spans="1:18" s="279" customFormat="1">
      <c r="A1112" s="278"/>
      <c r="B1112" s="280"/>
      <c r="C1112" s="280"/>
      <c r="D1112" s="280"/>
      <c r="E1112" s="280"/>
      <c r="R1112" s="280"/>
    </row>
    <row r="1113" spans="1:18" s="279" customFormat="1">
      <c r="A1113" s="278"/>
      <c r="B1113" s="280"/>
      <c r="C1113" s="280"/>
      <c r="D1113" s="280"/>
      <c r="E1113" s="280"/>
      <c r="R1113" s="280"/>
    </row>
    <row r="1114" spans="1:18" s="279" customFormat="1">
      <c r="A1114" s="278"/>
      <c r="B1114" s="280"/>
      <c r="C1114" s="280"/>
      <c r="D1114" s="280"/>
      <c r="E1114" s="280"/>
      <c r="R1114" s="280"/>
    </row>
    <row r="1115" spans="1:18" s="279" customFormat="1">
      <c r="A1115" s="278"/>
      <c r="B1115" s="280"/>
      <c r="C1115" s="280"/>
      <c r="D1115" s="280"/>
      <c r="E1115" s="280"/>
      <c r="R1115" s="280"/>
    </row>
    <row r="1116" spans="1:18" s="279" customFormat="1">
      <c r="A1116" s="278"/>
      <c r="B1116" s="280"/>
      <c r="C1116" s="280"/>
      <c r="D1116" s="280"/>
      <c r="E1116" s="280"/>
      <c r="R1116" s="280"/>
    </row>
    <row r="1117" spans="1:18" s="279" customFormat="1">
      <c r="A1117" s="278"/>
      <c r="B1117" s="280"/>
      <c r="C1117" s="280"/>
      <c r="D1117" s="280"/>
      <c r="E1117" s="280"/>
      <c r="R1117" s="280"/>
    </row>
    <row r="1118" spans="1:18" s="279" customFormat="1">
      <c r="A1118" s="278"/>
      <c r="B1118" s="280"/>
      <c r="C1118" s="280"/>
      <c r="D1118" s="280"/>
      <c r="E1118" s="280"/>
      <c r="R1118" s="280"/>
    </row>
    <row r="1119" spans="1:18" s="279" customFormat="1">
      <c r="A1119" s="278"/>
      <c r="B1119" s="280"/>
      <c r="C1119" s="280"/>
      <c r="D1119" s="280"/>
      <c r="E1119" s="280"/>
      <c r="R1119" s="280"/>
    </row>
    <row r="1120" spans="1:18" s="279" customFormat="1">
      <c r="A1120" s="278"/>
      <c r="B1120" s="280"/>
      <c r="C1120" s="280"/>
      <c r="D1120" s="280"/>
      <c r="E1120" s="280"/>
      <c r="R1120" s="280"/>
    </row>
    <row r="1121" spans="1:18" s="279" customFormat="1">
      <c r="A1121" s="278"/>
      <c r="B1121" s="280"/>
      <c r="C1121" s="280"/>
      <c r="D1121" s="280"/>
      <c r="E1121" s="280"/>
      <c r="R1121" s="280"/>
    </row>
    <row r="1122" spans="1:18" s="279" customFormat="1">
      <c r="A1122" s="278"/>
      <c r="B1122" s="280"/>
      <c r="C1122" s="280"/>
      <c r="D1122" s="280"/>
      <c r="E1122" s="280"/>
      <c r="R1122" s="280"/>
    </row>
    <row r="1123" spans="1:18" s="279" customFormat="1">
      <c r="A1123" s="278"/>
      <c r="B1123" s="280"/>
      <c r="C1123" s="280"/>
      <c r="D1123" s="280"/>
      <c r="E1123" s="280"/>
      <c r="R1123" s="280"/>
    </row>
    <row r="1124" spans="1:18" s="279" customFormat="1">
      <c r="A1124" s="278"/>
      <c r="B1124" s="280"/>
      <c r="C1124" s="280"/>
      <c r="D1124" s="280"/>
      <c r="E1124" s="280"/>
      <c r="R1124" s="280"/>
    </row>
    <row r="1125" spans="1:18" s="279" customFormat="1">
      <c r="A1125" s="278"/>
      <c r="B1125" s="280"/>
      <c r="C1125" s="280"/>
      <c r="D1125" s="280"/>
      <c r="E1125" s="280"/>
      <c r="R1125" s="280"/>
    </row>
    <row r="1126" spans="1:18" s="279" customFormat="1">
      <c r="A1126" s="278"/>
      <c r="B1126" s="280"/>
      <c r="C1126" s="280"/>
      <c r="D1126" s="280"/>
      <c r="E1126" s="280"/>
      <c r="R1126" s="280"/>
    </row>
    <row r="1127" spans="1:18" s="279" customFormat="1">
      <c r="A1127" s="278"/>
      <c r="B1127" s="280"/>
      <c r="C1127" s="280"/>
      <c r="D1127" s="280"/>
      <c r="E1127" s="280"/>
      <c r="R1127" s="280"/>
    </row>
    <row r="1128" spans="1:18" s="279" customFormat="1">
      <c r="A1128" s="278"/>
      <c r="B1128" s="280"/>
      <c r="C1128" s="280"/>
      <c r="D1128" s="280"/>
      <c r="E1128" s="280"/>
      <c r="R1128" s="280"/>
    </row>
    <row r="1129" spans="1:18" s="279" customFormat="1">
      <c r="A1129" s="278"/>
      <c r="B1129" s="280"/>
      <c r="C1129" s="280"/>
      <c r="D1129" s="280"/>
      <c r="E1129" s="280"/>
      <c r="R1129" s="280"/>
    </row>
    <row r="1130" spans="1:18" s="279" customFormat="1">
      <c r="A1130" s="278"/>
      <c r="B1130" s="280"/>
      <c r="C1130" s="280"/>
      <c r="D1130" s="280"/>
      <c r="E1130" s="280"/>
      <c r="R1130" s="280"/>
    </row>
    <row r="1131" spans="1:18" s="279" customFormat="1">
      <c r="A1131" s="278"/>
      <c r="B1131" s="280"/>
      <c r="C1131" s="280"/>
      <c r="D1131" s="280"/>
      <c r="E1131" s="280"/>
      <c r="R1131" s="280"/>
    </row>
    <row r="1132" spans="1:18" s="279" customFormat="1">
      <c r="A1132" s="278"/>
      <c r="B1132" s="280"/>
      <c r="C1132" s="280"/>
      <c r="D1132" s="280"/>
      <c r="E1132" s="280"/>
      <c r="R1132" s="280"/>
    </row>
    <row r="1133" spans="1:18" s="279" customFormat="1">
      <c r="A1133" s="278"/>
      <c r="B1133" s="280"/>
      <c r="C1133" s="280"/>
      <c r="D1133" s="280"/>
      <c r="E1133" s="280"/>
      <c r="R1133" s="280"/>
    </row>
    <row r="1134" spans="1:18" s="279" customFormat="1">
      <c r="A1134" s="278"/>
      <c r="B1134" s="280"/>
      <c r="C1134" s="280"/>
      <c r="D1134" s="280"/>
      <c r="E1134" s="280"/>
      <c r="R1134" s="280"/>
    </row>
    <row r="1135" spans="1:18" s="279" customFormat="1">
      <c r="A1135" s="278"/>
      <c r="B1135" s="280"/>
      <c r="C1135" s="280"/>
      <c r="D1135" s="280"/>
      <c r="E1135" s="280"/>
      <c r="R1135" s="280"/>
    </row>
    <row r="1136" spans="1:18" s="279" customFormat="1">
      <c r="A1136" s="278"/>
      <c r="B1136" s="280"/>
      <c r="C1136" s="280"/>
      <c r="D1136" s="280"/>
      <c r="E1136" s="280"/>
      <c r="R1136" s="280"/>
    </row>
    <row r="1137" spans="1:18" s="279" customFormat="1">
      <c r="A1137" s="278"/>
      <c r="B1137" s="280"/>
      <c r="C1137" s="280"/>
      <c r="D1137" s="280"/>
      <c r="E1137" s="280"/>
      <c r="R1137" s="280"/>
    </row>
    <row r="1138" spans="1:18" s="279" customFormat="1">
      <c r="A1138" s="278"/>
      <c r="B1138" s="280"/>
      <c r="C1138" s="280"/>
      <c r="D1138" s="280"/>
      <c r="E1138" s="280"/>
      <c r="R1138" s="280"/>
    </row>
    <row r="1139" spans="1:18" s="279" customFormat="1">
      <c r="A1139" s="278"/>
      <c r="B1139" s="280"/>
      <c r="C1139" s="280"/>
      <c r="D1139" s="280"/>
      <c r="E1139" s="280"/>
      <c r="R1139" s="280"/>
    </row>
    <row r="1140" spans="1:18" s="279" customFormat="1">
      <c r="A1140" s="278"/>
      <c r="B1140" s="280"/>
      <c r="C1140" s="280"/>
      <c r="D1140" s="280"/>
      <c r="E1140" s="280"/>
      <c r="R1140" s="280"/>
    </row>
    <row r="1141" spans="1:18" s="279" customFormat="1">
      <c r="A1141" s="278"/>
      <c r="B1141" s="280"/>
      <c r="C1141" s="280"/>
      <c r="D1141" s="280"/>
      <c r="E1141" s="280"/>
      <c r="R1141" s="280"/>
    </row>
    <row r="1142" spans="1:18" s="279" customFormat="1">
      <c r="A1142" s="278"/>
      <c r="B1142" s="280"/>
      <c r="C1142" s="280"/>
      <c r="D1142" s="280"/>
      <c r="E1142" s="280"/>
      <c r="R1142" s="280"/>
    </row>
    <row r="1143" spans="1:18" s="279" customFormat="1">
      <c r="A1143" s="278"/>
      <c r="B1143" s="280"/>
      <c r="C1143" s="280"/>
      <c r="D1143" s="280"/>
      <c r="E1143" s="280"/>
      <c r="R1143" s="280"/>
    </row>
    <row r="1144" spans="1:18" s="279" customFormat="1">
      <c r="A1144" s="278"/>
      <c r="B1144" s="280"/>
      <c r="C1144" s="280"/>
      <c r="D1144" s="280"/>
      <c r="E1144" s="280"/>
      <c r="R1144" s="280"/>
    </row>
    <row r="1145" spans="1:18" s="279" customFormat="1">
      <c r="A1145" s="278"/>
      <c r="B1145" s="280"/>
      <c r="C1145" s="280"/>
      <c r="D1145" s="280"/>
      <c r="E1145" s="280"/>
      <c r="R1145" s="280"/>
    </row>
    <row r="1146" spans="1:18" s="279" customFormat="1">
      <c r="A1146" s="278"/>
      <c r="B1146" s="280"/>
      <c r="C1146" s="280"/>
      <c r="D1146" s="280"/>
      <c r="E1146" s="280"/>
      <c r="R1146" s="280"/>
    </row>
    <row r="1147" spans="1:18" s="279" customFormat="1">
      <c r="A1147" s="278"/>
      <c r="B1147" s="280"/>
      <c r="C1147" s="280"/>
      <c r="D1147" s="280"/>
      <c r="E1147" s="280"/>
      <c r="R1147" s="280"/>
    </row>
    <row r="1148" spans="1:18" s="279" customFormat="1">
      <c r="A1148" s="278"/>
      <c r="B1148" s="280"/>
      <c r="C1148" s="280"/>
      <c r="D1148" s="280"/>
      <c r="E1148" s="280"/>
      <c r="R1148" s="280"/>
    </row>
    <row r="1149" spans="1:18" s="279" customFormat="1">
      <c r="A1149" s="278"/>
      <c r="B1149" s="280"/>
      <c r="C1149" s="280"/>
      <c r="D1149" s="280"/>
      <c r="E1149" s="280"/>
      <c r="R1149" s="280"/>
    </row>
    <row r="1150" spans="1:18" s="279" customFormat="1">
      <c r="A1150" s="278"/>
      <c r="B1150" s="280"/>
      <c r="C1150" s="280"/>
      <c r="D1150" s="280"/>
      <c r="E1150" s="280"/>
      <c r="R1150" s="280"/>
    </row>
    <row r="1151" spans="1:18" s="279" customFormat="1">
      <c r="A1151" s="278"/>
      <c r="B1151" s="280"/>
      <c r="C1151" s="280"/>
      <c r="D1151" s="280"/>
      <c r="E1151" s="280"/>
      <c r="R1151" s="280"/>
    </row>
    <row r="1152" spans="1:18" s="279" customFormat="1">
      <c r="A1152" s="278"/>
      <c r="B1152" s="280"/>
      <c r="C1152" s="280"/>
      <c r="D1152" s="280"/>
      <c r="E1152" s="280"/>
      <c r="R1152" s="280"/>
    </row>
    <row r="1153" spans="1:18" s="279" customFormat="1">
      <c r="A1153" s="278"/>
      <c r="B1153" s="280"/>
      <c r="C1153" s="280"/>
      <c r="D1153" s="280"/>
      <c r="E1153" s="280"/>
      <c r="R1153" s="280"/>
    </row>
    <row r="1154" spans="1:18" s="279" customFormat="1">
      <c r="A1154" s="278"/>
      <c r="B1154" s="280"/>
      <c r="C1154" s="280"/>
      <c r="D1154" s="280"/>
      <c r="E1154" s="280"/>
      <c r="R1154" s="280"/>
    </row>
    <row r="1155" spans="1:18" s="279" customFormat="1">
      <c r="A1155" s="278"/>
      <c r="B1155" s="280"/>
      <c r="C1155" s="280"/>
      <c r="D1155" s="280"/>
      <c r="E1155" s="280"/>
      <c r="R1155" s="280"/>
    </row>
    <row r="1156" spans="1:18" s="279" customFormat="1">
      <c r="A1156" s="278"/>
      <c r="B1156" s="280"/>
      <c r="C1156" s="280"/>
      <c r="D1156" s="280"/>
      <c r="E1156" s="280"/>
      <c r="R1156" s="280"/>
    </row>
    <row r="1157" spans="1:18" s="279" customFormat="1">
      <c r="A1157" s="278"/>
      <c r="B1157" s="280"/>
      <c r="C1157" s="280"/>
      <c r="D1157" s="280"/>
      <c r="E1157" s="280"/>
      <c r="R1157" s="280"/>
    </row>
    <row r="1158" spans="1:18" s="279" customFormat="1">
      <c r="A1158" s="278"/>
      <c r="B1158" s="280"/>
      <c r="C1158" s="280"/>
      <c r="D1158" s="280"/>
      <c r="E1158" s="280"/>
      <c r="R1158" s="280"/>
    </row>
    <row r="1159" spans="1:18" s="279" customFormat="1">
      <c r="A1159" s="278"/>
      <c r="B1159" s="280"/>
      <c r="C1159" s="280"/>
      <c r="D1159" s="280"/>
      <c r="E1159" s="280"/>
      <c r="R1159" s="280"/>
    </row>
    <row r="1160" spans="1:18" s="279" customFormat="1">
      <c r="A1160" s="278"/>
      <c r="B1160" s="280"/>
      <c r="C1160" s="280"/>
      <c r="D1160" s="280"/>
      <c r="E1160" s="280"/>
      <c r="R1160" s="280"/>
    </row>
    <row r="1161" spans="1:18" s="279" customFormat="1">
      <c r="A1161" s="278"/>
      <c r="B1161" s="280"/>
      <c r="C1161" s="280"/>
      <c r="D1161" s="280"/>
      <c r="E1161" s="280"/>
      <c r="R1161" s="280"/>
    </row>
    <row r="1162" spans="1:18" s="279" customFormat="1">
      <c r="A1162" s="278"/>
      <c r="B1162" s="280"/>
      <c r="C1162" s="280"/>
      <c r="D1162" s="280"/>
      <c r="E1162" s="280"/>
      <c r="R1162" s="280"/>
    </row>
    <row r="1163" spans="1:18" s="279" customFormat="1">
      <c r="A1163" s="278"/>
      <c r="B1163" s="280"/>
      <c r="C1163" s="280"/>
      <c r="D1163" s="280"/>
      <c r="E1163" s="280"/>
      <c r="R1163" s="280"/>
    </row>
    <row r="1164" spans="1:18" s="279" customFormat="1">
      <c r="A1164" s="278"/>
      <c r="B1164" s="280"/>
      <c r="C1164" s="280"/>
      <c r="D1164" s="280"/>
      <c r="E1164" s="280"/>
      <c r="R1164" s="280"/>
    </row>
    <row r="1165" spans="1:18" s="279" customFormat="1">
      <c r="A1165" s="278"/>
      <c r="B1165" s="280"/>
      <c r="C1165" s="280"/>
      <c r="D1165" s="280"/>
      <c r="E1165" s="280"/>
      <c r="R1165" s="280"/>
    </row>
    <row r="1166" spans="1:18" s="279" customFormat="1">
      <c r="A1166" s="278"/>
      <c r="B1166" s="280"/>
      <c r="C1166" s="280"/>
      <c r="D1166" s="280"/>
      <c r="E1166" s="280"/>
      <c r="R1166" s="280"/>
    </row>
    <row r="1167" spans="1:18" s="279" customFormat="1">
      <c r="A1167" s="278"/>
      <c r="B1167" s="280"/>
      <c r="C1167" s="280"/>
      <c r="D1167" s="280"/>
      <c r="E1167" s="280"/>
      <c r="R1167" s="280"/>
    </row>
    <row r="1168" spans="1:18" s="279" customFormat="1">
      <c r="A1168" s="278"/>
      <c r="B1168" s="280"/>
      <c r="C1168" s="280"/>
      <c r="D1168" s="280"/>
      <c r="E1168" s="280"/>
      <c r="R1168" s="280"/>
    </row>
    <row r="1169" spans="1:18" s="279" customFormat="1">
      <c r="A1169" s="278"/>
      <c r="B1169" s="280"/>
      <c r="C1169" s="280"/>
      <c r="D1169" s="280"/>
      <c r="E1169" s="280"/>
      <c r="R1169" s="280"/>
    </row>
    <row r="1170" spans="1:18" s="279" customFormat="1">
      <c r="A1170" s="278"/>
      <c r="B1170" s="280"/>
      <c r="C1170" s="280"/>
      <c r="D1170" s="280"/>
      <c r="E1170" s="280"/>
      <c r="R1170" s="280"/>
    </row>
    <row r="1171" spans="1:18" s="279" customFormat="1">
      <c r="A1171" s="278"/>
      <c r="B1171" s="280"/>
      <c r="C1171" s="280"/>
      <c r="D1171" s="280"/>
      <c r="E1171" s="280"/>
      <c r="R1171" s="280"/>
    </row>
    <row r="1172" spans="1:18" s="279" customFormat="1">
      <c r="A1172" s="278"/>
      <c r="B1172" s="280"/>
      <c r="C1172" s="280"/>
      <c r="D1172" s="280"/>
      <c r="E1172" s="280"/>
      <c r="R1172" s="280"/>
    </row>
    <row r="1173" spans="1:18" s="279" customFormat="1">
      <c r="A1173" s="278"/>
      <c r="B1173" s="280"/>
      <c r="C1173" s="280"/>
      <c r="D1173" s="280"/>
      <c r="E1173" s="280"/>
      <c r="R1173" s="280"/>
    </row>
    <row r="1174" spans="1:18" s="279" customFormat="1">
      <c r="A1174" s="278"/>
      <c r="B1174" s="280"/>
      <c r="C1174" s="280"/>
      <c r="D1174" s="280"/>
      <c r="E1174" s="280"/>
      <c r="R1174" s="280"/>
    </row>
    <row r="1175" spans="1:18" s="279" customFormat="1">
      <c r="A1175" s="278"/>
      <c r="B1175" s="280"/>
      <c r="C1175" s="280"/>
      <c r="D1175" s="280"/>
      <c r="E1175" s="280"/>
      <c r="R1175" s="280"/>
    </row>
    <row r="1176" spans="1:18" s="279" customFormat="1">
      <c r="A1176" s="278"/>
      <c r="B1176" s="280"/>
      <c r="C1176" s="280"/>
      <c r="D1176" s="280"/>
      <c r="E1176" s="280"/>
      <c r="R1176" s="280"/>
    </row>
    <row r="1177" spans="1:18" s="279" customFormat="1">
      <c r="A1177" s="278"/>
      <c r="B1177" s="280"/>
      <c r="C1177" s="280"/>
      <c r="D1177" s="280"/>
      <c r="E1177" s="280"/>
      <c r="R1177" s="280"/>
    </row>
    <row r="1178" spans="1:18" s="279" customFormat="1">
      <c r="A1178" s="278"/>
      <c r="B1178" s="280"/>
      <c r="C1178" s="280"/>
      <c r="D1178" s="280"/>
      <c r="E1178" s="280"/>
      <c r="R1178" s="280"/>
    </row>
    <row r="1179" spans="1:18" s="279" customFormat="1">
      <c r="A1179" s="278"/>
      <c r="B1179" s="280"/>
      <c r="C1179" s="280"/>
      <c r="D1179" s="280"/>
      <c r="E1179" s="280"/>
      <c r="R1179" s="280"/>
    </row>
    <row r="1180" spans="1:18" s="279" customFormat="1">
      <c r="A1180" s="278"/>
      <c r="B1180" s="280"/>
      <c r="C1180" s="280"/>
      <c r="D1180" s="280"/>
      <c r="E1180" s="280"/>
      <c r="R1180" s="280"/>
    </row>
    <row r="1181" spans="1:18" s="279" customFormat="1">
      <c r="A1181" s="278"/>
      <c r="B1181" s="280"/>
      <c r="C1181" s="280"/>
      <c r="D1181" s="280"/>
      <c r="E1181" s="280"/>
      <c r="R1181" s="280"/>
    </row>
    <row r="1182" spans="1:18" s="279" customFormat="1">
      <c r="A1182" s="278"/>
      <c r="B1182" s="280"/>
      <c r="C1182" s="280"/>
      <c r="D1182" s="280"/>
      <c r="E1182" s="280"/>
      <c r="R1182" s="280"/>
    </row>
    <row r="1183" spans="1:18" s="279" customFormat="1">
      <c r="A1183" s="278"/>
      <c r="B1183" s="280"/>
      <c r="C1183" s="280"/>
      <c r="D1183" s="280"/>
      <c r="E1183" s="280"/>
      <c r="R1183" s="280"/>
    </row>
    <row r="1184" spans="1:18" s="279" customFormat="1">
      <c r="A1184" s="278"/>
      <c r="B1184" s="280"/>
      <c r="C1184" s="280"/>
      <c r="D1184" s="280"/>
      <c r="E1184" s="280"/>
      <c r="R1184" s="280"/>
    </row>
    <row r="1185" spans="1:18" s="279" customFormat="1">
      <c r="A1185" s="278"/>
      <c r="B1185" s="280"/>
      <c r="C1185" s="280"/>
      <c r="D1185" s="280"/>
      <c r="E1185" s="280"/>
      <c r="R1185" s="280"/>
    </row>
    <row r="1186" spans="1:18" s="279" customFormat="1">
      <c r="A1186" s="278"/>
      <c r="B1186" s="280"/>
      <c r="C1186" s="280"/>
      <c r="D1186" s="280"/>
      <c r="E1186" s="280"/>
      <c r="R1186" s="280"/>
    </row>
    <row r="1187" spans="1:18" s="279" customFormat="1">
      <c r="A1187" s="278"/>
      <c r="B1187" s="280"/>
      <c r="C1187" s="280"/>
      <c r="D1187" s="280"/>
      <c r="E1187" s="280"/>
      <c r="R1187" s="280"/>
    </row>
    <row r="1188" spans="1:18" s="279" customFormat="1">
      <c r="A1188" s="278"/>
      <c r="B1188" s="280"/>
      <c r="C1188" s="280"/>
      <c r="D1188" s="280"/>
      <c r="E1188" s="280"/>
      <c r="R1188" s="280"/>
    </row>
    <row r="1189" spans="1:18" s="279" customFormat="1">
      <c r="A1189" s="278"/>
      <c r="B1189" s="280"/>
      <c r="C1189" s="280"/>
      <c r="D1189" s="280"/>
      <c r="E1189" s="280"/>
      <c r="R1189" s="280"/>
    </row>
    <row r="1190" spans="1:18" s="279" customFormat="1">
      <c r="A1190" s="278"/>
      <c r="B1190" s="280"/>
      <c r="C1190" s="280"/>
      <c r="D1190" s="280"/>
      <c r="E1190" s="280"/>
      <c r="R1190" s="280"/>
    </row>
    <row r="1191" spans="1:18" s="279" customFormat="1">
      <c r="A1191" s="278"/>
      <c r="B1191" s="280"/>
      <c r="C1191" s="280"/>
      <c r="D1191" s="280"/>
      <c r="E1191" s="280"/>
      <c r="R1191" s="280"/>
    </row>
    <row r="1192" spans="1:18" s="279" customFormat="1">
      <c r="A1192" s="278"/>
      <c r="B1192" s="280"/>
      <c r="C1192" s="280"/>
      <c r="D1192" s="280"/>
      <c r="E1192" s="280"/>
      <c r="R1192" s="280"/>
    </row>
    <row r="1193" spans="1:18" s="279" customFormat="1">
      <c r="A1193" s="278"/>
      <c r="B1193" s="280"/>
      <c r="C1193" s="280"/>
      <c r="D1193" s="280"/>
      <c r="E1193" s="280"/>
      <c r="R1193" s="280"/>
    </row>
    <row r="1194" spans="1:18" s="279" customFormat="1">
      <c r="A1194" s="278"/>
      <c r="B1194" s="280"/>
      <c r="C1194" s="280"/>
      <c r="D1194" s="280"/>
      <c r="E1194" s="280"/>
      <c r="R1194" s="280"/>
    </row>
    <row r="1195" spans="1:18" s="279" customFormat="1">
      <c r="A1195" s="278"/>
      <c r="B1195" s="280"/>
      <c r="C1195" s="280"/>
      <c r="D1195" s="280"/>
      <c r="E1195" s="280"/>
      <c r="R1195" s="280"/>
    </row>
    <row r="1196" spans="1:18" s="279" customFormat="1">
      <c r="A1196" s="278"/>
      <c r="B1196" s="280"/>
      <c r="C1196" s="280"/>
      <c r="D1196" s="280"/>
      <c r="E1196" s="280"/>
      <c r="R1196" s="280"/>
    </row>
    <row r="1197" spans="1:18" s="279" customFormat="1">
      <c r="A1197" s="278"/>
      <c r="B1197" s="280"/>
      <c r="C1197" s="280"/>
      <c r="D1197" s="280"/>
      <c r="E1197" s="280"/>
      <c r="R1197" s="280"/>
    </row>
    <row r="1198" spans="1:18" s="279" customFormat="1">
      <c r="A1198" s="278"/>
      <c r="B1198" s="280"/>
      <c r="C1198" s="280"/>
      <c r="D1198" s="280"/>
      <c r="E1198" s="280"/>
      <c r="R1198" s="280"/>
    </row>
    <row r="1199" spans="1:18" s="279" customFormat="1">
      <c r="A1199" s="278"/>
      <c r="B1199" s="280"/>
      <c r="C1199" s="280"/>
      <c r="D1199" s="280"/>
      <c r="E1199" s="280"/>
      <c r="R1199" s="280"/>
    </row>
    <row r="1200" spans="1:18" s="279" customFormat="1">
      <c r="A1200" s="278"/>
      <c r="B1200" s="280"/>
      <c r="C1200" s="280"/>
      <c r="D1200" s="280"/>
      <c r="E1200" s="280"/>
      <c r="R1200" s="280"/>
    </row>
    <row r="1201" spans="1:18" s="279" customFormat="1">
      <c r="A1201" s="278"/>
      <c r="B1201" s="280"/>
      <c r="C1201" s="280"/>
      <c r="D1201" s="280"/>
      <c r="E1201" s="280"/>
      <c r="R1201" s="280"/>
    </row>
    <row r="1202" spans="1:18" s="279" customFormat="1">
      <c r="A1202" s="278"/>
      <c r="B1202" s="280"/>
      <c r="C1202" s="280"/>
      <c r="D1202" s="280"/>
      <c r="E1202" s="280"/>
      <c r="R1202" s="280"/>
    </row>
    <row r="1203" spans="1:18" s="279" customFormat="1">
      <c r="A1203" s="278"/>
      <c r="B1203" s="280"/>
      <c r="C1203" s="280"/>
      <c r="D1203" s="280"/>
      <c r="E1203" s="280"/>
      <c r="R1203" s="280"/>
    </row>
    <row r="1204" spans="1:18" s="279" customFormat="1">
      <c r="A1204" s="278"/>
      <c r="B1204" s="280"/>
      <c r="C1204" s="280"/>
      <c r="D1204" s="280"/>
      <c r="E1204" s="280"/>
      <c r="R1204" s="280"/>
    </row>
    <row r="1205" spans="1:18" s="279" customFormat="1">
      <c r="A1205" s="278"/>
      <c r="B1205" s="280"/>
      <c r="C1205" s="280"/>
      <c r="D1205" s="280"/>
      <c r="E1205" s="280"/>
      <c r="R1205" s="280"/>
    </row>
    <row r="1206" spans="1:18" s="279" customFormat="1">
      <c r="A1206" s="278"/>
      <c r="B1206" s="280"/>
      <c r="C1206" s="280"/>
      <c r="D1206" s="280"/>
      <c r="E1206" s="280"/>
      <c r="R1206" s="280"/>
    </row>
    <row r="1207" spans="1:18" s="279" customFormat="1">
      <c r="A1207" s="278"/>
      <c r="B1207" s="280"/>
      <c r="C1207" s="280"/>
      <c r="D1207" s="280"/>
      <c r="E1207" s="280"/>
      <c r="R1207" s="280"/>
    </row>
    <row r="1208" spans="1:18" s="279" customFormat="1">
      <c r="A1208" s="278"/>
      <c r="B1208" s="280"/>
      <c r="C1208" s="280"/>
      <c r="D1208" s="280"/>
      <c r="E1208" s="280"/>
      <c r="R1208" s="280"/>
    </row>
  </sheetData>
  <mergeCells count="4">
    <mergeCell ref="A1:X4"/>
    <mergeCell ref="A11:A12"/>
    <mergeCell ref="F11:O11"/>
    <mergeCell ref="B11:E11"/>
  </mergeCells>
  <conditionalFormatting sqref="F13:F100">
    <cfRule type="cellIs" dxfId="17" priority="15" operator="equal">
      <formula>"Show Stopper"</formula>
    </cfRule>
    <cfRule type="cellIs" dxfId="16" priority="16" operator="equal">
      <formula>"Major"</formula>
    </cfRule>
    <cfRule type="cellIs" dxfId="15" priority="17" operator="equal">
      <formula>"Minor"</formula>
    </cfRule>
    <cfRule type="cellIs" dxfId="14" priority="18" operator="equal">
      <formula>"Low"</formula>
    </cfRule>
  </conditionalFormatting>
  <conditionalFormatting sqref="G13:G100">
    <cfRule type="cellIs" dxfId="13" priority="11" operator="equal">
      <formula>"Critical"</formula>
    </cfRule>
    <cfRule type="cellIs" dxfId="12" priority="12" operator="equal">
      <formula>"High"</formula>
    </cfRule>
    <cfRule type="cellIs" dxfId="11" priority="13" operator="equal">
      <formula>"Medium"</formula>
    </cfRule>
    <cfRule type="cellIs" dxfId="10" priority="14" operator="equal">
      <formula>"Low"</formula>
    </cfRule>
  </conditionalFormatting>
  <conditionalFormatting sqref="H13:H100">
    <cfRule type="cellIs" dxfId="9" priority="1" operator="equal">
      <formula>"Closed"</formula>
    </cfRule>
    <cfRule type="cellIs" dxfId="8" priority="2" operator="equal">
      <formula>"Verified"</formula>
    </cfRule>
    <cfRule type="cellIs" dxfId="7" priority="3" operator="equal">
      <formula>"Reopened"</formula>
    </cfRule>
    <cfRule type="cellIs" dxfId="6" priority="4" operator="equal">
      <formula>"Retest"</formula>
    </cfRule>
    <cfRule type="cellIs" dxfId="5" priority="5" operator="equal">
      <formula>"Fixed"</formula>
    </cfRule>
    <cfRule type="cellIs" dxfId="4" priority="6" operator="equal">
      <formula>"Dropped"</formula>
    </cfRule>
    <cfRule type="cellIs" dxfId="3" priority="7" operator="equal">
      <formula>"Deferred"</formula>
    </cfRule>
    <cfRule type="cellIs" dxfId="2" priority="8" operator="equal">
      <formula>"Assigned"</formula>
    </cfRule>
    <cfRule type="cellIs" dxfId="1" priority="9" operator="equal">
      <formula>"Open"</formula>
    </cfRule>
    <cfRule type="cellIs" dxfId="0" priority="10" operator="equal">
      <formula>"New"</formula>
    </cfRule>
  </conditionalFormatting>
  <dataValidations count="14">
    <dataValidation type="list" allowBlank="1" showInputMessage="1" showErrorMessage="1" sqref="S65524 JO65524 TK65524 ADG65524 ANC65524 AWY65524 BGU65524 BQQ65524 CAM65524 CKI65524 CUE65524 DEA65524 DNW65524 DXS65524 EHO65524 ERK65524 FBG65524 FLC65524 FUY65524 GEU65524 GOQ65524 GYM65524 HII65524 HSE65524 ICA65524 ILW65524 IVS65524 JFO65524 JPK65524 JZG65524 KJC65524 KSY65524 LCU65524 LMQ65524 LWM65524 MGI65524 MQE65524 NAA65524 NJW65524 NTS65524 ODO65524 ONK65524 OXG65524 PHC65524 PQY65524 QAU65524 QKQ65524 QUM65524 REI65524 ROE65524 RYA65524 SHW65524 SRS65524 TBO65524 TLK65524 TVG65524 UFC65524 UOY65524 UYU65524 VIQ65524 VSM65524 WCI65524 WME65524 WWA65524 S131060 JO131060 TK131060 ADG131060 ANC131060 AWY131060 BGU131060 BQQ131060 CAM131060 CKI131060 CUE131060 DEA131060 DNW131060 DXS131060 EHO131060 ERK131060 FBG131060 FLC131060 FUY131060 GEU131060 GOQ131060 GYM131060 HII131060 HSE131060 ICA131060 ILW131060 IVS131060 JFO131060 JPK131060 JZG131060 KJC131060 KSY131060 LCU131060 LMQ131060 LWM131060 MGI131060 MQE131060 NAA131060 NJW131060 NTS131060 ODO131060 ONK131060 OXG131060 PHC131060 PQY131060 QAU131060 QKQ131060 QUM131060 REI131060 ROE131060 RYA131060 SHW131060 SRS131060 TBO131060 TLK131060 TVG131060 UFC131060 UOY131060 UYU131060 VIQ131060 VSM131060 WCI131060 WME131060 WWA131060 S196596 JO196596 TK196596 ADG196596 ANC196596 AWY196596 BGU196596 BQQ196596 CAM196596 CKI196596 CUE196596 DEA196596 DNW196596 DXS196596 EHO196596 ERK196596 FBG196596 FLC196596 FUY196596 GEU196596 GOQ196596 GYM196596 HII196596 HSE196596 ICA196596 ILW196596 IVS196596 JFO196596 JPK196596 JZG196596 KJC196596 KSY196596 LCU196596 LMQ196596 LWM196596 MGI196596 MQE196596 NAA196596 NJW196596 NTS196596 ODO196596 ONK196596 OXG196596 PHC196596 PQY196596 QAU196596 QKQ196596 QUM196596 REI196596 ROE196596 RYA196596 SHW196596 SRS196596 TBO196596 TLK196596 TVG196596 UFC196596 UOY196596 UYU196596 VIQ196596 VSM196596 WCI196596 WME196596 WWA196596 S262132 JO262132 TK262132 ADG262132 ANC262132 AWY262132 BGU262132 BQQ262132 CAM262132 CKI262132 CUE262132 DEA262132 DNW262132 DXS262132 EHO262132 ERK262132 FBG262132 FLC262132 FUY262132 GEU262132 GOQ262132 GYM262132 HII262132 HSE262132 ICA262132 ILW262132 IVS262132 JFO262132 JPK262132 JZG262132 KJC262132 KSY262132 LCU262132 LMQ262132 LWM262132 MGI262132 MQE262132 NAA262132 NJW262132 NTS262132 ODO262132 ONK262132 OXG262132 PHC262132 PQY262132 QAU262132 QKQ262132 QUM262132 REI262132 ROE262132 RYA262132 SHW262132 SRS262132 TBO262132 TLK262132 TVG262132 UFC262132 UOY262132 UYU262132 VIQ262132 VSM262132 WCI262132 WME262132 WWA262132 S327668 JO327668 TK327668 ADG327668 ANC327668 AWY327668 BGU327668 BQQ327668 CAM327668 CKI327668 CUE327668 DEA327668 DNW327668 DXS327668 EHO327668 ERK327668 FBG327668 FLC327668 FUY327668 GEU327668 GOQ327668 GYM327668 HII327668 HSE327668 ICA327668 ILW327668 IVS327668 JFO327668 JPK327668 JZG327668 KJC327668 KSY327668 LCU327668 LMQ327668 LWM327668 MGI327668 MQE327668 NAA327668 NJW327668 NTS327668 ODO327668 ONK327668 OXG327668 PHC327668 PQY327668 QAU327668 QKQ327668 QUM327668 REI327668 ROE327668 RYA327668 SHW327668 SRS327668 TBO327668 TLK327668 TVG327668 UFC327668 UOY327668 UYU327668 VIQ327668 VSM327668 WCI327668 WME327668 WWA327668 S393204 JO393204 TK393204 ADG393204 ANC393204 AWY393204 BGU393204 BQQ393204 CAM393204 CKI393204 CUE393204 DEA393204 DNW393204 DXS393204 EHO393204 ERK393204 FBG393204 FLC393204 FUY393204 GEU393204 GOQ393204 GYM393204 HII393204 HSE393204 ICA393204 ILW393204 IVS393204 JFO393204 JPK393204 JZG393204 KJC393204 KSY393204 LCU393204 LMQ393204 LWM393204 MGI393204 MQE393204 NAA393204 NJW393204 NTS393204 ODO393204 ONK393204 OXG393204 PHC393204 PQY393204 QAU393204 QKQ393204 QUM393204 REI393204 ROE393204 RYA393204 SHW393204 SRS393204 TBO393204 TLK393204 TVG393204 UFC393204 UOY393204 UYU393204 VIQ393204 VSM393204 WCI393204 WME393204 WWA393204 S458740 JO458740 TK458740 ADG458740 ANC458740 AWY458740 BGU458740 BQQ458740 CAM458740 CKI458740 CUE458740 DEA458740 DNW458740 DXS458740 EHO458740 ERK458740 FBG458740 FLC458740 FUY458740 GEU458740 GOQ458740 GYM458740 HII458740 HSE458740 ICA458740 ILW458740 IVS458740 JFO458740 JPK458740 JZG458740 KJC458740 KSY458740 LCU458740 LMQ458740 LWM458740 MGI458740 MQE458740 NAA458740 NJW458740 NTS458740 ODO458740 ONK458740 OXG458740 PHC458740 PQY458740 QAU458740 QKQ458740 QUM458740 REI458740 ROE458740 RYA458740 SHW458740 SRS458740 TBO458740 TLK458740 TVG458740 UFC458740 UOY458740 UYU458740 VIQ458740 VSM458740 WCI458740 WME458740 WWA458740 S524276 JO524276 TK524276 ADG524276 ANC524276 AWY524276 BGU524276 BQQ524276 CAM524276 CKI524276 CUE524276 DEA524276 DNW524276 DXS524276 EHO524276 ERK524276 FBG524276 FLC524276 FUY524276 GEU524276 GOQ524276 GYM524276 HII524276 HSE524276 ICA524276 ILW524276 IVS524276 JFO524276 JPK524276 JZG524276 KJC524276 KSY524276 LCU524276 LMQ524276 LWM524276 MGI524276 MQE524276 NAA524276 NJW524276 NTS524276 ODO524276 ONK524276 OXG524276 PHC524276 PQY524276 QAU524276 QKQ524276 QUM524276 REI524276 ROE524276 RYA524276 SHW524276 SRS524276 TBO524276 TLK524276 TVG524276 UFC524276 UOY524276 UYU524276 VIQ524276 VSM524276 WCI524276 WME524276 WWA524276 S589812 JO589812 TK589812 ADG589812 ANC589812 AWY589812 BGU589812 BQQ589812 CAM589812 CKI589812 CUE589812 DEA589812 DNW589812 DXS589812 EHO589812 ERK589812 FBG589812 FLC589812 FUY589812 GEU589812 GOQ589812 GYM589812 HII589812 HSE589812 ICA589812 ILW589812 IVS589812 JFO589812 JPK589812 JZG589812 KJC589812 KSY589812 LCU589812 LMQ589812 LWM589812 MGI589812 MQE589812 NAA589812 NJW589812 NTS589812 ODO589812 ONK589812 OXG589812 PHC589812 PQY589812 QAU589812 QKQ589812 QUM589812 REI589812 ROE589812 RYA589812 SHW589812 SRS589812 TBO589812 TLK589812 TVG589812 UFC589812 UOY589812 UYU589812 VIQ589812 VSM589812 WCI589812 WME589812 WWA589812 S655348 JO655348 TK655348 ADG655348 ANC655348 AWY655348 BGU655348 BQQ655348 CAM655348 CKI655348 CUE655348 DEA655348 DNW655348 DXS655348 EHO655348 ERK655348 FBG655348 FLC655348 FUY655348 GEU655348 GOQ655348 GYM655348 HII655348 HSE655348 ICA655348 ILW655348 IVS655348 JFO655348 JPK655348 JZG655348 KJC655348 KSY655348 LCU655348 LMQ655348 LWM655348 MGI655348 MQE655348 NAA655348 NJW655348 NTS655348 ODO655348 ONK655348 OXG655348 PHC655348 PQY655348 QAU655348 QKQ655348 QUM655348 REI655348 ROE655348 RYA655348 SHW655348 SRS655348 TBO655348 TLK655348 TVG655348 UFC655348 UOY655348 UYU655348 VIQ655348 VSM655348 WCI655348 WME655348 WWA655348 S720884 JO720884 TK720884 ADG720884 ANC720884 AWY720884 BGU720884 BQQ720884 CAM720884 CKI720884 CUE720884 DEA720884 DNW720884 DXS720884 EHO720884 ERK720884 FBG720884 FLC720884 FUY720884 GEU720884 GOQ720884 GYM720884 HII720884 HSE720884 ICA720884 ILW720884 IVS720884 JFO720884 JPK720884 JZG720884 KJC720884 KSY720884 LCU720884 LMQ720884 LWM720884 MGI720884 MQE720884 NAA720884 NJW720884 NTS720884 ODO720884 ONK720884 OXG720884 PHC720884 PQY720884 QAU720884 QKQ720884 QUM720884 REI720884 ROE720884 RYA720884 SHW720884 SRS720884 TBO720884 TLK720884 TVG720884 UFC720884 UOY720884 UYU720884 VIQ720884 VSM720884 WCI720884 WME720884 WWA720884 S786420 JO786420 TK786420 ADG786420 ANC786420 AWY786420 BGU786420 BQQ786420 CAM786420 CKI786420 CUE786420 DEA786420 DNW786420 DXS786420 EHO786420 ERK786420 FBG786420 FLC786420 FUY786420 GEU786420 GOQ786420 GYM786420 HII786420 HSE786420 ICA786420 ILW786420 IVS786420 JFO786420 JPK786420 JZG786420 KJC786420 KSY786420 LCU786420 LMQ786420 LWM786420 MGI786420 MQE786420 NAA786420 NJW786420 NTS786420 ODO786420 ONK786420 OXG786420 PHC786420 PQY786420 QAU786420 QKQ786420 QUM786420 REI786420 ROE786420 RYA786420 SHW786420 SRS786420 TBO786420 TLK786420 TVG786420 UFC786420 UOY786420 UYU786420 VIQ786420 VSM786420 WCI786420 WME786420 WWA786420 S851956 JO851956 TK851956 ADG851956 ANC851956 AWY851956 BGU851956 BQQ851956 CAM851956 CKI851956 CUE851956 DEA851956 DNW851956 DXS851956 EHO851956 ERK851956 FBG851956 FLC851956 FUY851956 GEU851956 GOQ851956 GYM851956 HII851956 HSE851956 ICA851956 ILW851956 IVS851956 JFO851956 JPK851956 JZG851956 KJC851956 KSY851956 LCU851956 LMQ851956 LWM851956 MGI851956 MQE851956 NAA851956 NJW851956 NTS851956 ODO851956 ONK851956 OXG851956 PHC851956 PQY851956 QAU851956 QKQ851956 QUM851956 REI851956 ROE851956 RYA851956 SHW851956 SRS851956 TBO851956 TLK851956 TVG851956 UFC851956 UOY851956 UYU851956 VIQ851956 VSM851956 WCI851956 WME851956 WWA851956 S917492 JO917492 TK917492 ADG917492 ANC917492 AWY917492 BGU917492 BQQ917492 CAM917492 CKI917492 CUE917492 DEA917492 DNW917492 DXS917492 EHO917492 ERK917492 FBG917492 FLC917492 FUY917492 GEU917492 GOQ917492 GYM917492 HII917492 HSE917492 ICA917492 ILW917492 IVS917492 JFO917492 JPK917492 JZG917492 KJC917492 KSY917492 LCU917492 LMQ917492 LWM917492 MGI917492 MQE917492 NAA917492 NJW917492 NTS917492 ODO917492 ONK917492 OXG917492 PHC917492 PQY917492 QAU917492 QKQ917492 QUM917492 REI917492 ROE917492 RYA917492 SHW917492 SRS917492 TBO917492 TLK917492 TVG917492 UFC917492 UOY917492 UYU917492 VIQ917492 VSM917492 WCI917492 WME917492 WWA917492 S983028 JO983028 TK983028 ADG983028 ANC983028 AWY983028 BGU983028 BQQ983028 CAM983028 CKI983028 CUE983028 DEA983028 DNW983028 DXS983028 EHO983028 ERK983028 FBG983028 FLC983028 FUY983028 GEU983028 GOQ983028 GYM983028 HII983028 HSE983028 ICA983028 ILW983028 IVS983028 JFO983028 JPK983028 JZG983028 KJC983028 KSY983028 LCU983028 LMQ983028 LWM983028 MGI983028 MQE983028 NAA983028 NJW983028 NTS983028 ODO983028 ONK983028 OXG983028 PHC983028 PQY983028 QAU983028 QKQ983028 QUM983028 REI983028 ROE983028 RYA983028 SHW983028 SRS983028 TBO983028 TLK983028 TVG983028 UFC983028 UOY983028 UYU983028 VIQ983028 VSM983028 WCI983028 WME983028 WWA983028">
      <formula1>"Output Files, Reports"</formula1>
    </dataValidation>
    <dataValidation type="list" allowBlank="1" showInputMessage="1" showErrorMessage="1" sqref="S65480:S65523 JO65480:JO65523 TK65480:TK65523 ADG65480:ADG65523 ANC65480:ANC65523 AWY65480:AWY65523 BGU65480:BGU65523 BQQ65480:BQQ65523 CAM65480:CAM65523 CKI65480:CKI65523 CUE65480:CUE65523 DEA65480:DEA65523 DNW65480:DNW65523 DXS65480:DXS65523 EHO65480:EHO65523 ERK65480:ERK65523 FBG65480:FBG65523 FLC65480:FLC65523 FUY65480:FUY65523 GEU65480:GEU65523 GOQ65480:GOQ65523 GYM65480:GYM65523 HII65480:HII65523 HSE65480:HSE65523 ICA65480:ICA65523 ILW65480:ILW65523 IVS65480:IVS65523 JFO65480:JFO65523 JPK65480:JPK65523 JZG65480:JZG65523 KJC65480:KJC65523 KSY65480:KSY65523 LCU65480:LCU65523 LMQ65480:LMQ65523 LWM65480:LWM65523 MGI65480:MGI65523 MQE65480:MQE65523 NAA65480:NAA65523 NJW65480:NJW65523 NTS65480:NTS65523 ODO65480:ODO65523 ONK65480:ONK65523 OXG65480:OXG65523 PHC65480:PHC65523 PQY65480:PQY65523 QAU65480:QAU65523 QKQ65480:QKQ65523 QUM65480:QUM65523 REI65480:REI65523 ROE65480:ROE65523 RYA65480:RYA65523 SHW65480:SHW65523 SRS65480:SRS65523 TBO65480:TBO65523 TLK65480:TLK65523 TVG65480:TVG65523 UFC65480:UFC65523 UOY65480:UOY65523 UYU65480:UYU65523 VIQ65480:VIQ65523 VSM65480:VSM65523 WCI65480:WCI65523 WME65480:WME65523 WWA65480:WWA65523 S131016:S131059 JO131016:JO131059 TK131016:TK131059 ADG131016:ADG131059 ANC131016:ANC131059 AWY131016:AWY131059 BGU131016:BGU131059 BQQ131016:BQQ131059 CAM131016:CAM131059 CKI131016:CKI131059 CUE131016:CUE131059 DEA131016:DEA131059 DNW131016:DNW131059 DXS131016:DXS131059 EHO131016:EHO131059 ERK131016:ERK131059 FBG131016:FBG131059 FLC131016:FLC131059 FUY131016:FUY131059 GEU131016:GEU131059 GOQ131016:GOQ131059 GYM131016:GYM131059 HII131016:HII131059 HSE131016:HSE131059 ICA131016:ICA131059 ILW131016:ILW131059 IVS131016:IVS131059 JFO131016:JFO131059 JPK131016:JPK131059 JZG131016:JZG131059 KJC131016:KJC131059 KSY131016:KSY131059 LCU131016:LCU131059 LMQ131016:LMQ131059 LWM131016:LWM131059 MGI131016:MGI131059 MQE131016:MQE131059 NAA131016:NAA131059 NJW131016:NJW131059 NTS131016:NTS131059 ODO131016:ODO131059 ONK131016:ONK131059 OXG131016:OXG131059 PHC131016:PHC131059 PQY131016:PQY131059 QAU131016:QAU131059 QKQ131016:QKQ131059 QUM131016:QUM131059 REI131016:REI131059 ROE131016:ROE131059 RYA131016:RYA131059 SHW131016:SHW131059 SRS131016:SRS131059 TBO131016:TBO131059 TLK131016:TLK131059 TVG131016:TVG131059 UFC131016:UFC131059 UOY131016:UOY131059 UYU131016:UYU131059 VIQ131016:VIQ131059 VSM131016:VSM131059 WCI131016:WCI131059 WME131016:WME131059 WWA131016:WWA131059 S196552:S196595 JO196552:JO196595 TK196552:TK196595 ADG196552:ADG196595 ANC196552:ANC196595 AWY196552:AWY196595 BGU196552:BGU196595 BQQ196552:BQQ196595 CAM196552:CAM196595 CKI196552:CKI196595 CUE196552:CUE196595 DEA196552:DEA196595 DNW196552:DNW196595 DXS196552:DXS196595 EHO196552:EHO196595 ERK196552:ERK196595 FBG196552:FBG196595 FLC196552:FLC196595 FUY196552:FUY196595 GEU196552:GEU196595 GOQ196552:GOQ196595 GYM196552:GYM196595 HII196552:HII196595 HSE196552:HSE196595 ICA196552:ICA196595 ILW196552:ILW196595 IVS196552:IVS196595 JFO196552:JFO196595 JPK196552:JPK196595 JZG196552:JZG196595 KJC196552:KJC196595 KSY196552:KSY196595 LCU196552:LCU196595 LMQ196552:LMQ196595 LWM196552:LWM196595 MGI196552:MGI196595 MQE196552:MQE196595 NAA196552:NAA196595 NJW196552:NJW196595 NTS196552:NTS196595 ODO196552:ODO196595 ONK196552:ONK196595 OXG196552:OXG196595 PHC196552:PHC196595 PQY196552:PQY196595 QAU196552:QAU196595 QKQ196552:QKQ196595 QUM196552:QUM196595 REI196552:REI196595 ROE196552:ROE196595 RYA196552:RYA196595 SHW196552:SHW196595 SRS196552:SRS196595 TBO196552:TBO196595 TLK196552:TLK196595 TVG196552:TVG196595 UFC196552:UFC196595 UOY196552:UOY196595 UYU196552:UYU196595 VIQ196552:VIQ196595 VSM196552:VSM196595 WCI196552:WCI196595 WME196552:WME196595 WWA196552:WWA196595 S262088:S262131 JO262088:JO262131 TK262088:TK262131 ADG262088:ADG262131 ANC262088:ANC262131 AWY262088:AWY262131 BGU262088:BGU262131 BQQ262088:BQQ262131 CAM262088:CAM262131 CKI262088:CKI262131 CUE262088:CUE262131 DEA262088:DEA262131 DNW262088:DNW262131 DXS262088:DXS262131 EHO262088:EHO262131 ERK262088:ERK262131 FBG262088:FBG262131 FLC262088:FLC262131 FUY262088:FUY262131 GEU262088:GEU262131 GOQ262088:GOQ262131 GYM262088:GYM262131 HII262088:HII262131 HSE262088:HSE262131 ICA262088:ICA262131 ILW262088:ILW262131 IVS262088:IVS262131 JFO262088:JFO262131 JPK262088:JPK262131 JZG262088:JZG262131 KJC262088:KJC262131 KSY262088:KSY262131 LCU262088:LCU262131 LMQ262088:LMQ262131 LWM262088:LWM262131 MGI262088:MGI262131 MQE262088:MQE262131 NAA262088:NAA262131 NJW262088:NJW262131 NTS262088:NTS262131 ODO262088:ODO262131 ONK262088:ONK262131 OXG262088:OXG262131 PHC262088:PHC262131 PQY262088:PQY262131 QAU262088:QAU262131 QKQ262088:QKQ262131 QUM262088:QUM262131 REI262088:REI262131 ROE262088:ROE262131 RYA262088:RYA262131 SHW262088:SHW262131 SRS262088:SRS262131 TBO262088:TBO262131 TLK262088:TLK262131 TVG262088:TVG262131 UFC262088:UFC262131 UOY262088:UOY262131 UYU262088:UYU262131 VIQ262088:VIQ262131 VSM262088:VSM262131 WCI262088:WCI262131 WME262088:WME262131 WWA262088:WWA262131 S327624:S327667 JO327624:JO327667 TK327624:TK327667 ADG327624:ADG327667 ANC327624:ANC327667 AWY327624:AWY327667 BGU327624:BGU327667 BQQ327624:BQQ327667 CAM327624:CAM327667 CKI327624:CKI327667 CUE327624:CUE327667 DEA327624:DEA327667 DNW327624:DNW327667 DXS327624:DXS327667 EHO327624:EHO327667 ERK327624:ERK327667 FBG327624:FBG327667 FLC327624:FLC327667 FUY327624:FUY327667 GEU327624:GEU327667 GOQ327624:GOQ327667 GYM327624:GYM327667 HII327624:HII327667 HSE327624:HSE327667 ICA327624:ICA327667 ILW327624:ILW327667 IVS327624:IVS327667 JFO327624:JFO327667 JPK327624:JPK327667 JZG327624:JZG327667 KJC327624:KJC327667 KSY327624:KSY327667 LCU327624:LCU327667 LMQ327624:LMQ327667 LWM327624:LWM327667 MGI327624:MGI327667 MQE327624:MQE327667 NAA327624:NAA327667 NJW327624:NJW327667 NTS327624:NTS327667 ODO327624:ODO327667 ONK327624:ONK327667 OXG327624:OXG327667 PHC327624:PHC327667 PQY327624:PQY327667 QAU327624:QAU327667 QKQ327624:QKQ327667 QUM327624:QUM327667 REI327624:REI327667 ROE327624:ROE327667 RYA327624:RYA327667 SHW327624:SHW327667 SRS327624:SRS327667 TBO327624:TBO327667 TLK327624:TLK327667 TVG327624:TVG327667 UFC327624:UFC327667 UOY327624:UOY327667 UYU327624:UYU327667 VIQ327624:VIQ327667 VSM327624:VSM327667 WCI327624:WCI327667 WME327624:WME327667 WWA327624:WWA327667 S393160:S393203 JO393160:JO393203 TK393160:TK393203 ADG393160:ADG393203 ANC393160:ANC393203 AWY393160:AWY393203 BGU393160:BGU393203 BQQ393160:BQQ393203 CAM393160:CAM393203 CKI393160:CKI393203 CUE393160:CUE393203 DEA393160:DEA393203 DNW393160:DNW393203 DXS393160:DXS393203 EHO393160:EHO393203 ERK393160:ERK393203 FBG393160:FBG393203 FLC393160:FLC393203 FUY393160:FUY393203 GEU393160:GEU393203 GOQ393160:GOQ393203 GYM393160:GYM393203 HII393160:HII393203 HSE393160:HSE393203 ICA393160:ICA393203 ILW393160:ILW393203 IVS393160:IVS393203 JFO393160:JFO393203 JPK393160:JPK393203 JZG393160:JZG393203 KJC393160:KJC393203 KSY393160:KSY393203 LCU393160:LCU393203 LMQ393160:LMQ393203 LWM393160:LWM393203 MGI393160:MGI393203 MQE393160:MQE393203 NAA393160:NAA393203 NJW393160:NJW393203 NTS393160:NTS393203 ODO393160:ODO393203 ONK393160:ONK393203 OXG393160:OXG393203 PHC393160:PHC393203 PQY393160:PQY393203 QAU393160:QAU393203 QKQ393160:QKQ393203 QUM393160:QUM393203 REI393160:REI393203 ROE393160:ROE393203 RYA393160:RYA393203 SHW393160:SHW393203 SRS393160:SRS393203 TBO393160:TBO393203 TLK393160:TLK393203 TVG393160:TVG393203 UFC393160:UFC393203 UOY393160:UOY393203 UYU393160:UYU393203 VIQ393160:VIQ393203 VSM393160:VSM393203 WCI393160:WCI393203 WME393160:WME393203 WWA393160:WWA393203 S458696:S458739 JO458696:JO458739 TK458696:TK458739 ADG458696:ADG458739 ANC458696:ANC458739 AWY458696:AWY458739 BGU458696:BGU458739 BQQ458696:BQQ458739 CAM458696:CAM458739 CKI458696:CKI458739 CUE458696:CUE458739 DEA458696:DEA458739 DNW458696:DNW458739 DXS458696:DXS458739 EHO458696:EHO458739 ERK458696:ERK458739 FBG458696:FBG458739 FLC458696:FLC458739 FUY458696:FUY458739 GEU458696:GEU458739 GOQ458696:GOQ458739 GYM458696:GYM458739 HII458696:HII458739 HSE458696:HSE458739 ICA458696:ICA458739 ILW458696:ILW458739 IVS458696:IVS458739 JFO458696:JFO458739 JPK458696:JPK458739 JZG458696:JZG458739 KJC458696:KJC458739 KSY458696:KSY458739 LCU458696:LCU458739 LMQ458696:LMQ458739 LWM458696:LWM458739 MGI458696:MGI458739 MQE458696:MQE458739 NAA458696:NAA458739 NJW458696:NJW458739 NTS458696:NTS458739 ODO458696:ODO458739 ONK458696:ONK458739 OXG458696:OXG458739 PHC458696:PHC458739 PQY458696:PQY458739 QAU458696:QAU458739 QKQ458696:QKQ458739 QUM458696:QUM458739 REI458696:REI458739 ROE458696:ROE458739 RYA458696:RYA458739 SHW458696:SHW458739 SRS458696:SRS458739 TBO458696:TBO458739 TLK458696:TLK458739 TVG458696:TVG458739 UFC458696:UFC458739 UOY458696:UOY458739 UYU458696:UYU458739 VIQ458696:VIQ458739 VSM458696:VSM458739 WCI458696:WCI458739 WME458696:WME458739 WWA458696:WWA458739 S524232:S524275 JO524232:JO524275 TK524232:TK524275 ADG524232:ADG524275 ANC524232:ANC524275 AWY524232:AWY524275 BGU524232:BGU524275 BQQ524232:BQQ524275 CAM524232:CAM524275 CKI524232:CKI524275 CUE524232:CUE524275 DEA524232:DEA524275 DNW524232:DNW524275 DXS524232:DXS524275 EHO524232:EHO524275 ERK524232:ERK524275 FBG524232:FBG524275 FLC524232:FLC524275 FUY524232:FUY524275 GEU524232:GEU524275 GOQ524232:GOQ524275 GYM524232:GYM524275 HII524232:HII524275 HSE524232:HSE524275 ICA524232:ICA524275 ILW524232:ILW524275 IVS524232:IVS524275 JFO524232:JFO524275 JPK524232:JPK524275 JZG524232:JZG524275 KJC524232:KJC524275 KSY524232:KSY524275 LCU524232:LCU524275 LMQ524232:LMQ524275 LWM524232:LWM524275 MGI524232:MGI524275 MQE524232:MQE524275 NAA524232:NAA524275 NJW524232:NJW524275 NTS524232:NTS524275 ODO524232:ODO524275 ONK524232:ONK524275 OXG524232:OXG524275 PHC524232:PHC524275 PQY524232:PQY524275 QAU524232:QAU524275 QKQ524232:QKQ524275 QUM524232:QUM524275 REI524232:REI524275 ROE524232:ROE524275 RYA524232:RYA524275 SHW524232:SHW524275 SRS524232:SRS524275 TBO524232:TBO524275 TLK524232:TLK524275 TVG524232:TVG524275 UFC524232:UFC524275 UOY524232:UOY524275 UYU524232:UYU524275 VIQ524232:VIQ524275 VSM524232:VSM524275 WCI524232:WCI524275 WME524232:WME524275 WWA524232:WWA524275 S589768:S589811 JO589768:JO589811 TK589768:TK589811 ADG589768:ADG589811 ANC589768:ANC589811 AWY589768:AWY589811 BGU589768:BGU589811 BQQ589768:BQQ589811 CAM589768:CAM589811 CKI589768:CKI589811 CUE589768:CUE589811 DEA589768:DEA589811 DNW589768:DNW589811 DXS589768:DXS589811 EHO589768:EHO589811 ERK589768:ERK589811 FBG589768:FBG589811 FLC589768:FLC589811 FUY589768:FUY589811 GEU589768:GEU589811 GOQ589768:GOQ589811 GYM589768:GYM589811 HII589768:HII589811 HSE589768:HSE589811 ICA589768:ICA589811 ILW589768:ILW589811 IVS589768:IVS589811 JFO589768:JFO589811 JPK589768:JPK589811 JZG589768:JZG589811 KJC589768:KJC589811 KSY589768:KSY589811 LCU589768:LCU589811 LMQ589768:LMQ589811 LWM589768:LWM589811 MGI589768:MGI589811 MQE589768:MQE589811 NAA589768:NAA589811 NJW589768:NJW589811 NTS589768:NTS589811 ODO589768:ODO589811 ONK589768:ONK589811 OXG589768:OXG589811 PHC589768:PHC589811 PQY589768:PQY589811 QAU589768:QAU589811 QKQ589768:QKQ589811 QUM589768:QUM589811 REI589768:REI589811 ROE589768:ROE589811 RYA589768:RYA589811 SHW589768:SHW589811 SRS589768:SRS589811 TBO589768:TBO589811 TLK589768:TLK589811 TVG589768:TVG589811 UFC589768:UFC589811 UOY589768:UOY589811 UYU589768:UYU589811 VIQ589768:VIQ589811 VSM589768:VSM589811 WCI589768:WCI589811 WME589768:WME589811 WWA589768:WWA589811 S655304:S655347 JO655304:JO655347 TK655304:TK655347 ADG655304:ADG655347 ANC655304:ANC655347 AWY655304:AWY655347 BGU655304:BGU655347 BQQ655304:BQQ655347 CAM655304:CAM655347 CKI655304:CKI655347 CUE655304:CUE655347 DEA655304:DEA655347 DNW655304:DNW655347 DXS655304:DXS655347 EHO655304:EHO655347 ERK655304:ERK655347 FBG655304:FBG655347 FLC655304:FLC655347 FUY655304:FUY655347 GEU655304:GEU655347 GOQ655304:GOQ655347 GYM655304:GYM655347 HII655304:HII655347 HSE655304:HSE655347 ICA655304:ICA655347 ILW655304:ILW655347 IVS655304:IVS655347 JFO655304:JFO655347 JPK655304:JPK655347 JZG655304:JZG655347 KJC655304:KJC655347 KSY655304:KSY655347 LCU655304:LCU655347 LMQ655304:LMQ655347 LWM655304:LWM655347 MGI655304:MGI655347 MQE655304:MQE655347 NAA655304:NAA655347 NJW655304:NJW655347 NTS655304:NTS655347 ODO655304:ODO655347 ONK655304:ONK655347 OXG655304:OXG655347 PHC655304:PHC655347 PQY655304:PQY655347 QAU655304:QAU655347 QKQ655304:QKQ655347 QUM655304:QUM655347 REI655304:REI655347 ROE655304:ROE655347 RYA655304:RYA655347 SHW655304:SHW655347 SRS655304:SRS655347 TBO655304:TBO655347 TLK655304:TLK655347 TVG655304:TVG655347 UFC655304:UFC655347 UOY655304:UOY655347 UYU655304:UYU655347 VIQ655304:VIQ655347 VSM655304:VSM655347 WCI655304:WCI655347 WME655304:WME655347 WWA655304:WWA655347 S720840:S720883 JO720840:JO720883 TK720840:TK720883 ADG720840:ADG720883 ANC720840:ANC720883 AWY720840:AWY720883 BGU720840:BGU720883 BQQ720840:BQQ720883 CAM720840:CAM720883 CKI720840:CKI720883 CUE720840:CUE720883 DEA720840:DEA720883 DNW720840:DNW720883 DXS720840:DXS720883 EHO720840:EHO720883 ERK720840:ERK720883 FBG720840:FBG720883 FLC720840:FLC720883 FUY720840:FUY720883 GEU720840:GEU720883 GOQ720840:GOQ720883 GYM720840:GYM720883 HII720840:HII720883 HSE720840:HSE720883 ICA720840:ICA720883 ILW720840:ILW720883 IVS720840:IVS720883 JFO720840:JFO720883 JPK720840:JPK720883 JZG720840:JZG720883 KJC720840:KJC720883 KSY720840:KSY720883 LCU720840:LCU720883 LMQ720840:LMQ720883 LWM720840:LWM720883 MGI720840:MGI720883 MQE720840:MQE720883 NAA720840:NAA720883 NJW720840:NJW720883 NTS720840:NTS720883 ODO720840:ODO720883 ONK720840:ONK720883 OXG720840:OXG720883 PHC720840:PHC720883 PQY720840:PQY720883 QAU720840:QAU720883 QKQ720840:QKQ720883 QUM720840:QUM720883 REI720840:REI720883 ROE720840:ROE720883 RYA720840:RYA720883 SHW720840:SHW720883 SRS720840:SRS720883 TBO720840:TBO720883 TLK720840:TLK720883 TVG720840:TVG720883 UFC720840:UFC720883 UOY720840:UOY720883 UYU720840:UYU720883 VIQ720840:VIQ720883 VSM720840:VSM720883 WCI720840:WCI720883 WME720840:WME720883 WWA720840:WWA720883 S786376:S786419 JO786376:JO786419 TK786376:TK786419 ADG786376:ADG786419 ANC786376:ANC786419 AWY786376:AWY786419 BGU786376:BGU786419 BQQ786376:BQQ786419 CAM786376:CAM786419 CKI786376:CKI786419 CUE786376:CUE786419 DEA786376:DEA786419 DNW786376:DNW786419 DXS786376:DXS786419 EHO786376:EHO786419 ERK786376:ERK786419 FBG786376:FBG786419 FLC786376:FLC786419 FUY786376:FUY786419 GEU786376:GEU786419 GOQ786376:GOQ786419 GYM786376:GYM786419 HII786376:HII786419 HSE786376:HSE786419 ICA786376:ICA786419 ILW786376:ILW786419 IVS786376:IVS786419 JFO786376:JFO786419 JPK786376:JPK786419 JZG786376:JZG786419 KJC786376:KJC786419 KSY786376:KSY786419 LCU786376:LCU786419 LMQ786376:LMQ786419 LWM786376:LWM786419 MGI786376:MGI786419 MQE786376:MQE786419 NAA786376:NAA786419 NJW786376:NJW786419 NTS786376:NTS786419 ODO786376:ODO786419 ONK786376:ONK786419 OXG786376:OXG786419 PHC786376:PHC786419 PQY786376:PQY786419 QAU786376:QAU786419 QKQ786376:QKQ786419 QUM786376:QUM786419 REI786376:REI786419 ROE786376:ROE786419 RYA786376:RYA786419 SHW786376:SHW786419 SRS786376:SRS786419 TBO786376:TBO786419 TLK786376:TLK786419 TVG786376:TVG786419 UFC786376:UFC786419 UOY786376:UOY786419 UYU786376:UYU786419 VIQ786376:VIQ786419 VSM786376:VSM786419 WCI786376:WCI786419 WME786376:WME786419 WWA786376:WWA786419 S851912:S851955 JO851912:JO851955 TK851912:TK851955 ADG851912:ADG851955 ANC851912:ANC851955 AWY851912:AWY851955 BGU851912:BGU851955 BQQ851912:BQQ851955 CAM851912:CAM851955 CKI851912:CKI851955 CUE851912:CUE851955 DEA851912:DEA851955 DNW851912:DNW851955 DXS851912:DXS851955 EHO851912:EHO851955 ERK851912:ERK851955 FBG851912:FBG851955 FLC851912:FLC851955 FUY851912:FUY851955 GEU851912:GEU851955 GOQ851912:GOQ851955 GYM851912:GYM851955 HII851912:HII851955 HSE851912:HSE851955 ICA851912:ICA851955 ILW851912:ILW851955 IVS851912:IVS851955 JFO851912:JFO851955 JPK851912:JPK851955 JZG851912:JZG851955 KJC851912:KJC851955 KSY851912:KSY851955 LCU851912:LCU851955 LMQ851912:LMQ851955 LWM851912:LWM851955 MGI851912:MGI851955 MQE851912:MQE851955 NAA851912:NAA851955 NJW851912:NJW851955 NTS851912:NTS851955 ODO851912:ODO851955 ONK851912:ONK851955 OXG851912:OXG851955 PHC851912:PHC851955 PQY851912:PQY851955 QAU851912:QAU851955 QKQ851912:QKQ851955 QUM851912:QUM851955 REI851912:REI851955 ROE851912:ROE851955 RYA851912:RYA851955 SHW851912:SHW851955 SRS851912:SRS851955 TBO851912:TBO851955 TLK851912:TLK851955 TVG851912:TVG851955 UFC851912:UFC851955 UOY851912:UOY851955 UYU851912:UYU851955 VIQ851912:VIQ851955 VSM851912:VSM851955 WCI851912:WCI851955 WME851912:WME851955 WWA851912:WWA851955 S917448:S917491 JO917448:JO917491 TK917448:TK917491 ADG917448:ADG917491 ANC917448:ANC917491 AWY917448:AWY917491 BGU917448:BGU917491 BQQ917448:BQQ917491 CAM917448:CAM917491 CKI917448:CKI917491 CUE917448:CUE917491 DEA917448:DEA917491 DNW917448:DNW917491 DXS917448:DXS917491 EHO917448:EHO917491 ERK917448:ERK917491 FBG917448:FBG917491 FLC917448:FLC917491 FUY917448:FUY917491 GEU917448:GEU917491 GOQ917448:GOQ917491 GYM917448:GYM917491 HII917448:HII917491 HSE917448:HSE917491 ICA917448:ICA917491 ILW917448:ILW917491 IVS917448:IVS917491 JFO917448:JFO917491 JPK917448:JPK917491 JZG917448:JZG917491 KJC917448:KJC917491 KSY917448:KSY917491 LCU917448:LCU917491 LMQ917448:LMQ917491 LWM917448:LWM917491 MGI917448:MGI917491 MQE917448:MQE917491 NAA917448:NAA917491 NJW917448:NJW917491 NTS917448:NTS917491 ODO917448:ODO917491 ONK917448:ONK917491 OXG917448:OXG917491 PHC917448:PHC917491 PQY917448:PQY917491 QAU917448:QAU917491 QKQ917448:QKQ917491 QUM917448:QUM917491 REI917448:REI917491 ROE917448:ROE917491 RYA917448:RYA917491 SHW917448:SHW917491 SRS917448:SRS917491 TBO917448:TBO917491 TLK917448:TLK917491 TVG917448:TVG917491 UFC917448:UFC917491 UOY917448:UOY917491 UYU917448:UYU917491 VIQ917448:VIQ917491 VSM917448:VSM917491 WCI917448:WCI917491 WME917448:WME917491 WWA917448:WWA917491 S982984:S983027 JO982984:JO983027 TK982984:TK983027 ADG982984:ADG983027 ANC982984:ANC983027 AWY982984:AWY983027 BGU982984:BGU983027 BQQ982984:BQQ983027 CAM982984:CAM983027 CKI982984:CKI983027 CUE982984:CUE983027 DEA982984:DEA983027 DNW982984:DNW983027 DXS982984:DXS983027 EHO982984:EHO983027 ERK982984:ERK983027 FBG982984:FBG983027 FLC982984:FLC983027 FUY982984:FUY983027 GEU982984:GEU983027 GOQ982984:GOQ983027 GYM982984:GYM983027 HII982984:HII983027 HSE982984:HSE983027 ICA982984:ICA983027 ILW982984:ILW983027 IVS982984:IVS983027 JFO982984:JFO983027 JPK982984:JPK983027 JZG982984:JZG983027 KJC982984:KJC983027 KSY982984:KSY983027 LCU982984:LCU983027 LMQ982984:LMQ983027 LWM982984:LWM983027 MGI982984:MGI983027 MQE982984:MQE983027 NAA982984:NAA983027 NJW982984:NJW983027 NTS982984:NTS983027 ODO982984:ODO983027 ONK982984:ONK983027 OXG982984:OXG983027 PHC982984:PHC983027 PQY982984:PQY983027 QAU982984:QAU983027 QKQ982984:QKQ983027 QUM982984:QUM983027 REI982984:REI983027 ROE982984:ROE983027 RYA982984:RYA983027 SHW982984:SHW983027 SRS982984:SRS983027 TBO982984:TBO983027 TLK982984:TLK983027 TVG982984:TVG983027 UFC982984:UFC983027 UOY982984:UOY983027 UYU982984:UYU983027 VIQ982984:VIQ983027 VSM982984:VSM983027 WCI982984:WCI983027 WME982984:WME983027 WWA982984:WWA983027">
      <formula1>"Content Management, Software Loading, Reporting, "</formula1>
    </dataValidation>
    <dataValidation type="list" allowBlank="1" showInputMessage="1" showErrorMessage="1" sqref="C65504:C65525 JB65504:JB65525 SX65504:SX65525 ACT65504:ACT65525 AMP65504:AMP65525 AWL65504:AWL65525 BGH65504:BGH65525 BQD65504:BQD65525 BZZ65504:BZZ65525 CJV65504:CJV65525 CTR65504:CTR65525 DDN65504:DDN65525 DNJ65504:DNJ65525 DXF65504:DXF65525 EHB65504:EHB65525 EQX65504:EQX65525 FAT65504:FAT65525 FKP65504:FKP65525 FUL65504:FUL65525 GEH65504:GEH65525 GOD65504:GOD65525 GXZ65504:GXZ65525 HHV65504:HHV65525 HRR65504:HRR65525 IBN65504:IBN65525 ILJ65504:ILJ65525 IVF65504:IVF65525 JFB65504:JFB65525 JOX65504:JOX65525 JYT65504:JYT65525 KIP65504:KIP65525 KSL65504:KSL65525 LCH65504:LCH65525 LMD65504:LMD65525 LVZ65504:LVZ65525 MFV65504:MFV65525 MPR65504:MPR65525 MZN65504:MZN65525 NJJ65504:NJJ65525 NTF65504:NTF65525 ODB65504:ODB65525 OMX65504:OMX65525 OWT65504:OWT65525 PGP65504:PGP65525 PQL65504:PQL65525 QAH65504:QAH65525 QKD65504:QKD65525 QTZ65504:QTZ65525 RDV65504:RDV65525 RNR65504:RNR65525 RXN65504:RXN65525 SHJ65504:SHJ65525 SRF65504:SRF65525 TBB65504:TBB65525 TKX65504:TKX65525 TUT65504:TUT65525 UEP65504:UEP65525 UOL65504:UOL65525 UYH65504:UYH65525 VID65504:VID65525 VRZ65504:VRZ65525 WBV65504:WBV65525 WLR65504:WLR65525 WVN65504:WVN65525 C131040:C131061 JB131040:JB131061 SX131040:SX131061 ACT131040:ACT131061 AMP131040:AMP131061 AWL131040:AWL131061 BGH131040:BGH131061 BQD131040:BQD131061 BZZ131040:BZZ131061 CJV131040:CJV131061 CTR131040:CTR131061 DDN131040:DDN131061 DNJ131040:DNJ131061 DXF131040:DXF131061 EHB131040:EHB131061 EQX131040:EQX131061 FAT131040:FAT131061 FKP131040:FKP131061 FUL131040:FUL131061 GEH131040:GEH131061 GOD131040:GOD131061 GXZ131040:GXZ131061 HHV131040:HHV131061 HRR131040:HRR131061 IBN131040:IBN131061 ILJ131040:ILJ131061 IVF131040:IVF131061 JFB131040:JFB131061 JOX131040:JOX131061 JYT131040:JYT131061 KIP131040:KIP131061 KSL131040:KSL131061 LCH131040:LCH131061 LMD131040:LMD131061 LVZ131040:LVZ131061 MFV131040:MFV131061 MPR131040:MPR131061 MZN131040:MZN131061 NJJ131040:NJJ131061 NTF131040:NTF131061 ODB131040:ODB131061 OMX131040:OMX131061 OWT131040:OWT131061 PGP131040:PGP131061 PQL131040:PQL131061 QAH131040:QAH131061 QKD131040:QKD131061 QTZ131040:QTZ131061 RDV131040:RDV131061 RNR131040:RNR131061 RXN131040:RXN131061 SHJ131040:SHJ131061 SRF131040:SRF131061 TBB131040:TBB131061 TKX131040:TKX131061 TUT131040:TUT131061 UEP131040:UEP131061 UOL131040:UOL131061 UYH131040:UYH131061 VID131040:VID131061 VRZ131040:VRZ131061 WBV131040:WBV131061 WLR131040:WLR131061 WVN131040:WVN131061 C196576:C196597 JB196576:JB196597 SX196576:SX196597 ACT196576:ACT196597 AMP196576:AMP196597 AWL196576:AWL196597 BGH196576:BGH196597 BQD196576:BQD196597 BZZ196576:BZZ196597 CJV196576:CJV196597 CTR196576:CTR196597 DDN196576:DDN196597 DNJ196576:DNJ196597 DXF196576:DXF196597 EHB196576:EHB196597 EQX196576:EQX196597 FAT196576:FAT196597 FKP196576:FKP196597 FUL196576:FUL196597 GEH196576:GEH196597 GOD196576:GOD196597 GXZ196576:GXZ196597 HHV196576:HHV196597 HRR196576:HRR196597 IBN196576:IBN196597 ILJ196576:ILJ196597 IVF196576:IVF196597 JFB196576:JFB196597 JOX196576:JOX196597 JYT196576:JYT196597 KIP196576:KIP196597 KSL196576:KSL196597 LCH196576:LCH196597 LMD196576:LMD196597 LVZ196576:LVZ196597 MFV196576:MFV196597 MPR196576:MPR196597 MZN196576:MZN196597 NJJ196576:NJJ196597 NTF196576:NTF196597 ODB196576:ODB196597 OMX196576:OMX196597 OWT196576:OWT196597 PGP196576:PGP196597 PQL196576:PQL196597 QAH196576:QAH196597 QKD196576:QKD196597 QTZ196576:QTZ196597 RDV196576:RDV196597 RNR196576:RNR196597 RXN196576:RXN196597 SHJ196576:SHJ196597 SRF196576:SRF196597 TBB196576:TBB196597 TKX196576:TKX196597 TUT196576:TUT196597 UEP196576:UEP196597 UOL196576:UOL196597 UYH196576:UYH196597 VID196576:VID196597 VRZ196576:VRZ196597 WBV196576:WBV196597 WLR196576:WLR196597 WVN196576:WVN196597 C262112:C262133 JB262112:JB262133 SX262112:SX262133 ACT262112:ACT262133 AMP262112:AMP262133 AWL262112:AWL262133 BGH262112:BGH262133 BQD262112:BQD262133 BZZ262112:BZZ262133 CJV262112:CJV262133 CTR262112:CTR262133 DDN262112:DDN262133 DNJ262112:DNJ262133 DXF262112:DXF262133 EHB262112:EHB262133 EQX262112:EQX262133 FAT262112:FAT262133 FKP262112:FKP262133 FUL262112:FUL262133 GEH262112:GEH262133 GOD262112:GOD262133 GXZ262112:GXZ262133 HHV262112:HHV262133 HRR262112:HRR262133 IBN262112:IBN262133 ILJ262112:ILJ262133 IVF262112:IVF262133 JFB262112:JFB262133 JOX262112:JOX262133 JYT262112:JYT262133 KIP262112:KIP262133 KSL262112:KSL262133 LCH262112:LCH262133 LMD262112:LMD262133 LVZ262112:LVZ262133 MFV262112:MFV262133 MPR262112:MPR262133 MZN262112:MZN262133 NJJ262112:NJJ262133 NTF262112:NTF262133 ODB262112:ODB262133 OMX262112:OMX262133 OWT262112:OWT262133 PGP262112:PGP262133 PQL262112:PQL262133 QAH262112:QAH262133 QKD262112:QKD262133 QTZ262112:QTZ262133 RDV262112:RDV262133 RNR262112:RNR262133 RXN262112:RXN262133 SHJ262112:SHJ262133 SRF262112:SRF262133 TBB262112:TBB262133 TKX262112:TKX262133 TUT262112:TUT262133 UEP262112:UEP262133 UOL262112:UOL262133 UYH262112:UYH262133 VID262112:VID262133 VRZ262112:VRZ262133 WBV262112:WBV262133 WLR262112:WLR262133 WVN262112:WVN262133 C327648:C327669 JB327648:JB327669 SX327648:SX327669 ACT327648:ACT327669 AMP327648:AMP327669 AWL327648:AWL327669 BGH327648:BGH327669 BQD327648:BQD327669 BZZ327648:BZZ327669 CJV327648:CJV327669 CTR327648:CTR327669 DDN327648:DDN327669 DNJ327648:DNJ327669 DXF327648:DXF327669 EHB327648:EHB327669 EQX327648:EQX327669 FAT327648:FAT327669 FKP327648:FKP327669 FUL327648:FUL327669 GEH327648:GEH327669 GOD327648:GOD327669 GXZ327648:GXZ327669 HHV327648:HHV327669 HRR327648:HRR327669 IBN327648:IBN327669 ILJ327648:ILJ327669 IVF327648:IVF327669 JFB327648:JFB327669 JOX327648:JOX327669 JYT327648:JYT327669 KIP327648:KIP327669 KSL327648:KSL327669 LCH327648:LCH327669 LMD327648:LMD327669 LVZ327648:LVZ327669 MFV327648:MFV327669 MPR327648:MPR327669 MZN327648:MZN327669 NJJ327648:NJJ327669 NTF327648:NTF327669 ODB327648:ODB327669 OMX327648:OMX327669 OWT327648:OWT327669 PGP327648:PGP327669 PQL327648:PQL327669 QAH327648:QAH327669 QKD327648:QKD327669 QTZ327648:QTZ327669 RDV327648:RDV327669 RNR327648:RNR327669 RXN327648:RXN327669 SHJ327648:SHJ327669 SRF327648:SRF327669 TBB327648:TBB327669 TKX327648:TKX327669 TUT327648:TUT327669 UEP327648:UEP327669 UOL327648:UOL327669 UYH327648:UYH327669 VID327648:VID327669 VRZ327648:VRZ327669 WBV327648:WBV327669 WLR327648:WLR327669 WVN327648:WVN327669 C393184:C393205 JB393184:JB393205 SX393184:SX393205 ACT393184:ACT393205 AMP393184:AMP393205 AWL393184:AWL393205 BGH393184:BGH393205 BQD393184:BQD393205 BZZ393184:BZZ393205 CJV393184:CJV393205 CTR393184:CTR393205 DDN393184:DDN393205 DNJ393184:DNJ393205 DXF393184:DXF393205 EHB393184:EHB393205 EQX393184:EQX393205 FAT393184:FAT393205 FKP393184:FKP393205 FUL393184:FUL393205 GEH393184:GEH393205 GOD393184:GOD393205 GXZ393184:GXZ393205 HHV393184:HHV393205 HRR393184:HRR393205 IBN393184:IBN393205 ILJ393184:ILJ393205 IVF393184:IVF393205 JFB393184:JFB393205 JOX393184:JOX393205 JYT393184:JYT393205 KIP393184:KIP393205 KSL393184:KSL393205 LCH393184:LCH393205 LMD393184:LMD393205 LVZ393184:LVZ393205 MFV393184:MFV393205 MPR393184:MPR393205 MZN393184:MZN393205 NJJ393184:NJJ393205 NTF393184:NTF393205 ODB393184:ODB393205 OMX393184:OMX393205 OWT393184:OWT393205 PGP393184:PGP393205 PQL393184:PQL393205 QAH393184:QAH393205 QKD393184:QKD393205 QTZ393184:QTZ393205 RDV393184:RDV393205 RNR393184:RNR393205 RXN393184:RXN393205 SHJ393184:SHJ393205 SRF393184:SRF393205 TBB393184:TBB393205 TKX393184:TKX393205 TUT393184:TUT393205 UEP393184:UEP393205 UOL393184:UOL393205 UYH393184:UYH393205 VID393184:VID393205 VRZ393184:VRZ393205 WBV393184:WBV393205 WLR393184:WLR393205 WVN393184:WVN393205 C458720:C458741 JB458720:JB458741 SX458720:SX458741 ACT458720:ACT458741 AMP458720:AMP458741 AWL458720:AWL458741 BGH458720:BGH458741 BQD458720:BQD458741 BZZ458720:BZZ458741 CJV458720:CJV458741 CTR458720:CTR458741 DDN458720:DDN458741 DNJ458720:DNJ458741 DXF458720:DXF458741 EHB458720:EHB458741 EQX458720:EQX458741 FAT458720:FAT458741 FKP458720:FKP458741 FUL458720:FUL458741 GEH458720:GEH458741 GOD458720:GOD458741 GXZ458720:GXZ458741 HHV458720:HHV458741 HRR458720:HRR458741 IBN458720:IBN458741 ILJ458720:ILJ458741 IVF458720:IVF458741 JFB458720:JFB458741 JOX458720:JOX458741 JYT458720:JYT458741 KIP458720:KIP458741 KSL458720:KSL458741 LCH458720:LCH458741 LMD458720:LMD458741 LVZ458720:LVZ458741 MFV458720:MFV458741 MPR458720:MPR458741 MZN458720:MZN458741 NJJ458720:NJJ458741 NTF458720:NTF458741 ODB458720:ODB458741 OMX458720:OMX458741 OWT458720:OWT458741 PGP458720:PGP458741 PQL458720:PQL458741 QAH458720:QAH458741 QKD458720:QKD458741 QTZ458720:QTZ458741 RDV458720:RDV458741 RNR458720:RNR458741 RXN458720:RXN458741 SHJ458720:SHJ458741 SRF458720:SRF458741 TBB458720:TBB458741 TKX458720:TKX458741 TUT458720:TUT458741 UEP458720:UEP458741 UOL458720:UOL458741 UYH458720:UYH458741 VID458720:VID458741 VRZ458720:VRZ458741 WBV458720:WBV458741 WLR458720:WLR458741 WVN458720:WVN458741 C524256:C524277 JB524256:JB524277 SX524256:SX524277 ACT524256:ACT524277 AMP524256:AMP524277 AWL524256:AWL524277 BGH524256:BGH524277 BQD524256:BQD524277 BZZ524256:BZZ524277 CJV524256:CJV524277 CTR524256:CTR524277 DDN524256:DDN524277 DNJ524256:DNJ524277 DXF524256:DXF524277 EHB524256:EHB524277 EQX524256:EQX524277 FAT524256:FAT524277 FKP524256:FKP524277 FUL524256:FUL524277 GEH524256:GEH524277 GOD524256:GOD524277 GXZ524256:GXZ524277 HHV524256:HHV524277 HRR524256:HRR524277 IBN524256:IBN524277 ILJ524256:ILJ524277 IVF524256:IVF524277 JFB524256:JFB524277 JOX524256:JOX524277 JYT524256:JYT524277 KIP524256:KIP524277 KSL524256:KSL524277 LCH524256:LCH524277 LMD524256:LMD524277 LVZ524256:LVZ524277 MFV524256:MFV524277 MPR524256:MPR524277 MZN524256:MZN524277 NJJ524256:NJJ524277 NTF524256:NTF524277 ODB524256:ODB524277 OMX524256:OMX524277 OWT524256:OWT524277 PGP524256:PGP524277 PQL524256:PQL524277 QAH524256:QAH524277 QKD524256:QKD524277 QTZ524256:QTZ524277 RDV524256:RDV524277 RNR524256:RNR524277 RXN524256:RXN524277 SHJ524256:SHJ524277 SRF524256:SRF524277 TBB524256:TBB524277 TKX524256:TKX524277 TUT524256:TUT524277 UEP524256:UEP524277 UOL524256:UOL524277 UYH524256:UYH524277 VID524256:VID524277 VRZ524256:VRZ524277 WBV524256:WBV524277 WLR524256:WLR524277 WVN524256:WVN524277 C589792:C589813 JB589792:JB589813 SX589792:SX589813 ACT589792:ACT589813 AMP589792:AMP589813 AWL589792:AWL589813 BGH589792:BGH589813 BQD589792:BQD589813 BZZ589792:BZZ589813 CJV589792:CJV589813 CTR589792:CTR589813 DDN589792:DDN589813 DNJ589792:DNJ589813 DXF589792:DXF589813 EHB589792:EHB589813 EQX589792:EQX589813 FAT589792:FAT589813 FKP589792:FKP589813 FUL589792:FUL589813 GEH589792:GEH589813 GOD589792:GOD589813 GXZ589792:GXZ589813 HHV589792:HHV589813 HRR589792:HRR589813 IBN589792:IBN589813 ILJ589792:ILJ589813 IVF589792:IVF589813 JFB589792:JFB589813 JOX589792:JOX589813 JYT589792:JYT589813 KIP589792:KIP589813 KSL589792:KSL589813 LCH589792:LCH589813 LMD589792:LMD589813 LVZ589792:LVZ589813 MFV589792:MFV589813 MPR589792:MPR589813 MZN589792:MZN589813 NJJ589792:NJJ589813 NTF589792:NTF589813 ODB589792:ODB589813 OMX589792:OMX589813 OWT589792:OWT589813 PGP589792:PGP589813 PQL589792:PQL589813 QAH589792:QAH589813 QKD589792:QKD589813 QTZ589792:QTZ589813 RDV589792:RDV589813 RNR589792:RNR589813 RXN589792:RXN589813 SHJ589792:SHJ589813 SRF589792:SRF589813 TBB589792:TBB589813 TKX589792:TKX589813 TUT589792:TUT589813 UEP589792:UEP589813 UOL589792:UOL589813 UYH589792:UYH589813 VID589792:VID589813 VRZ589792:VRZ589813 WBV589792:WBV589813 WLR589792:WLR589813 WVN589792:WVN589813 C655328:C655349 JB655328:JB655349 SX655328:SX655349 ACT655328:ACT655349 AMP655328:AMP655349 AWL655328:AWL655349 BGH655328:BGH655349 BQD655328:BQD655349 BZZ655328:BZZ655349 CJV655328:CJV655349 CTR655328:CTR655349 DDN655328:DDN655349 DNJ655328:DNJ655349 DXF655328:DXF655349 EHB655328:EHB655349 EQX655328:EQX655349 FAT655328:FAT655349 FKP655328:FKP655349 FUL655328:FUL655349 GEH655328:GEH655349 GOD655328:GOD655349 GXZ655328:GXZ655349 HHV655328:HHV655349 HRR655328:HRR655349 IBN655328:IBN655349 ILJ655328:ILJ655349 IVF655328:IVF655349 JFB655328:JFB655349 JOX655328:JOX655349 JYT655328:JYT655349 KIP655328:KIP655349 KSL655328:KSL655349 LCH655328:LCH655349 LMD655328:LMD655349 LVZ655328:LVZ655349 MFV655328:MFV655349 MPR655328:MPR655349 MZN655328:MZN655349 NJJ655328:NJJ655349 NTF655328:NTF655349 ODB655328:ODB655349 OMX655328:OMX655349 OWT655328:OWT655349 PGP655328:PGP655349 PQL655328:PQL655349 QAH655328:QAH655349 QKD655328:QKD655349 QTZ655328:QTZ655349 RDV655328:RDV655349 RNR655328:RNR655349 RXN655328:RXN655349 SHJ655328:SHJ655349 SRF655328:SRF655349 TBB655328:TBB655349 TKX655328:TKX655349 TUT655328:TUT655349 UEP655328:UEP655349 UOL655328:UOL655349 UYH655328:UYH655349 VID655328:VID655349 VRZ655328:VRZ655349 WBV655328:WBV655349 WLR655328:WLR655349 WVN655328:WVN655349 C720864:C720885 JB720864:JB720885 SX720864:SX720885 ACT720864:ACT720885 AMP720864:AMP720885 AWL720864:AWL720885 BGH720864:BGH720885 BQD720864:BQD720885 BZZ720864:BZZ720885 CJV720864:CJV720885 CTR720864:CTR720885 DDN720864:DDN720885 DNJ720864:DNJ720885 DXF720864:DXF720885 EHB720864:EHB720885 EQX720864:EQX720885 FAT720864:FAT720885 FKP720864:FKP720885 FUL720864:FUL720885 GEH720864:GEH720885 GOD720864:GOD720885 GXZ720864:GXZ720885 HHV720864:HHV720885 HRR720864:HRR720885 IBN720864:IBN720885 ILJ720864:ILJ720885 IVF720864:IVF720885 JFB720864:JFB720885 JOX720864:JOX720885 JYT720864:JYT720885 KIP720864:KIP720885 KSL720864:KSL720885 LCH720864:LCH720885 LMD720864:LMD720885 LVZ720864:LVZ720885 MFV720864:MFV720885 MPR720864:MPR720885 MZN720864:MZN720885 NJJ720864:NJJ720885 NTF720864:NTF720885 ODB720864:ODB720885 OMX720864:OMX720885 OWT720864:OWT720885 PGP720864:PGP720885 PQL720864:PQL720885 QAH720864:QAH720885 QKD720864:QKD720885 QTZ720864:QTZ720885 RDV720864:RDV720885 RNR720864:RNR720885 RXN720864:RXN720885 SHJ720864:SHJ720885 SRF720864:SRF720885 TBB720864:TBB720885 TKX720864:TKX720885 TUT720864:TUT720885 UEP720864:UEP720885 UOL720864:UOL720885 UYH720864:UYH720885 VID720864:VID720885 VRZ720864:VRZ720885 WBV720864:WBV720885 WLR720864:WLR720885 WVN720864:WVN720885 C786400:C786421 JB786400:JB786421 SX786400:SX786421 ACT786400:ACT786421 AMP786400:AMP786421 AWL786400:AWL786421 BGH786400:BGH786421 BQD786400:BQD786421 BZZ786400:BZZ786421 CJV786400:CJV786421 CTR786400:CTR786421 DDN786400:DDN786421 DNJ786400:DNJ786421 DXF786400:DXF786421 EHB786400:EHB786421 EQX786400:EQX786421 FAT786400:FAT786421 FKP786400:FKP786421 FUL786400:FUL786421 GEH786400:GEH786421 GOD786400:GOD786421 GXZ786400:GXZ786421 HHV786400:HHV786421 HRR786400:HRR786421 IBN786400:IBN786421 ILJ786400:ILJ786421 IVF786400:IVF786421 JFB786400:JFB786421 JOX786400:JOX786421 JYT786400:JYT786421 KIP786400:KIP786421 KSL786400:KSL786421 LCH786400:LCH786421 LMD786400:LMD786421 LVZ786400:LVZ786421 MFV786400:MFV786421 MPR786400:MPR786421 MZN786400:MZN786421 NJJ786400:NJJ786421 NTF786400:NTF786421 ODB786400:ODB786421 OMX786400:OMX786421 OWT786400:OWT786421 PGP786400:PGP786421 PQL786400:PQL786421 QAH786400:QAH786421 QKD786400:QKD786421 QTZ786400:QTZ786421 RDV786400:RDV786421 RNR786400:RNR786421 RXN786400:RXN786421 SHJ786400:SHJ786421 SRF786400:SRF786421 TBB786400:TBB786421 TKX786400:TKX786421 TUT786400:TUT786421 UEP786400:UEP786421 UOL786400:UOL786421 UYH786400:UYH786421 VID786400:VID786421 VRZ786400:VRZ786421 WBV786400:WBV786421 WLR786400:WLR786421 WVN786400:WVN786421 C851936:C851957 JB851936:JB851957 SX851936:SX851957 ACT851936:ACT851957 AMP851936:AMP851957 AWL851936:AWL851957 BGH851936:BGH851957 BQD851936:BQD851957 BZZ851936:BZZ851957 CJV851936:CJV851957 CTR851936:CTR851957 DDN851936:DDN851957 DNJ851936:DNJ851957 DXF851936:DXF851957 EHB851936:EHB851957 EQX851936:EQX851957 FAT851936:FAT851957 FKP851936:FKP851957 FUL851936:FUL851957 GEH851936:GEH851957 GOD851936:GOD851957 GXZ851936:GXZ851957 HHV851936:HHV851957 HRR851936:HRR851957 IBN851936:IBN851957 ILJ851936:ILJ851957 IVF851936:IVF851957 JFB851936:JFB851957 JOX851936:JOX851957 JYT851936:JYT851957 KIP851936:KIP851957 KSL851936:KSL851957 LCH851936:LCH851957 LMD851936:LMD851957 LVZ851936:LVZ851957 MFV851936:MFV851957 MPR851936:MPR851957 MZN851936:MZN851957 NJJ851936:NJJ851957 NTF851936:NTF851957 ODB851936:ODB851957 OMX851936:OMX851957 OWT851936:OWT851957 PGP851936:PGP851957 PQL851936:PQL851957 QAH851936:QAH851957 QKD851936:QKD851957 QTZ851936:QTZ851957 RDV851936:RDV851957 RNR851936:RNR851957 RXN851936:RXN851957 SHJ851936:SHJ851957 SRF851936:SRF851957 TBB851936:TBB851957 TKX851936:TKX851957 TUT851936:TUT851957 UEP851936:UEP851957 UOL851936:UOL851957 UYH851936:UYH851957 VID851936:VID851957 VRZ851936:VRZ851957 WBV851936:WBV851957 WLR851936:WLR851957 WVN851936:WVN851957 C917472:C917493 JB917472:JB917493 SX917472:SX917493 ACT917472:ACT917493 AMP917472:AMP917493 AWL917472:AWL917493 BGH917472:BGH917493 BQD917472:BQD917493 BZZ917472:BZZ917493 CJV917472:CJV917493 CTR917472:CTR917493 DDN917472:DDN917493 DNJ917472:DNJ917493 DXF917472:DXF917493 EHB917472:EHB917493 EQX917472:EQX917493 FAT917472:FAT917493 FKP917472:FKP917493 FUL917472:FUL917493 GEH917472:GEH917493 GOD917472:GOD917493 GXZ917472:GXZ917493 HHV917472:HHV917493 HRR917472:HRR917493 IBN917472:IBN917493 ILJ917472:ILJ917493 IVF917472:IVF917493 JFB917472:JFB917493 JOX917472:JOX917493 JYT917472:JYT917493 KIP917472:KIP917493 KSL917472:KSL917493 LCH917472:LCH917493 LMD917472:LMD917493 LVZ917472:LVZ917493 MFV917472:MFV917493 MPR917472:MPR917493 MZN917472:MZN917493 NJJ917472:NJJ917493 NTF917472:NTF917493 ODB917472:ODB917493 OMX917472:OMX917493 OWT917472:OWT917493 PGP917472:PGP917493 PQL917472:PQL917493 QAH917472:QAH917493 QKD917472:QKD917493 QTZ917472:QTZ917493 RDV917472:RDV917493 RNR917472:RNR917493 RXN917472:RXN917493 SHJ917472:SHJ917493 SRF917472:SRF917493 TBB917472:TBB917493 TKX917472:TKX917493 TUT917472:TUT917493 UEP917472:UEP917493 UOL917472:UOL917493 UYH917472:UYH917493 VID917472:VID917493 VRZ917472:VRZ917493 WBV917472:WBV917493 WLR917472:WLR917493 WVN917472:WVN917493 C983008:C983029 JB983008:JB983029 SX983008:SX983029 ACT983008:ACT983029 AMP983008:AMP983029 AWL983008:AWL983029 BGH983008:BGH983029 BQD983008:BQD983029 BZZ983008:BZZ983029 CJV983008:CJV983029 CTR983008:CTR983029 DDN983008:DDN983029 DNJ983008:DNJ983029 DXF983008:DXF983029 EHB983008:EHB983029 EQX983008:EQX983029 FAT983008:FAT983029 FKP983008:FKP983029 FUL983008:FUL983029 GEH983008:GEH983029 GOD983008:GOD983029 GXZ983008:GXZ983029 HHV983008:HHV983029 HRR983008:HRR983029 IBN983008:IBN983029 ILJ983008:ILJ983029 IVF983008:IVF983029 JFB983008:JFB983029 JOX983008:JOX983029 JYT983008:JYT983029 KIP983008:KIP983029 KSL983008:KSL983029 LCH983008:LCH983029 LMD983008:LMD983029 LVZ983008:LVZ983029 MFV983008:MFV983029 MPR983008:MPR983029 MZN983008:MZN983029 NJJ983008:NJJ983029 NTF983008:NTF983029 ODB983008:ODB983029 OMX983008:OMX983029 OWT983008:OWT983029 PGP983008:PGP983029 PQL983008:PQL983029 QAH983008:QAH983029 QKD983008:QKD983029 QTZ983008:QTZ983029 RDV983008:RDV983029 RNR983008:RNR983029 RXN983008:RXN983029 SHJ983008:SHJ983029 SRF983008:SRF983029 TBB983008:TBB983029 TKX983008:TKX983029 TUT983008:TUT983029 UEP983008:UEP983029 UOL983008:UOL983029 UYH983008:UYH983029 VID983008:VID983029 VRZ983008:VRZ983029 WBV983008:WBV983029 WLR983008:WLR983029 WVN983008:WVN983029">
      <formula1>"1-Project Initiation,2-Requirements,3-Solution Design,4-Detail Design,5-Build,6-Test"</formula1>
    </dataValidation>
    <dataValidation type="list" allowBlank="1" showInputMessage="1" showErrorMessage="1" sqref="D65501:G65525 JC65501:JC65525 SY65501:SY65525 ACU65501:ACU65525 AMQ65501:AMQ65525 AWM65501:AWM65525 BGI65501:BGI65525 BQE65501:BQE65525 CAA65501:CAA65525 CJW65501:CJW65525 CTS65501:CTS65525 DDO65501:DDO65525 DNK65501:DNK65525 DXG65501:DXG65525 EHC65501:EHC65525 EQY65501:EQY65525 FAU65501:FAU65525 FKQ65501:FKQ65525 FUM65501:FUM65525 GEI65501:GEI65525 GOE65501:GOE65525 GYA65501:GYA65525 HHW65501:HHW65525 HRS65501:HRS65525 IBO65501:IBO65525 ILK65501:ILK65525 IVG65501:IVG65525 JFC65501:JFC65525 JOY65501:JOY65525 JYU65501:JYU65525 KIQ65501:KIQ65525 KSM65501:KSM65525 LCI65501:LCI65525 LME65501:LME65525 LWA65501:LWA65525 MFW65501:MFW65525 MPS65501:MPS65525 MZO65501:MZO65525 NJK65501:NJK65525 NTG65501:NTG65525 ODC65501:ODC65525 OMY65501:OMY65525 OWU65501:OWU65525 PGQ65501:PGQ65525 PQM65501:PQM65525 QAI65501:QAI65525 QKE65501:QKE65525 QUA65501:QUA65525 RDW65501:RDW65525 RNS65501:RNS65525 RXO65501:RXO65525 SHK65501:SHK65525 SRG65501:SRG65525 TBC65501:TBC65525 TKY65501:TKY65525 TUU65501:TUU65525 UEQ65501:UEQ65525 UOM65501:UOM65525 UYI65501:UYI65525 VIE65501:VIE65525 VSA65501:VSA65525 WBW65501:WBW65525 WLS65501:WLS65525 WVO65501:WVO65525 D131037:G131061 JC131037:JC131061 SY131037:SY131061 ACU131037:ACU131061 AMQ131037:AMQ131061 AWM131037:AWM131061 BGI131037:BGI131061 BQE131037:BQE131061 CAA131037:CAA131061 CJW131037:CJW131061 CTS131037:CTS131061 DDO131037:DDO131061 DNK131037:DNK131061 DXG131037:DXG131061 EHC131037:EHC131061 EQY131037:EQY131061 FAU131037:FAU131061 FKQ131037:FKQ131061 FUM131037:FUM131061 GEI131037:GEI131061 GOE131037:GOE131061 GYA131037:GYA131061 HHW131037:HHW131061 HRS131037:HRS131061 IBO131037:IBO131061 ILK131037:ILK131061 IVG131037:IVG131061 JFC131037:JFC131061 JOY131037:JOY131061 JYU131037:JYU131061 KIQ131037:KIQ131061 KSM131037:KSM131061 LCI131037:LCI131061 LME131037:LME131061 LWA131037:LWA131061 MFW131037:MFW131061 MPS131037:MPS131061 MZO131037:MZO131061 NJK131037:NJK131061 NTG131037:NTG131061 ODC131037:ODC131061 OMY131037:OMY131061 OWU131037:OWU131061 PGQ131037:PGQ131061 PQM131037:PQM131061 QAI131037:QAI131061 QKE131037:QKE131061 QUA131037:QUA131061 RDW131037:RDW131061 RNS131037:RNS131061 RXO131037:RXO131061 SHK131037:SHK131061 SRG131037:SRG131061 TBC131037:TBC131061 TKY131037:TKY131061 TUU131037:TUU131061 UEQ131037:UEQ131061 UOM131037:UOM131061 UYI131037:UYI131061 VIE131037:VIE131061 VSA131037:VSA131061 WBW131037:WBW131061 WLS131037:WLS131061 WVO131037:WVO131061 D196573:G196597 JC196573:JC196597 SY196573:SY196597 ACU196573:ACU196597 AMQ196573:AMQ196597 AWM196573:AWM196597 BGI196573:BGI196597 BQE196573:BQE196597 CAA196573:CAA196597 CJW196573:CJW196597 CTS196573:CTS196597 DDO196573:DDO196597 DNK196573:DNK196597 DXG196573:DXG196597 EHC196573:EHC196597 EQY196573:EQY196597 FAU196573:FAU196597 FKQ196573:FKQ196597 FUM196573:FUM196597 GEI196573:GEI196597 GOE196573:GOE196597 GYA196573:GYA196597 HHW196573:HHW196597 HRS196573:HRS196597 IBO196573:IBO196597 ILK196573:ILK196597 IVG196573:IVG196597 JFC196573:JFC196597 JOY196573:JOY196597 JYU196573:JYU196597 KIQ196573:KIQ196597 KSM196573:KSM196597 LCI196573:LCI196597 LME196573:LME196597 LWA196573:LWA196597 MFW196573:MFW196597 MPS196573:MPS196597 MZO196573:MZO196597 NJK196573:NJK196597 NTG196573:NTG196597 ODC196573:ODC196597 OMY196573:OMY196597 OWU196573:OWU196597 PGQ196573:PGQ196597 PQM196573:PQM196597 QAI196573:QAI196597 QKE196573:QKE196597 QUA196573:QUA196597 RDW196573:RDW196597 RNS196573:RNS196597 RXO196573:RXO196597 SHK196573:SHK196597 SRG196573:SRG196597 TBC196573:TBC196597 TKY196573:TKY196597 TUU196573:TUU196597 UEQ196573:UEQ196597 UOM196573:UOM196597 UYI196573:UYI196597 VIE196573:VIE196597 VSA196573:VSA196597 WBW196573:WBW196597 WLS196573:WLS196597 WVO196573:WVO196597 D262109:G262133 JC262109:JC262133 SY262109:SY262133 ACU262109:ACU262133 AMQ262109:AMQ262133 AWM262109:AWM262133 BGI262109:BGI262133 BQE262109:BQE262133 CAA262109:CAA262133 CJW262109:CJW262133 CTS262109:CTS262133 DDO262109:DDO262133 DNK262109:DNK262133 DXG262109:DXG262133 EHC262109:EHC262133 EQY262109:EQY262133 FAU262109:FAU262133 FKQ262109:FKQ262133 FUM262109:FUM262133 GEI262109:GEI262133 GOE262109:GOE262133 GYA262109:GYA262133 HHW262109:HHW262133 HRS262109:HRS262133 IBO262109:IBO262133 ILK262109:ILK262133 IVG262109:IVG262133 JFC262109:JFC262133 JOY262109:JOY262133 JYU262109:JYU262133 KIQ262109:KIQ262133 KSM262109:KSM262133 LCI262109:LCI262133 LME262109:LME262133 LWA262109:LWA262133 MFW262109:MFW262133 MPS262109:MPS262133 MZO262109:MZO262133 NJK262109:NJK262133 NTG262109:NTG262133 ODC262109:ODC262133 OMY262109:OMY262133 OWU262109:OWU262133 PGQ262109:PGQ262133 PQM262109:PQM262133 QAI262109:QAI262133 QKE262109:QKE262133 QUA262109:QUA262133 RDW262109:RDW262133 RNS262109:RNS262133 RXO262109:RXO262133 SHK262109:SHK262133 SRG262109:SRG262133 TBC262109:TBC262133 TKY262109:TKY262133 TUU262109:TUU262133 UEQ262109:UEQ262133 UOM262109:UOM262133 UYI262109:UYI262133 VIE262109:VIE262133 VSA262109:VSA262133 WBW262109:WBW262133 WLS262109:WLS262133 WVO262109:WVO262133 D327645:G327669 JC327645:JC327669 SY327645:SY327669 ACU327645:ACU327669 AMQ327645:AMQ327669 AWM327645:AWM327669 BGI327645:BGI327669 BQE327645:BQE327669 CAA327645:CAA327669 CJW327645:CJW327669 CTS327645:CTS327669 DDO327645:DDO327669 DNK327645:DNK327669 DXG327645:DXG327669 EHC327645:EHC327669 EQY327645:EQY327669 FAU327645:FAU327669 FKQ327645:FKQ327669 FUM327645:FUM327669 GEI327645:GEI327669 GOE327645:GOE327669 GYA327645:GYA327669 HHW327645:HHW327669 HRS327645:HRS327669 IBO327645:IBO327669 ILK327645:ILK327669 IVG327645:IVG327669 JFC327645:JFC327669 JOY327645:JOY327669 JYU327645:JYU327669 KIQ327645:KIQ327669 KSM327645:KSM327669 LCI327645:LCI327669 LME327645:LME327669 LWA327645:LWA327669 MFW327645:MFW327669 MPS327645:MPS327669 MZO327645:MZO327669 NJK327645:NJK327669 NTG327645:NTG327669 ODC327645:ODC327669 OMY327645:OMY327669 OWU327645:OWU327669 PGQ327645:PGQ327669 PQM327645:PQM327669 QAI327645:QAI327669 QKE327645:QKE327669 QUA327645:QUA327669 RDW327645:RDW327669 RNS327645:RNS327669 RXO327645:RXO327669 SHK327645:SHK327669 SRG327645:SRG327669 TBC327645:TBC327669 TKY327645:TKY327669 TUU327645:TUU327669 UEQ327645:UEQ327669 UOM327645:UOM327669 UYI327645:UYI327669 VIE327645:VIE327669 VSA327645:VSA327669 WBW327645:WBW327669 WLS327645:WLS327669 WVO327645:WVO327669 D393181:G393205 JC393181:JC393205 SY393181:SY393205 ACU393181:ACU393205 AMQ393181:AMQ393205 AWM393181:AWM393205 BGI393181:BGI393205 BQE393181:BQE393205 CAA393181:CAA393205 CJW393181:CJW393205 CTS393181:CTS393205 DDO393181:DDO393205 DNK393181:DNK393205 DXG393181:DXG393205 EHC393181:EHC393205 EQY393181:EQY393205 FAU393181:FAU393205 FKQ393181:FKQ393205 FUM393181:FUM393205 GEI393181:GEI393205 GOE393181:GOE393205 GYA393181:GYA393205 HHW393181:HHW393205 HRS393181:HRS393205 IBO393181:IBO393205 ILK393181:ILK393205 IVG393181:IVG393205 JFC393181:JFC393205 JOY393181:JOY393205 JYU393181:JYU393205 KIQ393181:KIQ393205 KSM393181:KSM393205 LCI393181:LCI393205 LME393181:LME393205 LWA393181:LWA393205 MFW393181:MFW393205 MPS393181:MPS393205 MZO393181:MZO393205 NJK393181:NJK393205 NTG393181:NTG393205 ODC393181:ODC393205 OMY393181:OMY393205 OWU393181:OWU393205 PGQ393181:PGQ393205 PQM393181:PQM393205 QAI393181:QAI393205 QKE393181:QKE393205 QUA393181:QUA393205 RDW393181:RDW393205 RNS393181:RNS393205 RXO393181:RXO393205 SHK393181:SHK393205 SRG393181:SRG393205 TBC393181:TBC393205 TKY393181:TKY393205 TUU393181:TUU393205 UEQ393181:UEQ393205 UOM393181:UOM393205 UYI393181:UYI393205 VIE393181:VIE393205 VSA393181:VSA393205 WBW393181:WBW393205 WLS393181:WLS393205 WVO393181:WVO393205 D458717:G458741 JC458717:JC458741 SY458717:SY458741 ACU458717:ACU458741 AMQ458717:AMQ458741 AWM458717:AWM458741 BGI458717:BGI458741 BQE458717:BQE458741 CAA458717:CAA458741 CJW458717:CJW458741 CTS458717:CTS458741 DDO458717:DDO458741 DNK458717:DNK458741 DXG458717:DXG458741 EHC458717:EHC458741 EQY458717:EQY458741 FAU458717:FAU458741 FKQ458717:FKQ458741 FUM458717:FUM458741 GEI458717:GEI458741 GOE458717:GOE458741 GYA458717:GYA458741 HHW458717:HHW458741 HRS458717:HRS458741 IBO458717:IBO458741 ILK458717:ILK458741 IVG458717:IVG458741 JFC458717:JFC458741 JOY458717:JOY458741 JYU458717:JYU458741 KIQ458717:KIQ458741 KSM458717:KSM458741 LCI458717:LCI458741 LME458717:LME458741 LWA458717:LWA458741 MFW458717:MFW458741 MPS458717:MPS458741 MZO458717:MZO458741 NJK458717:NJK458741 NTG458717:NTG458741 ODC458717:ODC458741 OMY458717:OMY458741 OWU458717:OWU458741 PGQ458717:PGQ458741 PQM458717:PQM458741 QAI458717:QAI458741 QKE458717:QKE458741 QUA458717:QUA458741 RDW458717:RDW458741 RNS458717:RNS458741 RXO458717:RXO458741 SHK458717:SHK458741 SRG458717:SRG458741 TBC458717:TBC458741 TKY458717:TKY458741 TUU458717:TUU458741 UEQ458717:UEQ458741 UOM458717:UOM458741 UYI458717:UYI458741 VIE458717:VIE458741 VSA458717:VSA458741 WBW458717:WBW458741 WLS458717:WLS458741 WVO458717:WVO458741 D524253:G524277 JC524253:JC524277 SY524253:SY524277 ACU524253:ACU524277 AMQ524253:AMQ524277 AWM524253:AWM524277 BGI524253:BGI524277 BQE524253:BQE524277 CAA524253:CAA524277 CJW524253:CJW524277 CTS524253:CTS524277 DDO524253:DDO524277 DNK524253:DNK524277 DXG524253:DXG524277 EHC524253:EHC524277 EQY524253:EQY524277 FAU524253:FAU524277 FKQ524253:FKQ524277 FUM524253:FUM524277 GEI524253:GEI524277 GOE524253:GOE524277 GYA524253:GYA524277 HHW524253:HHW524277 HRS524253:HRS524277 IBO524253:IBO524277 ILK524253:ILK524277 IVG524253:IVG524277 JFC524253:JFC524277 JOY524253:JOY524277 JYU524253:JYU524277 KIQ524253:KIQ524277 KSM524253:KSM524277 LCI524253:LCI524277 LME524253:LME524277 LWA524253:LWA524277 MFW524253:MFW524277 MPS524253:MPS524277 MZO524253:MZO524277 NJK524253:NJK524277 NTG524253:NTG524277 ODC524253:ODC524277 OMY524253:OMY524277 OWU524253:OWU524277 PGQ524253:PGQ524277 PQM524253:PQM524277 QAI524253:QAI524277 QKE524253:QKE524277 QUA524253:QUA524277 RDW524253:RDW524277 RNS524253:RNS524277 RXO524253:RXO524277 SHK524253:SHK524277 SRG524253:SRG524277 TBC524253:TBC524277 TKY524253:TKY524277 TUU524253:TUU524277 UEQ524253:UEQ524277 UOM524253:UOM524277 UYI524253:UYI524277 VIE524253:VIE524277 VSA524253:VSA524277 WBW524253:WBW524277 WLS524253:WLS524277 WVO524253:WVO524277 D589789:G589813 JC589789:JC589813 SY589789:SY589813 ACU589789:ACU589813 AMQ589789:AMQ589813 AWM589789:AWM589813 BGI589789:BGI589813 BQE589789:BQE589813 CAA589789:CAA589813 CJW589789:CJW589813 CTS589789:CTS589813 DDO589789:DDO589813 DNK589789:DNK589813 DXG589789:DXG589813 EHC589789:EHC589813 EQY589789:EQY589813 FAU589789:FAU589813 FKQ589789:FKQ589813 FUM589789:FUM589813 GEI589789:GEI589813 GOE589789:GOE589813 GYA589789:GYA589813 HHW589789:HHW589813 HRS589789:HRS589813 IBO589789:IBO589813 ILK589789:ILK589813 IVG589789:IVG589813 JFC589789:JFC589813 JOY589789:JOY589813 JYU589789:JYU589813 KIQ589789:KIQ589813 KSM589789:KSM589813 LCI589789:LCI589813 LME589789:LME589813 LWA589789:LWA589813 MFW589789:MFW589813 MPS589789:MPS589813 MZO589789:MZO589813 NJK589789:NJK589813 NTG589789:NTG589813 ODC589789:ODC589813 OMY589789:OMY589813 OWU589789:OWU589813 PGQ589789:PGQ589813 PQM589789:PQM589813 QAI589789:QAI589813 QKE589789:QKE589813 QUA589789:QUA589813 RDW589789:RDW589813 RNS589789:RNS589813 RXO589789:RXO589813 SHK589789:SHK589813 SRG589789:SRG589813 TBC589789:TBC589813 TKY589789:TKY589813 TUU589789:TUU589813 UEQ589789:UEQ589813 UOM589789:UOM589813 UYI589789:UYI589813 VIE589789:VIE589813 VSA589789:VSA589813 WBW589789:WBW589813 WLS589789:WLS589813 WVO589789:WVO589813 D655325:G655349 JC655325:JC655349 SY655325:SY655349 ACU655325:ACU655349 AMQ655325:AMQ655349 AWM655325:AWM655349 BGI655325:BGI655349 BQE655325:BQE655349 CAA655325:CAA655349 CJW655325:CJW655349 CTS655325:CTS655349 DDO655325:DDO655349 DNK655325:DNK655349 DXG655325:DXG655349 EHC655325:EHC655349 EQY655325:EQY655349 FAU655325:FAU655349 FKQ655325:FKQ655349 FUM655325:FUM655349 GEI655325:GEI655349 GOE655325:GOE655349 GYA655325:GYA655349 HHW655325:HHW655349 HRS655325:HRS655349 IBO655325:IBO655349 ILK655325:ILK655349 IVG655325:IVG655349 JFC655325:JFC655349 JOY655325:JOY655349 JYU655325:JYU655349 KIQ655325:KIQ655349 KSM655325:KSM655349 LCI655325:LCI655349 LME655325:LME655349 LWA655325:LWA655349 MFW655325:MFW655349 MPS655325:MPS655349 MZO655325:MZO655349 NJK655325:NJK655349 NTG655325:NTG655349 ODC655325:ODC655349 OMY655325:OMY655349 OWU655325:OWU655349 PGQ655325:PGQ655349 PQM655325:PQM655349 QAI655325:QAI655349 QKE655325:QKE655349 QUA655325:QUA655349 RDW655325:RDW655349 RNS655325:RNS655349 RXO655325:RXO655349 SHK655325:SHK655349 SRG655325:SRG655349 TBC655325:TBC655349 TKY655325:TKY655349 TUU655325:TUU655349 UEQ655325:UEQ655349 UOM655325:UOM655349 UYI655325:UYI655349 VIE655325:VIE655349 VSA655325:VSA655349 WBW655325:WBW655349 WLS655325:WLS655349 WVO655325:WVO655349 D720861:G720885 JC720861:JC720885 SY720861:SY720885 ACU720861:ACU720885 AMQ720861:AMQ720885 AWM720861:AWM720885 BGI720861:BGI720885 BQE720861:BQE720885 CAA720861:CAA720885 CJW720861:CJW720885 CTS720861:CTS720885 DDO720861:DDO720885 DNK720861:DNK720885 DXG720861:DXG720885 EHC720861:EHC720885 EQY720861:EQY720885 FAU720861:FAU720885 FKQ720861:FKQ720885 FUM720861:FUM720885 GEI720861:GEI720885 GOE720861:GOE720885 GYA720861:GYA720885 HHW720861:HHW720885 HRS720861:HRS720885 IBO720861:IBO720885 ILK720861:ILK720885 IVG720861:IVG720885 JFC720861:JFC720885 JOY720861:JOY720885 JYU720861:JYU720885 KIQ720861:KIQ720885 KSM720861:KSM720885 LCI720861:LCI720885 LME720861:LME720885 LWA720861:LWA720885 MFW720861:MFW720885 MPS720861:MPS720885 MZO720861:MZO720885 NJK720861:NJK720885 NTG720861:NTG720885 ODC720861:ODC720885 OMY720861:OMY720885 OWU720861:OWU720885 PGQ720861:PGQ720885 PQM720861:PQM720885 QAI720861:QAI720885 QKE720861:QKE720885 QUA720861:QUA720885 RDW720861:RDW720885 RNS720861:RNS720885 RXO720861:RXO720885 SHK720861:SHK720885 SRG720861:SRG720885 TBC720861:TBC720885 TKY720861:TKY720885 TUU720861:TUU720885 UEQ720861:UEQ720885 UOM720861:UOM720885 UYI720861:UYI720885 VIE720861:VIE720885 VSA720861:VSA720885 WBW720861:WBW720885 WLS720861:WLS720885 WVO720861:WVO720885 D786397:G786421 JC786397:JC786421 SY786397:SY786421 ACU786397:ACU786421 AMQ786397:AMQ786421 AWM786397:AWM786421 BGI786397:BGI786421 BQE786397:BQE786421 CAA786397:CAA786421 CJW786397:CJW786421 CTS786397:CTS786421 DDO786397:DDO786421 DNK786397:DNK786421 DXG786397:DXG786421 EHC786397:EHC786421 EQY786397:EQY786421 FAU786397:FAU786421 FKQ786397:FKQ786421 FUM786397:FUM786421 GEI786397:GEI786421 GOE786397:GOE786421 GYA786397:GYA786421 HHW786397:HHW786421 HRS786397:HRS786421 IBO786397:IBO786421 ILK786397:ILK786421 IVG786397:IVG786421 JFC786397:JFC786421 JOY786397:JOY786421 JYU786397:JYU786421 KIQ786397:KIQ786421 KSM786397:KSM786421 LCI786397:LCI786421 LME786397:LME786421 LWA786397:LWA786421 MFW786397:MFW786421 MPS786397:MPS786421 MZO786397:MZO786421 NJK786397:NJK786421 NTG786397:NTG786421 ODC786397:ODC786421 OMY786397:OMY786421 OWU786397:OWU786421 PGQ786397:PGQ786421 PQM786397:PQM786421 QAI786397:QAI786421 QKE786397:QKE786421 QUA786397:QUA786421 RDW786397:RDW786421 RNS786397:RNS786421 RXO786397:RXO786421 SHK786397:SHK786421 SRG786397:SRG786421 TBC786397:TBC786421 TKY786397:TKY786421 TUU786397:TUU786421 UEQ786397:UEQ786421 UOM786397:UOM786421 UYI786397:UYI786421 VIE786397:VIE786421 VSA786397:VSA786421 WBW786397:WBW786421 WLS786397:WLS786421 WVO786397:WVO786421 D851933:G851957 JC851933:JC851957 SY851933:SY851957 ACU851933:ACU851957 AMQ851933:AMQ851957 AWM851933:AWM851957 BGI851933:BGI851957 BQE851933:BQE851957 CAA851933:CAA851957 CJW851933:CJW851957 CTS851933:CTS851957 DDO851933:DDO851957 DNK851933:DNK851957 DXG851933:DXG851957 EHC851933:EHC851957 EQY851933:EQY851957 FAU851933:FAU851957 FKQ851933:FKQ851957 FUM851933:FUM851957 GEI851933:GEI851957 GOE851933:GOE851957 GYA851933:GYA851957 HHW851933:HHW851957 HRS851933:HRS851957 IBO851933:IBO851957 ILK851933:ILK851957 IVG851933:IVG851957 JFC851933:JFC851957 JOY851933:JOY851957 JYU851933:JYU851957 KIQ851933:KIQ851957 KSM851933:KSM851957 LCI851933:LCI851957 LME851933:LME851957 LWA851933:LWA851957 MFW851933:MFW851957 MPS851933:MPS851957 MZO851933:MZO851957 NJK851933:NJK851957 NTG851933:NTG851957 ODC851933:ODC851957 OMY851933:OMY851957 OWU851933:OWU851957 PGQ851933:PGQ851957 PQM851933:PQM851957 QAI851933:QAI851957 QKE851933:QKE851957 QUA851933:QUA851957 RDW851933:RDW851957 RNS851933:RNS851957 RXO851933:RXO851957 SHK851933:SHK851957 SRG851933:SRG851957 TBC851933:TBC851957 TKY851933:TKY851957 TUU851933:TUU851957 UEQ851933:UEQ851957 UOM851933:UOM851957 UYI851933:UYI851957 VIE851933:VIE851957 VSA851933:VSA851957 WBW851933:WBW851957 WLS851933:WLS851957 WVO851933:WVO851957 D917469:G917493 JC917469:JC917493 SY917469:SY917493 ACU917469:ACU917493 AMQ917469:AMQ917493 AWM917469:AWM917493 BGI917469:BGI917493 BQE917469:BQE917493 CAA917469:CAA917493 CJW917469:CJW917493 CTS917469:CTS917493 DDO917469:DDO917493 DNK917469:DNK917493 DXG917469:DXG917493 EHC917469:EHC917493 EQY917469:EQY917493 FAU917469:FAU917493 FKQ917469:FKQ917493 FUM917469:FUM917493 GEI917469:GEI917493 GOE917469:GOE917493 GYA917469:GYA917493 HHW917469:HHW917493 HRS917469:HRS917493 IBO917469:IBO917493 ILK917469:ILK917493 IVG917469:IVG917493 JFC917469:JFC917493 JOY917469:JOY917493 JYU917469:JYU917493 KIQ917469:KIQ917493 KSM917469:KSM917493 LCI917469:LCI917493 LME917469:LME917493 LWA917469:LWA917493 MFW917469:MFW917493 MPS917469:MPS917493 MZO917469:MZO917493 NJK917469:NJK917493 NTG917469:NTG917493 ODC917469:ODC917493 OMY917469:OMY917493 OWU917469:OWU917493 PGQ917469:PGQ917493 PQM917469:PQM917493 QAI917469:QAI917493 QKE917469:QKE917493 QUA917469:QUA917493 RDW917469:RDW917493 RNS917469:RNS917493 RXO917469:RXO917493 SHK917469:SHK917493 SRG917469:SRG917493 TBC917469:TBC917493 TKY917469:TKY917493 TUU917469:TUU917493 UEQ917469:UEQ917493 UOM917469:UOM917493 UYI917469:UYI917493 VIE917469:VIE917493 VSA917469:VSA917493 WBW917469:WBW917493 WLS917469:WLS917493 WVO917469:WVO917493 D983005:G983029 JC983005:JC983029 SY983005:SY983029 ACU983005:ACU983029 AMQ983005:AMQ983029 AWM983005:AWM983029 BGI983005:BGI983029 BQE983005:BQE983029 CAA983005:CAA983029 CJW983005:CJW983029 CTS983005:CTS983029 DDO983005:DDO983029 DNK983005:DNK983029 DXG983005:DXG983029 EHC983005:EHC983029 EQY983005:EQY983029 FAU983005:FAU983029 FKQ983005:FKQ983029 FUM983005:FUM983029 GEI983005:GEI983029 GOE983005:GOE983029 GYA983005:GYA983029 HHW983005:HHW983029 HRS983005:HRS983029 IBO983005:IBO983029 ILK983005:ILK983029 IVG983005:IVG983029 JFC983005:JFC983029 JOY983005:JOY983029 JYU983005:JYU983029 KIQ983005:KIQ983029 KSM983005:KSM983029 LCI983005:LCI983029 LME983005:LME983029 LWA983005:LWA983029 MFW983005:MFW983029 MPS983005:MPS983029 MZO983005:MZO983029 NJK983005:NJK983029 NTG983005:NTG983029 ODC983005:ODC983029 OMY983005:OMY983029 OWU983005:OWU983029 PGQ983005:PGQ983029 PQM983005:PQM983029 QAI983005:QAI983029 QKE983005:QKE983029 QUA983005:QUA983029 RDW983005:RDW983029 RNS983005:RNS983029 RXO983005:RXO983029 SHK983005:SHK983029 SRG983005:SRG983029 TBC983005:TBC983029 TKY983005:TKY983029 TUU983005:TUU983029 UEQ983005:UEQ983029 UOM983005:UOM983029 UYI983005:UYI983029 VIE983005:VIE983029 VSA983005:VSA983029 WBW983005:WBW983029 WLS983005:WLS983029 WVO983005:WVO983029">
      <formula1>"1-Document Review,2-Code Review,3-Unit,4-Functional,5-Integration,6-System,7-Performance,8-User Acceptance,9-Beta"</formula1>
    </dataValidation>
    <dataValidation type="list" allowBlank="1" showInputMessage="1" showErrorMessage="1" sqref="J131037:J131061 JD65501:JE65525 SZ65501:TA65525 ACV65501:ACW65525 AMR65501:AMS65525 AWN65501:AWO65525 BGJ65501:BGK65525 BQF65501:BQG65525 CAB65501:CAC65525 CJX65501:CJY65525 CTT65501:CTU65525 DDP65501:DDQ65525 DNL65501:DNM65525 DXH65501:DXI65525 EHD65501:EHE65525 EQZ65501:ERA65525 FAV65501:FAW65525 FKR65501:FKS65525 FUN65501:FUO65525 GEJ65501:GEK65525 GOF65501:GOG65525 GYB65501:GYC65525 HHX65501:HHY65525 HRT65501:HRU65525 IBP65501:IBQ65525 ILL65501:ILM65525 IVH65501:IVI65525 JFD65501:JFE65525 JOZ65501:JPA65525 JYV65501:JYW65525 KIR65501:KIS65525 KSN65501:KSO65525 LCJ65501:LCK65525 LMF65501:LMG65525 LWB65501:LWC65525 MFX65501:MFY65525 MPT65501:MPU65525 MZP65501:MZQ65525 NJL65501:NJM65525 NTH65501:NTI65525 ODD65501:ODE65525 OMZ65501:ONA65525 OWV65501:OWW65525 PGR65501:PGS65525 PQN65501:PQO65525 QAJ65501:QAK65525 QKF65501:QKG65525 QUB65501:QUC65525 RDX65501:RDY65525 RNT65501:RNU65525 RXP65501:RXQ65525 SHL65501:SHM65525 SRH65501:SRI65525 TBD65501:TBE65525 TKZ65501:TLA65525 TUV65501:TUW65525 UER65501:UES65525 UON65501:UOO65525 UYJ65501:UYK65525 VIF65501:VIG65525 VSB65501:VSC65525 WBX65501:WBY65525 WLT65501:WLU65525 WVP65501:WVQ65525 J196573:J196597 JD131037:JE131061 SZ131037:TA131061 ACV131037:ACW131061 AMR131037:AMS131061 AWN131037:AWO131061 BGJ131037:BGK131061 BQF131037:BQG131061 CAB131037:CAC131061 CJX131037:CJY131061 CTT131037:CTU131061 DDP131037:DDQ131061 DNL131037:DNM131061 DXH131037:DXI131061 EHD131037:EHE131061 EQZ131037:ERA131061 FAV131037:FAW131061 FKR131037:FKS131061 FUN131037:FUO131061 GEJ131037:GEK131061 GOF131037:GOG131061 GYB131037:GYC131061 HHX131037:HHY131061 HRT131037:HRU131061 IBP131037:IBQ131061 ILL131037:ILM131061 IVH131037:IVI131061 JFD131037:JFE131061 JOZ131037:JPA131061 JYV131037:JYW131061 KIR131037:KIS131061 KSN131037:KSO131061 LCJ131037:LCK131061 LMF131037:LMG131061 LWB131037:LWC131061 MFX131037:MFY131061 MPT131037:MPU131061 MZP131037:MZQ131061 NJL131037:NJM131061 NTH131037:NTI131061 ODD131037:ODE131061 OMZ131037:ONA131061 OWV131037:OWW131061 PGR131037:PGS131061 PQN131037:PQO131061 QAJ131037:QAK131061 QKF131037:QKG131061 QUB131037:QUC131061 RDX131037:RDY131061 RNT131037:RNU131061 RXP131037:RXQ131061 SHL131037:SHM131061 SRH131037:SRI131061 TBD131037:TBE131061 TKZ131037:TLA131061 TUV131037:TUW131061 UER131037:UES131061 UON131037:UOO131061 UYJ131037:UYK131061 VIF131037:VIG131061 VSB131037:VSC131061 WBX131037:WBY131061 WLT131037:WLU131061 WVP131037:WVQ131061 J262109:J262133 JD196573:JE196597 SZ196573:TA196597 ACV196573:ACW196597 AMR196573:AMS196597 AWN196573:AWO196597 BGJ196573:BGK196597 BQF196573:BQG196597 CAB196573:CAC196597 CJX196573:CJY196597 CTT196573:CTU196597 DDP196573:DDQ196597 DNL196573:DNM196597 DXH196573:DXI196597 EHD196573:EHE196597 EQZ196573:ERA196597 FAV196573:FAW196597 FKR196573:FKS196597 FUN196573:FUO196597 GEJ196573:GEK196597 GOF196573:GOG196597 GYB196573:GYC196597 HHX196573:HHY196597 HRT196573:HRU196597 IBP196573:IBQ196597 ILL196573:ILM196597 IVH196573:IVI196597 JFD196573:JFE196597 JOZ196573:JPA196597 JYV196573:JYW196597 KIR196573:KIS196597 KSN196573:KSO196597 LCJ196573:LCK196597 LMF196573:LMG196597 LWB196573:LWC196597 MFX196573:MFY196597 MPT196573:MPU196597 MZP196573:MZQ196597 NJL196573:NJM196597 NTH196573:NTI196597 ODD196573:ODE196597 OMZ196573:ONA196597 OWV196573:OWW196597 PGR196573:PGS196597 PQN196573:PQO196597 QAJ196573:QAK196597 QKF196573:QKG196597 QUB196573:QUC196597 RDX196573:RDY196597 RNT196573:RNU196597 RXP196573:RXQ196597 SHL196573:SHM196597 SRH196573:SRI196597 TBD196573:TBE196597 TKZ196573:TLA196597 TUV196573:TUW196597 UER196573:UES196597 UON196573:UOO196597 UYJ196573:UYK196597 VIF196573:VIG196597 VSB196573:VSC196597 WBX196573:WBY196597 WLT196573:WLU196597 WVP196573:WVQ196597 J327645:J327669 JD262109:JE262133 SZ262109:TA262133 ACV262109:ACW262133 AMR262109:AMS262133 AWN262109:AWO262133 BGJ262109:BGK262133 BQF262109:BQG262133 CAB262109:CAC262133 CJX262109:CJY262133 CTT262109:CTU262133 DDP262109:DDQ262133 DNL262109:DNM262133 DXH262109:DXI262133 EHD262109:EHE262133 EQZ262109:ERA262133 FAV262109:FAW262133 FKR262109:FKS262133 FUN262109:FUO262133 GEJ262109:GEK262133 GOF262109:GOG262133 GYB262109:GYC262133 HHX262109:HHY262133 HRT262109:HRU262133 IBP262109:IBQ262133 ILL262109:ILM262133 IVH262109:IVI262133 JFD262109:JFE262133 JOZ262109:JPA262133 JYV262109:JYW262133 KIR262109:KIS262133 KSN262109:KSO262133 LCJ262109:LCK262133 LMF262109:LMG262133 LWB262109:LWC262133 MFX262109:MFY262133 MPT262109:MPU262133 MZP262109:MZQ262133 NJL262109:NJM262133 NTH262109:NTI262133 ODD262109:ODE262133 OMZ262109:ONA262133 OWV262109:OWW262133 PGR262109:PGS262133 PQN262109:PQO262133 QAJ262109:QAK262133 QKF262109:QKG262133 QUB262109:QUC262133 RDX262109:RDY262133 RNT262109:RNU262133 RXP262109:RXQ262133 SHL262109:SHM262133 SRH262109:SRI262133 TBD262109:TBE262133 TKZ262109:TLA262133 TUV262109:TUW262133 UER262109:UES262133 UON262109:UOO262133 UYJ262109:UYK262133 VIF262109:VIG262133 VSB262109:VSC262133 WBX262109:WBY262133 WLT262109:WLU262133 WVP262109:WVQ262133 J393181:J393205 JD327645:JE327669 SZ327645:TA327669 ACV327645:ACW327669 AMR327645:AMS327669 AWN327645:AWO327669 BGJ327645:BGK327669 BQF327645:BQG327669 CAB327645:CAC327669 CJX327645:CJY327669 CTT327645:CTU327669 DDP327645:DDQ327669 DNL327645:DNM327669 DXH327645:DXI327669 EHD327645:EHE327669 EQZ327645:ERA327669 FAV327645:FAW327669 FKR327645:FKS327669 FUN327645:FUO327669 GEJ327645:GEK327669 GOF327645:GOG327669 GYB327645:GYC327669 HHX327645:HHY327669 HRT327645:HRU327669 IBP327645:IBQ327669 ILL327645:ILM327669 IVH327645:IVI327669 JFD327645:JFE327669 JOZ327645:JPA327669 JYV327645:JYW327669 KIR327645:KIS327669 KSN327645:KSO327669 LCJ327645:LCK327669 LMF327645:LMG327669 LWB327645:LWC327669 MFX327645:MFY327669 MPT327645:MPU327669 MZP327645:MZQ327669 NJL327645:NJM327669 NTH327645:NTI327669 ODD327645:ODE327669 OMZ327645:ONA327669 OWV327645:OWW327669 PGR327645:PGS327669 PQN327645:PQO327669 QAJ327645:QAK327669 QKF327645:QKG327669 QUB327645:QUC327669 RDX327645:RDY327669 RNT327645:RNU327669 RXP327645:RXQ327669 SHL327645:SHM327669 SRH327645:SRI327669 TBD327645:TBE327669 TKZ327645:TLA327669 TUV327645:TUW327669 UER327645:UES327669 UON327645:UOO327669 UYJ327645:UYK327669 VIF327645:VIG327669 VSB327645:VSC327669 WBX327645:WBY327669 WLT327645:WLU327669 WVP327645:WVQ327669 J458717:J458741 JD393181:JE393205 SZ393181:TA393205 ACV393181:ACW393205 AMR393181:AMS393205 AWN393181:AWO393205 BGJ393181:BGK393205 BQF393181:BQG393205 CAB393181:CAC393205 CJX393181:CJY393205 CTT393181:CTU393205 DDP393181:DDQ393205 DNL393181:DNM393205 DXH393181:DXI393205 EHD393181:EHE393205 EQZ393181:ERA393205 FAV393181:FAW393205 FKR393181:FKS393205 FUN393181:FUO393205 GEJ393181:GEK393205 GOF393181:GOG393205 GYB393181:GYC393205 HHX393181:HHY393205 HRT393181:HRU393205 IBP393181:IBQ393205 ILL393181:ILM393205 IVH393181:IVI393205 JFD393181:JFE393205 JOZ393181:JPA393205 JYV393181:JYW393205 KIR393181:KIS393205 KSN393181:KSO393205 LCJ393181:LCK393205 LMF393181:LMG393205 LWB393181:LWC393205 MFX393181:MFY393205 MPT393181:MPU393205 MZP393181:MZQ393205 NJL393181:NJM393205 NTH393181:NTI393205 ODD393181:ODE393205 OMZ393181:ONA393205 OWV393181:OWW393205 PGR393181:PGS393205 PQN393181:PQO393205 QAJ393181:QAK393205 QKF393181:QKG393205 QUB393181:QUC393205 RDX393181:RDY393205 RNT393181:RNU393205 RXP393181:RXQ393205 SHL393181:SHM393205 SRH393181:SRI393205 TBD393181:TBE393205 TKZ393181:TLA393205 TUV393181:TUW393205 UER393181:UES393205 UON393181:UOO393205 UYJ393181:UYK393205 VIF393181:VIG393205 VSB393181:VSC393205 WBX393181:WBY393205 WLT393181:WLU393205 WVP393181:WVQ393205 J524253:J524277 JD458717:JE458741 SZ458717:TA458741 ACV458717:ACW458741 AMR458717:AMS458741 AWN458717:AWO458741 BGJ458717:BGK458741 BQF458717:BQG458741 CAB458717:CAC458741 CJX458717:CJY458741 CTT458717:CTU458741 DDP458717:DDQ458741 DNL458717:DNM458741 DXH458717:DXI458741 EHD458717:EHE458741 EQZ458717:ERA458741 FAV458717:FAW458741 FKR458717:FKS458741 FUN458717:FUO458741 GEJ458717:GEK458741 GOF458717:GOG458741 GYB458717:GYC458741 HHX458717:HHY458741 HRT458717:HRU458741 IBP458717:IBQ458741 ILL458717:ILM458741 IVH458717:IVI458741 JFD458717:JFE458741 JOZ458717:JPA458741 JYV458717:JYW458741 KIR458717:KIS458741 KSN458717:KSO458741 LCJ458717:LCK458741 LMF458717:LMG458741 LWB458717:LWC458741 MFX458717:MFY458741 MPT458717:MPU458741 MZP458717:MZQ458741 NJL458717:NJM458741 NTH458717:NTI458741 ODD458717:ODE458741 OMZ458717:ONA458741 OWV458717:OWW458741 PGR458717:PGS458741 PQN458717:PQO458741 QAJ458717:QAK458741 QKF458717:QKG458741 QUB458717:QUC458741 RDX458717:RDY458741 RNT458717:RNU458741 RXP458717:RXQ458741 SHL458717:SHM458741 SRH458717:SRI458741 TBD458717:TBE458741 TKZ458717:TLA458741 TUV458717:TUW458741 UER458717:UES458741 UON458717:UOO458741 UYJ458717:UYK458741 VIF458717:VIG458741 VSB458717:VSC458741 WBX458717:WBY458741 WLT458717:WLU458741 WVP458717:WVQ458741 J589789:J589813 JD524253:JE524277 SZ524253:TA524277 ACV524253:ACW524277 AMR524253:AMS524277 AWN524253:AWO524277 BGJ524253:BGK524277 BQF524253:BQG524277 CAB524253:CAC524277 CJX524253:CJY524277 CTT524253:CTU524277 DDP524253:DDQ524277 DNL524253:DNM524277 DXH524253:DXI524277 EHD524253:EHE524277 EQZ524253:ERA524277 FAV524253:FAW524277 FKR524253:FKS524277 FUN524253:FUO524277 GEJ524253:GEK524277 GOF524253:GOG524277 GYB524253:GYC524277 HHX524253:HHY524277 HRT524253:HRU524277 IBP524253:IBQ524277 ILL524253:ILM524277 IVH524253:IVI524277 JFD524253:JFE524277 JOZ524253:JPA524277 JYV524253:JYW524277 KIR524253:KIS524277 KSN524253:KSO524277 LCJ524253:LCK524277 LMF524253:LMG524277 LWB524253:LWC524277 MFX524253:MFY524277 MPT524253:MPU524277 MZP524253:MZQ524277 NJL524253:NJM524277 NTH524253:NTI524277 ODD524253:ODE524277 OMZ524253:ONA524277 OWV524253:OWW524277 PGR524253:PGS524277 PQN524253:PQO524277 QAJ524253:QAK524277 QKF524253:QKG524277 QUB524253:QUC524277 RDX524253:RDY524277 RNT524253:RNU524277 RXP524253:RXQ524277 SHL524253:SHM524277 SRH524253:SRI524277 TBD524253:TBE524277 TKZ524253:TLA524277 TUV524253:TUW524277 UER524253:UES524277 UON524253:UOO524277 UYJ524253:UYK524277 VIF524253:VIG524277 VSB524253:VSC524277 WBX524253:WBY524277 WLT524253:WLU524277 WVP524253:WVQ524277 J655325:J655349 JD589789:JE589813 SZ589789:TA589813 ACV589789:ACW589813 AMR589789:AMS589813 AWN589789:AWO589813 BGJ589789:BGK589813 BQF589789:BQG589813 CAB589789:CAC589813 CJX589789:CJY589813 CTT589789:CTU589813 DDP589789:DDQ589813 DNL589789:DNM589813 DXH589789:DXI589813 EHD589789:EHE589813 EQZ589789:ERA589813 FAV589789:FAW589813 FKR589789:FKS589813 FUN589789:FUO589813 GEJ589789:GEK589813 GOF589789:GOG589813 GYB589789:GYC589813 HHX589789:HHY589813 HRT589789:HRU589813 IBP589789:IBQ589813 ILL589789:ILM589813 IVH589789:IVI589813 JFD589789:JFE589813 JOZ589789:JPA589813 JYV589789:JYW589813 KIR589789:KIS589813 KSN589789:KSO589813 LCJ589789:LCK589813 LMF589789:LMG589813 LWB589789:LWC589813 MFX589789:MFY589813 MPT589789:MPU589813 MZP589789:MZQ589813 NJL589789:NJM589813 NTH589789:NTI589813 ODD589789:ODE589813 OMZ589789:ONA589813 OWV589789:OWW589813 PGR589789:PGS589813 PQN589789:PQO589813 QAJ589789:QAK589813 QKF589789:QKG589813 QUB589789:QUC589813 RDX589789:RDY589813 RNT589789:RNU589813 RXP589789:RXQ589813 SHL589789:SHM589813 SRH589789:SRI589813 TBD589789:TBE589813 TKZ589789:TLA589813 TUV589789:TUW589813 UER589789:UES589813 UON589789:UOO589813 UYJ589789:UYK589813 VIF589789:VIG589813 VSB589789:VSC589813 WBX589789:WBY589813 WLT589789:WLU589813 WVP589789:WVQ589813 J720861:J720885 JD655325:JE655349 SZ655325:TA655349 ACV655325:ACW655349 AMR655325:AMS655349 AWN655325:AWO655349 BGJ655325:BGK655349 BQF655325:BQG655349 CAB655325:CAC655349 CJX655325:CJY655349 CTT655325:CTU655349 DDP655325:DDQ655349 DNL655325:DNM655349 DXH655325:DXI655349 EHD655325:EHE655349 EQZ655325:ERA655349 FAV655325:FAW655349 FKR655325:FKS655349 FUN655325:FUO655349 GEJ655325:GEK655349 GOF655325:GOG655349 GYB655325:GYC655349 HHX655325:HHY655349 HRT655325:HRU655349 IBP655325:IBQ655349 ILL655325:ILM655349 IVH655325:IVI655349 JFD655325:JFE655349 JOZ655325:JPA655349 JYV655325:JYW655349 KIR655325:KIS655349 KSN655325:KSO655349 LCJ655325:LCK655349 LMF655325:LMG655349 LWB655325:LWC655349 MFX655325:MFY655349 MPT655325:MPU655349 MZP655325:MZQ655349 NJL655325:NJM655349 NTH655325:NTI655349 ODD655325:ODE655349 OMZ655325:ONA655349 OWV655325:OWW655349 PGR655325:PGS655349 PQN655325:PQO655349 QAJ655325:QAK655349 QKF655325:QKG655349 QUB655325:QUC655349 RDX655325:RDY655349 RNT655325:RNU655349 RXP655325:RXQ655349 SHL655325:SHM655349 SRH655325:SRI655349 TBD655325:TBE655349 TKZ655325:TLA655349 TUV655325:TUW655349 UER655325:UES655349 UON655325:UOO655349 UYJ655325:UYK655349 VIF655325:VIG655349 VSB655325:VSC655349 WBX655325:WBY655349 WLT655325:WLU655349 WVP655325:WVQ655349 J786397:J786421 JD720861:JE720885 SZ720861:TA720885 ACV720861:ACW720885 AMR720861:AMS720885 AWN720861:AWO720885 BGJ720861:BGK720885 BQF720861:BQG720885 CAB720861:CAC720885 CJX720861:CJY720885 CTT720861:CTU720885 DDP720861:DDQ720885 DNL720861:DNM720885 DXH720861:DXI720885 EHD720861:EHE720885 EQZ720861:ERA720885 FAV720861:FAW720885 FKR720861:FKS720885 FUN720861:FUO720885 GEJ720861:GEK720885 GOF720861:GOG720885 GYB720861:GYC720885 HHX720861:HHY720885 HRT720861:HRU720885 IBP720861:IBQ720885 ILL720861:ILM720885 IVH720861:IVI720885 JFD720861:JFE720885 JOZ720861:JPA720885 JYV720861:JYW720885 KIR720861:KIS720885 KSN720861:KSO720885 LCJ720861:LCK720885 LMF720861:LMG720885 LWB720861:LWC720885 MFX720861:MFY720885 MPT720861:MPU720885 MZP720861:MZQ720885 NJL720861:NJM720885 NTH720861:NTI720885 ODD720861:ODE720885 OMZ720861:ONA720885 OWV720861:OWW720885 PGR720861:PGS720885 PQN720861:PQO720885 QAJ720861:QAK720885 QKF720861:QKG720885 QUB720861:QUC720885 RDX720861:RDY720885 RNT720861:RNU720885 RXP720861:RXQ720885 SHL720861:SHM720885 SRH720861:SRI720885 TBD720861:TBE720885 TKZ720861:TLA720885 TUV720861:TUW720885 UER720861:UES720885 UON720861:UOO720885 UYJ720861:UYK720885 VIF720861:VIG720885 VSB720861:VSC720885 WBX720861:WBY720885 WLT720861:WLU720885 WVP720861:WVQ720885 J851933:J851957 JD786397:JE786421 SZ786397:TA786421 ACV786397:ACW786421 AMR786397:AMS786421 AWN786397:AWO786421 BGJ786397:BGK786421 BQF786397:BQG786421 CAB786397:CAC786421 CJX786397:CJY786421 CTT786397:CTU786421 DDP786397:DDQ786421 DNL786397:DNM786421 DXH786397:DXI786421 EHD786397:EHE786421 EQZ786397:ERA786421 FAV786397:FAW786421 FKR786397:FKS786421 FUN786397:FUO786421 GEJ786397:GEK786421 GOF786397:GOG786421 GYB786397:GYC786421 HHX786397:HHY786421 HRT786397:HRU786421 IBP786397:IBQ786421 ILL786397:ILM786421 IVH786397:IVI786421 JFD786397:JFE786421 JOZ786397:JPA786421 JYV786397:JYW786421 KIR786397:KIS786421 KSN786397:KSO786421 LCJ786397:LCK786421 LMF786397:LMG786421 LWB786397:LWC786421 MFX786397:MFY786421 MPT786397:MPU786421 MZP786397:MZQ786421 NJL786397:NJM786421 NTH786397:NTI786421 ODD786397:ODE786421 OMZ786397:ONA786421 OWV786397:OWW786421 PGR786397:PGS786421 PQN786397:PQO786421 QAJ786397:QAK786421 QKF786397:QKG786421 QUB786397:QUC786421 RDX786397:RDY786421 RNT786397:RNU786421 RXP786397:RXQ786421 SHL786397:SHM786421 SRH786397:SRI786421 TBD786397:TBE786421 TKZ786397:TLA786421 TUV786397:TUW786421 UER786397:UES786421 UON786397:UOO786421 UYJ786397:UYK786421 VIF786397:VIG786421 VSB786397:VSC786421 WBX786397:WBY786421 WLT786397:WLU786421 WVP786397:WVQ786421 J917469:J917493 JD851933:JE851957 SZ851933:TA851957 ACV851933:ACW851957 AMR851933:AMS851957 AWN851933:AWO851957 BGJ851933:BGK851957 BQF851933:BQG851957 CAB851933:CAC851957 CJX851933:CJY851957 CTT851933:CTU851957 DDP851933:DDQ851957 DNL851933:DNM851957 DXH851933:DXI851957 EHD851933:EHE851957 EQZ851933:ERA851957 FAV851933:FAW851957 FKR851933:FKS851957 FUN851933:FUO851957 GEJ851933:GEK851957 GOF851933:GOG851957 GYB851933:GYC851957 HHX851933:HHY851957 HRT851933:HRU851957 IBP851933:IBQ851957 ILL851933:ILM851957 IVH851933:IVI851957 JFD851933:JFE851957 JOZ851933:JPA851957 JYV851933:JYW851957 KIR851933:KIS851957 KSN851933:KSO851957 LCJ851933:LCK851957 LMF851933:LMG851957 LWB851933:LWC851957 MFX851933:MFY851957 MPT851933:MPU851957 MZP851933:MZQ851957 NJL851933:NJM851957 NTH851933:NTI851957 ODD851933:ODE851957 OMZ851933:ONA851957 OWV851933:OWW851957 PGR851933:PGS851957 PQN851933:PQO851957 QAJ851933:QAK851957 QKF851933:QKG851957 QUB851933:QUC851957 RDX851933:RDY851957 RNT851933:RNU851957 RXP851933:RXQ851957 SHL851933:SHM851957 SRH851933:SRI851957 TBD851933:TBE851957 TKZ851933:TLA851957 TUV851933:TUW851957 UER851933:UES851957 UON851933:UOO851957 UYJ851933:UYK851957 VIF851933:VIG851957 VSB851933:VSC851957 WBX851933:WBY851957 WLT851933:WLU851957 WVP851933:WVQ851957 J983005:J983029 JD917469:JE917493 SZ917469:TA917493 ACV917469:ACW917493 AMR917469:AMS917493 AWN917469:AWO917493 BGJ917469:BGK917493 BQF917469:BQG917493 CAB917469:CAC917493 CJX917469:CJY917493 CTT917469:CTU917493 DDP917469:DDQ917493 DNL917469:DNM917493 DXH917469:DXI917493 EHD917469:EHE917493 EQZ917469:ERA917493 FAV917469:FAW917493 FKR917469:FKS917493 FUN917469:FUO917493 GEJ917469:GEK917493 GOF917469:GOG917493 GYB917469:GYC917493 HHX917469:HHY917493 HRT917469:HRU917493 IBP917469:IBQ917493 ILL917469:ILM917493 IVH917469:IVI917493 JFD917469:JFE917493 JOZ917469:JPA917493 JYV917469:JYW917493 KIR917469:KIS917493 KSN917469:KSO917493 LCJ917469:LCK917493 LMF917469:LMG917493 LWB917469:LWC917493 MFX917469:MFY917493 MPT917469:MPU917493 MZP917469:MZQ917493 NJL917469:NJM917493 NTH917469:NTI917493 ODD917469:ODE917493 OMZ917469:ONA917493 OWV917469:OWW917493 PGR917469:PGS917493 PQN917469:PQO917493 QAJ917469:QAK917493 QKF917469:QKG917493 QUB917469:QUC917493 RDX917469:RDY917493 RNT917469:RNU917493 RXP917469:RXQ917493 SHL917469:SHM917493 SRH917469:SRI917493 TBD917469:TBE917493 TKZ917469:TLA917493 TUV917469:TUW917493 UER917469:UES917493 UON917469:UOO917493 UYJ917469:UYK917493 VIF917469:VIG917493 VSB917469:VSC917493 WBX917469:WBY917493 WLT917469:WLU917493 WVP917469:WVQ917493 WVP983005:WVQ983029 JD983005:JE983029 SZ983005:TA983029 ACV983005:ACW983029 AMR983005:AMS983029 AWN983005:AWO983029 BGJ983005:BGK983029 BQF983005:BQG983029 CAB983005:CAC983029 CJX983005:CJY983029 CTT983005:CTU983029 DDP983005:DDQ983029 DNL983005:DNM983029 DXH983005:DXI983029 EHD983005:EHE983029 EQZ983005:ERA983029 FAV983005:FAW983029 FKR983005:FKS983029 FUN983005:FUO983029 GEJ983005:GEK983029 GOF983005:GOG983029 GYB983005:GYC983029 HHX983005:HHY983029 HRT983005:HRU983029 IBP983005:IBQ983029 ILL983005:ILM983029 IVH983005:IVI983029 JFD983005:JFE983029 JOZ983005:JPA983029 JYV983005:JYW983029 KIR983005:KIS983029 KSN983005:KSO983029 LCJ983005:LCK983029 LMF983005:LMG983029 LWB983005:LWC983029 MFX983005:MFY983029 MPT983005:MPU983029 MZP983005:MZQ983029 NJL983005:NJM983029 NTH983005:NTI983029 ODD983005:ODE983029 OMZ983005:ONA983029 OWV983005:OWW983029 PGR983005:PGS983029 PQN983005:PQO983029 QAJ983005:QAK983029 QKF983005:QKG983029 QUB983005:QUC983029 RDX983005:RDY983029 RNT983005:RNU983029 RXP983005:RXQ983029 SHL983005:SHM983029 SRH983005:SRI983029 TBD983005:TBE983029 TKZ983005:TLA983029 TUV983005:TUW983029 UER983005:UES983029 UON983005:UOO983029 UYJ983005:UYK983029 VIF983005:VIG983029 VSB983005:VSC983029 WBX983005:WBY983029 WLT983005:WLU983029 H983005:H983029 H917469:H917493 H851933:H851957 H786397:H786421 H720861:H720885 H655325:H655349 H589789:H589813 H524253:H524277 H458717:H458741 H393181:H393205 H327645:H327669 H262109:H262133 H196573:H196597 H131037:H131061 H65501:H65525 J65501:J65525">
      <formula1>"1-Critical,2-Major,3-Medium,4-Minor,5-Low"</formula1>
    </dataValidation>
    <dataValidation type="list" allowBlank="1" showInputMessage="1" showErrorMessage="1" sqref="K65483:K65525 JF65483:JF65525 TB65483:TB65525 ACX65483:ACX65525 AMT65483:AMT65525 AWP65483:AWP65525 BGL65483:BGL65525 BQH65483:BQH65525 CAD65483:CAD65525 CJZ65483:CJZ65525 CTV65483:CTV65525 DDR65483:DDR65525 DNN65483:DNN65525 DXJ65483:DXJ65525 EHF65483:EHF65525 ERB65483:ERB65525 FAX65483:FAX65525 FKT65483:FKT65525 FUP65483:FUP65525 GEL65483:GEL65525 GOH65483:GOH65525 GYD65483:GYD65525 HHZ65483:HHZ65525 HRV65483:HRV65525 IBR65483:IBR65525 ILN65483:ILN65525 IVJ65483:IVJ65525 JFF65483:JFF65525 JPB65483:JPB65525 JYX65483:JYX65525 KIT65483:KIT65525 KSP65483:KSP65525 LCL65483:LCL65525 LMH65483:LMH65525 LWD65483:LWD65525 MFZ65483:MFZ65525 MPV65483:MPV65525 MZR65483:MZR65525 NJN65483:NJN65525 NTJ65483:NTJ65525 ODF65483:ODF65525 ONB65483:ONB65525 OWX65483:OWX65525 PGT65483:PGT65525 PQP65483:PQP65525 QAL65483:QAL65525 QKH65483:QKH65525 QUD65483:QUD65525 RDZ65483:RDZ65525 RNV65483:RNV65525 RXR65483:RXR65525 SHN65483:SHN65525 SRJ65483:SRJ65525 TBF65483:TBF65525 TLB65483:TLB65525 TUX65483:TUX65525 UET65483:UET65525 UOP65483:UOP65525 UYL65483:UYL65525 VIH65483:VIH65525 VSD65483:VSD65525 WBZ65483:WBZ65525 WLV65483:WLV65525 WVR65483:WVR65525 K131019:K131061 JF131019:JF131061 TB131019:TB131061 ACX131019:ACX131061 AMT131019:AMT131061 AWP131019:AWP131061 BGL131019:BGL131061 BQH131019:BQH131061 CAD131019:CAD131061 CJZ131019:CJZ131061 CTV131019:CTV131061 DDR131019:DDR131061 DNN131019:DNN131061 DXJ131019:DXJ131061 EHF131019:EHF131061 ERB131019:ERB131061 FAX131019:FAX131061 FKT131019:FKT131061 FUP131019:FUP131061 GEL131019:GEL131061 GOH131019:GOH131061 GYD131019:GYD131061 HHZ131019:HHZ131061 HRV131019:HRV131061 IBR131019:IBR131061 ILN131019:ILN131061 IVJ131019:IVJ131061 JFF131019:JFF131061 JPB131019:JPB131061 JYX131019:JYX131061 KIT131019:KIT131061 KSP131019:KSP131061 LCL131019:LCL131061 LMH131019:LMH131061 LWD131019:LWD131061 MFZ131019:MFZ131061 MPV131019:MPV131061 MZR131019:MZR131061 NJN131019:NJN131061 NTJ131019:NTJ131061 ODF131019:ODF131061 ONB131019:ONB131061 OWX131019:OWX131061 PGT131019:PGT131061 PQP131019:PQP131061 QAL131019:QAL131061 QKH131019:QKH131061 QUD131019:QUD131061 RDZ131019:RDZ131061 RNV131019:RNV131061 RXR131019:RXR131061 SHN131019:SHN131061 SRJ131019:SRJ131061 TBF131019:TBF131061 TLB131019:TLB131061 TUX131019:TUX131061 UET131019:UET131061 UOP131019:UOP131061 UYL131019:UYL131061 VIH131019:VIH131061 VSD131019:VSD131061 WBZ131019:WBZ131061 WLV131019:WLV131061 WVR131019:WVR131061 K196555:K196597 JF196555:JF196597 TB196555:TB196597 ACX196555:ACX196597 AMT196555:AMT196597 AWP196555:AWP196597 BGL196555:BGL196597 BQH196555:BQH196597 CAD196555:CAD196597 CJZ196555:CJZ196597 CTV196555:CTV196597 DDR196555:DDR196597 DNN196555:DNN196597 DXJ196555:DXJ196597 EHF196555:EHF196597 ERB196555:ERB196597 FAX196555:FAX196597 FKT196555:FKT196597 FUP196555:FUP196597 GEL196555:GEL196597 GOH196555:GOH196597 GYD196555:GYD196597 HHZ196555:HHZ196597 HRV196555:HRV196597 IBR196555:IBR196597 ILN196555:ILN196597 IVJ196555:IVJ196597 JFF196555:JFF196597 JPB196555:JPB196597 JYX196555:JYX196597 KIT196555:KIT196597 KSP196555:KSP196597 LCL196555:LCL196597 LMH196555:LMH196597 LWD196555:LWD196597 MFZ196555:MFZ196597 MPV196555:MPV196597 MZR196555:MZR196597 NJN196555:NJN196597 NTJ196555:NTJ196597 ODF196555:ODF196597 ONB196555:ONB196597 OWX196555:OWX196597 PGT196555:PGT196597 PQP196555:PQP196597 QAL196555:QAL196597 QKH196555:QKH196597 QUD196555:QUD196597 RDZ196555:RDZ196597 RNV196555:RNV196597 RXR196555:RXR196597 SHN196555:SHN196597 SRJ196555:SRJ196597 TBF196555:TBF196597 TLB196555:TLB196597 TUX196555:TUX196597 UET196555:UET196597 UOP196555:UOP196597 UYL196555:UYL196597 VIH196555:VIH196597 VSD196555:VSD196597 WBZ196555:WBZ196597 WLV196555:WLV196597 WVR196555:WVR196597 K262091:K262133 JF262091:JF262133 TB262091:TB262133 ACX262091:ACX262133 AMT262091:AMT262133 AWP262091:AWP262133 BGL262091:BGL262133 BQH262091:BQH262133 CAD262091:CAD262133 CJZ262091:CJZ262133 CTV262091:CTV262133 DDR262091:DDR262133 DNN262091:DNN262133 DXJ262091:DXJ262133 EHF262091:EHF262133 ERB262091:ERB262133 FAX262091:FAX262133 FKT262091:FKT262133 FUP262091:FUP262133 GEL262091:GEL262133 GOH262091:GOH262133 GYD262091:GYD262133 HHZ262091:HHZ262133 HRV262091:HRV262133 IBR262091:IBR262133 ILN262091:ILN262133 IVJ262091:IVJ262133 JFF262091:JFF262133 JPB262091:JPB262133 JYX262091:JYX262133 KIT262091:KIT262133 KSP262091:KSP262133 LCL262091:LCL262133 LMH262091:LMH262133 LWD262091:LWD262133 MFZ262091:MFZ262133 MPV262091:MPV262133 MZR262091:MZR262133 NJN262091:NJN262133 NTJ262091:NTJ262133 ODF262091:ODF262133 ONB262091:ONB262133 OWX262091:OWX262133 PGT262091:PGT262133 PQP262091:PQP262133 QAL262091:QAL262133 QKH262091:QKH262133 QUD262091:QUD262133 RDZ262091:RDZ262133 RNV262091:RNV262133 RXR262091:RXR262133 SHN262091:SHN262133 SRJ262091:SRJ262133 TBF262091:TBF262133 TLB262091:TLB262133 TUX262091:TUX262133 UET262091:UET262133 UOP262091:UOP262133 UYL262091:UYL262133 VIH262091:VIH262133 VSD262091:VSD262133 WBZ262091:WBZ262133 WLV262091:WLV262133 WVR262091:WVR262133 K327627:K327669 JF327627:JF327669 TB327627:TB327669 ACX327627:ACX327669 AMT327627:AMT327669 AWP327627:AWP327669 BGL327627:BGL327669 BQH327627:BQH327669 CAD327627:CAD327669 CJZ327627:CJZ327669 CTV327627:CTV327669 DDR327627:DDR327669 DNN327627:DNN327669 DXJ327627:DXJ327669 EHF327627:EHF327669 ERB327627:ERB327669 FAX327627:FAX327669 FKT327627:FKT327669 FUP327627:FUP327669 GEL327627:GEL327669 GOH327627:GOH327669 GYD327627:GYD327669 HHZ327627:HHZ327669 HRV327627:HRV327669 IBR327627:IBR327669 ILN327627:ILN327669 IVJ327627:IVJ327669 JFF327627:JFF327669 JPB327627:JPB327669 JYX327627:JYX327669 KIT327627:KIT327669 KSP327627:KSP327669 LCL327627:LCL327669 LMH327627:LMH327669 LWD327627:LWD327669 MFZ327627:MFZ327669 MPV327627:MPV327669 MZR327627:MZR327669 NJN327627:NJN327669 NTJ327627:NTJ327669 ODF327627:ODF327669 ONB327627:ONB327669 OWX327627:OWX327669 PGT327627:PGT327669 PQP327627:PQP327669 QAL327627:QAL327669 QKH327627:QKH327669 QUD327627:QUD327669 RDZ327627:RDZ327669 RNV327627:RNV327669 RXR327627:RXR327669 SHN327627:SHN327669 SRJ327627:SRJ327669 TBF327627:TBF327669 TLB327627:TLB327669 TUX327627:TUX327669 UET327627:UET327669 UOP327627:UOP327669 UYL327627:UYL327669 VIH327627:VIH327669 VSD327627:VSD327669 WBZ327627:WBZ327669 WLV327627:WLV327669 WVR327627:WVR327669 K393163:K393205 JF393163:JF393205 TB393163:TB393205 ACX393163:ACX393205 AMT393163:AMT393205 AWP393163:AWP393205 BGL393163:BGL393205 BQH393163:BQH393205 CAD393163:CAD393205 CJZ393163:CJZ393205 CTV393163:CTV393205 DDR393163:DDR393205 DNN393163:DNN393205 DXJ393163:DXJ393205 EHF393163:EHF393205 ERB393163:ERB393205 FAX393163:FAX393205 FKT393163:FKT393205 FUP393163:FUP393205 GEL393163:GEL393205 GOH393163:GOH393205 GYD393163:GYD393205 HHZ393163:HHZ393205 HRV393163:HRV393205 IBR393163:IBR393205 ILN393163:ILN393205 IVJ393163:IVJ393205 JFF393163:JFF393205 JPB393163:JPB393205 JYX393163:JYX393205 KIT393163:KIT393205 KSP393163:KSP393205 LCL393163:LCL393205 LMH393163:LMH393205 LWD393163:LWD393205 MFZ393163:MFZ393205 MPV393163:MPV393205 MZR393163:MZR393205 NJN393163:NJN393205 NTJ393163:NTJ393205 ODF393163:ODF393205 ONB393163:ONB393205 OWX393163:OWX393205 PGT393163:PGT393205 PQP393163:PQP393205 QAL393163:QAL393205 QKH393163:QKH393205 QUD393163:QUD393205 RDZ393163:RDZ393205 RNV393163:RNV393205 RXR393163:RXR393205 SHN393163:SHN393205 SRJ393163:SRJ393205 TBF393163:TBF393205 TLB393163:TLB393205 TUX393163:TUX393205 UET393163:UET393205 UOP393163:UOP393205 UYL393163:UYL393205 VIH393163:VIH393205 VSD393163:VSD393205 WBZ393163:WBZ393205 WLV393163:WLV393205 WVR393163:WVR393205 K458699:K458741 JF458699:JF458741 TB458699:TB458741 ACX458699:ACX458741 AMT458699:AMT458741 AWP458699:AWP458741 BGL458699:BGL458741 BQH458699:BQH458741 CAD458699:CAD458741 CJZ458699:CJZ458741 CTV458699:CTV458741 DDR458699:DDR458741 DNN458699:DNN458741 DXJ458699:DXJ458741 EHF458699:EHF458741 ERB458699:ERB458741 FAX458699:FAX458741 FKT458699:FKT458741 FUP458699:FUP458741 GEL458699:GEL458741 GOH458699:GOH458741 GYD458699:GYD458741 HHZ458699:HHZ458741 HRV458699:HRV458741 IBR458699:IBR458741 ILN458699:ILN458741 IVJ458699:IVJ458741 JFF458699:JFF458741 JPB458699:JPB458741 JYX458699:JYX458741 KIT458699:KIT458741 KSP458699:KSP458741 LCL458699:LCL458741 LMH458699:LMH458741 LWD458699:LWD458741 MFZ458699:MFZ458741 MPV458699:MPV458741 MZR458699:MZR458741 NJN458699:NJN458741 NTJ458699:NTJ458741 ODF458699:ODF458741 ONB458699:ONB458741 OWX458699:OWX458741 PGT458699:PGT458741 PQP458699:PQP458741 QAL458699:QAL458741 QKH458699:QKH458741 QUD458699:QUD458741 RDZ458699:RDZ458741 RNV458699:RNV458741 RXR458699:RXR458741 SHN458699:SHN458741 SRJ458699:SRJ458741 TBF458699:TBF458741 TLB458699:TLB458741 TUX458699:TUX458741 UET458699:UET458741 UOP458699:UOP458741 UYL458699:UYL458741 VIH458699:VIH458741 VSD458699:VSD458741 WBZ458699:WBZ458741 WLV458699:WLV458741 WVR458699:WVR458741 K524235:K524277 JF524235:JF524277 TB524235:TB524277 ACX524235:ACX524277 AMT524235:AMT524277 AWP524235:AWP524277 BGL524235:BGL524277 BQH524235:BQH524277 CAD524235:CAD524277 CJZ524235:CJZ524277 CTV524235:CTV524277 DDR524235:DDR524277 DNN524235:DNN524277 DXJ524235:DXJ524277 EHF524235:EHF524277 ERB524235:ERB524277 FAX524235:FAX524277 FKT524235:FKT524277 FUP524235:FUP524277 GEL524235:GEL524277 GOH524235:GOH524277 GYD524235:GYD524277 HHZ524235:HHZ524277 HRV524235:HRV524277 IBR524235:IBR524277 ILN524235:ILN524277 IVJ524235:IVJ524277 JFF524235:JFF524277 JPB524235:JPB524277 JYX524235:JYX524277 KIT524235:KIT524277 KSP524235:KSP524277 LCL524235:LCL524277 LMH524235:LMH524277 LWD524235:LWD524277 MFZ524235:MFZ524277 MPV524235:MPV524277 MZR524235:MZR524277 NJN524235:NJN524277 NTJ524235:NTJ524277 ODF524235:ODF524277 ONB524235:ONB524277 OWX524235:OWX524277 PGT524235:PGT524277 PQP524235:PQP524277 QAL524235:QAL524277 QKH524235:QKH524277 QUD524235:QUD524277 RDZ524235:RDZ524277 RNV524235:RNV524277 RXR524235:RXR524277 SHN524235:SHN524277 SRJ524235:SRJ524277 TBF524235:TBF524277 TLB524235:TLB524277 TUX524235:TUX524277 UET524235:UET524277 UOP524235:UOP524277 UYL524235:UYL524277 VIH524235:VIH524277 VSD524235:VSD524277 WBZ524235:WBZ524277 WLV524235:WLV524277 WVR524235:WVR524277 K589771:K589813 JF589771:JF589813 TB589771:TB589813 ACX589771:ACX589813 AMT589771:AMT589813 AWP589771:AWP589813 BGL589771:BGL589813 BQH589771:BQH589813 CAD589771:CAD589813 CJZ589771:CJZ589813 CTV589771:CTV589813 DDR589771:DDR589813 DNN589771:DNN589813 DXJ589771:DXJ589813 EHF589771:EHF589813 ERB589771:ERB589813 FAX589771:FAX589813 FKT589771:FKT589813 FUP589771:FUP589813 GEL589771:GEL589813 GOH589771:GOH589813 GYD589771:GYD589813 HHZ589771:HHZ589813 HRV589771:HRV589813 IBR589771:IBR589813 ILN589771:ILN589813 IVJ589771:IVJ589813 JFF589771:JFF589813 JPB589771:JPB589813 JYX589771:JYX589813 KIT589771:KIT589813 KSP589771:KSP589813 LCL589771:LCL589813 LMH589771:LMH589813 LWD589771:LWD589813 MFZ589771:MFZ589813 MPV589771:MPV589813 MZR589771:MZR589813 NJN589771:NJN589813 NTJ589771:NTJ589813 ODF589771:ODF589813 ONB589771:ONB589813 OWX589771:OWX589813 PGT589771:PGT589813 PQP589771:PQP589813 QAL589771:QAL589813 QKH589771:QKH589813 QUD589771:QUD589813 RDZ589771:RDZ589813 RNV589771:RNV589813 RXR589771:RXR589813 SHN589771:SHN589813 SRJ589771:SRJ589813 TBF589771:TBF589813 TLB589771:TLB589813 TUX589771:TUX589813 UET589771:UET589813 UOP589771:UOP589813 UYL589771:UYL589813 VIH589771:VIH589813 VSD589771:VSD589813 WBZ589771:WBZ589813 WLV589771:WLV589813 WVR589771:WVR589813 K655307:K655349 JF655307:JF655349 TB655307:TB655349 ACX655307:ACX655349 AMT655307:AMT655349 AWP655307:AWP655349 BGL655307:BGL655349 BQH655307:BQH655349 CAD655307:CAD655349 CJZ655307:CJZ655349 CTV655307:CTV655349 DDR655307:DDR655349 DNN655307:DNN655349 DXJ655307:DXJ655349 EHF655307:EHF655349 ERB655307:ERB655349 FAX655307:FAX655349 FKT655307:FKT655349 FUP655307:FUP655349 GEL655307:GEL655349 GOH655307:GOH655349 GYD655307:GYD655349 HHZ655307:HHZ655349 HRV655307:HRV655349 IBR655307:IBR655349 ILN655307:ILN655349 IVJ655307:IVJ655349 JFF655307:JFF655349 JPB655307:JPB655349 JYX655307:JYX655349 KIT655307:KIT655349 KSP655307:KSP655349 LCL655307:LCL655349 LMH655307:LMH655349 LWD655307:LWD655349 MFZ655307:MFZ655349 MPV655307:MPV655349 MZR655307:MZR655349 NJN655307:NJN655349 NTJ655307:NTJ655349 ODF655307:ODF655349 ONB655307:ONB655349 OWX655307:OWX655349 PGT655307:PGT655349 PQP655307:PQP655349 QAL655307:QAL655349 QKH655307:QKH655349 QUD655307:QUD655349 RDZ655307:RDZ655349 RNV655307:RNV655349 RXR655307:RXR655349 SHN655307:SHN655349 SRJ655307:SRJ655349 TBF655307:TBF655349 TLB655307:TLB655349 TUX655307:TUX655349 UET655307:UET655349 UOP655307:UOP655349 UYL655307:UYL655349 VIH655307:VIH655349 VSD655307:VSD655349 WBZ655307:WBZ655349 WLV655307:WLV655349 WVR655307:WVR655349 K720843:K720885 JF720843:JF720885 TB720843:TB720885 ACX720843:ACX720885 AMT720843:AMT720885 AWP720843:AWP720885 BGL720843:BGL720885 BQH720843:BQH720885 CAD720843:CAD720885 CJZ720843:CJZ720885 CTV720843:CTV720885 DDR720843:DDR720885 DNN720843:DNN720885 DXJ720843:DXJ720885 EHF720843:EHF720885 ERB720843:ERB720885 FAX720843:FAX720885 FKT720843:FKT720885 FUP720843:FUP720885 GEL720843:GEL720885 GOH720843:GOH720885 GYD720843:GYD720885 HHZ720843:HHZ720885 HRV720843:HRV720885 IBR720843:IBR720885 ILN720843:ILN720885 IVJ720843:IVJ720885 JFF720843:JFF720885 JPB720843:JPB720885 JYX720843:JYX720885 KIT720843:KIT720885 KSP720843:KSP720885 LCL720843:LCL720885 LMH720843:LMH720885 LWD720843:LWD720885 MFZ720843:MFZ720885 MPV720843:MPV720885 MZR720843:MZR720885 NJN720843:NJN720885 NTJ720843:NTJ720885 ODF720843:ODF720885 ONB720843:ONB720885 OWX720843:OWX720885 PGT720843:PGT720885 PQP720843:PQP720885 QAL720843:QAL720885 QKH720843:QKH720885 QUD720843:QUD720885 RDZ720843:RDZ720885 RNV720843:RNV720885 RXR720843:RXR720885 SHN720843:SHN720885 SRJ720843:SRJ720885 TBF720843:TBF720885 TLB720843:TLB720885 TUX720843:TUX720885 UET720843:UET720885 UOP720843:UOP720885 UYL720843:UYL720885 VIH720843:VIH720885 VSD720843:VSD720885 WBZ720843:WBZ720885 WLV720843:WLV720885 WVR720843:WVR720885 K786379:K786421 JF786379:JF786421 TB786379:TB786421 ACX786379:ACX786421 AMT786379:AMT786421 AWP786379:AWP786421 BGL786379:BGL786421 BQH786379:BQH786421 CAD786379:CAD786421 CJZ786379:CJZ786421 CTV786379:CTV786421 DDR786379:DDR786421 DNN786379:DNN786421 DXJ786379:DXJ786421 EHF786379:EHF786421 ERB786379:ERB786421 FAX786379:FAX786421 FKT786379:FKT786421 FUP786379:FUP786421 GEL786379:GEL786421 GOH786379:GOH786421 GYD786379:GYD786421 HHZ786379:HHZ786421 HRV786379:HRV786421 IBR786379:IBR786421 ILN786379:ILN786421 IVJ786379:IVJ786421 JFF786379:JFF786421 JPB786379:JPB786421 JYX786379:JYX786421 KIT786379:KIT786421 KSP786379:KSP786421 LCL786379:LCL786421 LMH786379:LMH786421 LWD786379:LWD786421 MFZ786379:MFZ786421 MPV786379:MPV786421 MZR786379:MZR786421 NJN786379:NJN786421 NTJ786379:NTJ786421 ODF786379:ODF786421 ONB786379:ONB786421 OWX786379:OWX786421 PGT786379:PGT786421 PQP786379:PQP786421 QAL786379:QAL786421 QKH786379:QKH786421 QUD786379:QUD786421 RDZ786379:RDZ786421 RNV786379:RNV786421 RXR786379:RXR786421 SHN786379:SHN786421 SRJ786379:SRJ786421 TBF786379:TBF786421 TLB786379:TLB786421 TUX786379:TUX786421 UET786379:UET786421 UOP786379:UOP786421 UYL786379:UYL786421 VIH786379:VIH786421 VSD786379:VSD786421 WBZ786379:WBZ786421 WLV786379:WLV786421 WVR786379:WVR786421 K851915:K851957 JF851915:JF851957 TB851915:TB851957 ACX851915:ACX851957 AMT851915:AMT851957 AWP851915:AWP851957 BGL851915:BGL851957 BQH851915:BQH851957 CAD851915:CAD851957 CJZ851915:CJZ851957 CTV851915:CTV851957 DDR851915:DDR851957 DNN851915:DNN851957 DXJ851915:DXJ851957 EHF851915:EHF851957 ERB851915:ERB851957 FAX851915:FAX851957 FKT851915:FKT851957 FUP851915:FUP851957 GEL851915:GEL851957 GOH851915:GOH851957 GYD851915:GYD851957 HHZ851915:HHZ851957 HRV851915:HRV851957 IBR851915:IBR851957 ILN851915:ILN851957 IVJ851915:IVJ851957 JFF851915:JFF851957 JPB851915:JPB851957 JYX851915:JYX851957 KIT851915:KIT851957 KSP851915:KSP851957 LCL851915:LCL851957 LMH851915:LMH851957 LWD851915:LWD851957 MFZ851915:MFZ851957 MPV851915:MPV851957 MZR851915:MZR851957 NJN851915:NJN851957 NTJ851915:NTJ851957 ODF851915:ODF851957 ONB851915:ONB851957 OWX851915:OWX851957 PGT851915:PGT851957 PQP851915:PQP851957 QAL851915:QAL851957 QKH851915:QKH851957 QUD851915:QUD851957 RDZ851915:RDZ851957 RNV851915:RNV851957 RXR851915:RXR851957 SHN851915:SHN851957 SRJ851915:SRJ851957 TBF851915:TBF851957 TLB851915:TLB851957 TUX851915:TUX851957 UET851915:UET851957 UOP851915:UOP851957 UYL851915:UYL851957 VIH851915:VIH851957 VSD851915:VSD851957 WBZ851915:WBZ851957 WLV851915:WLV851957 WVR851915:WVR851957 K917451:K917493 JF917451:JF917493 TB917451:TB917493 ACX917451:ACX917493 AMT917451:AMT917493 AWP917451:AWP917493 BGL917451:BGL917493 BQH917451:BQH917493 CAD917451:CAD917493 CJZ917451:CJZ917493 CTV917451:CTV917493 DDR917451:DDR917493 DNN917451:DNN917493 DXJ917451:DXJ917493 EHF917451:EHF917493 ERB917451:ERB917493 FAX917451:FAX917493 FKT917451:FKT917493 FUP917451:FUP917493 GEL917451:GEL917493 GOH917451:GOH917493 GYD917451:GYD917493 HHZ917451:HHZ917493 HRV917451:HRV917493 IBR917451:IBR917493 ILN917451:ILN917493 IVJ917451:IVJ917493 JFF917451:JFF917493 JPB917451:JPB917493 JYX917451:JYX917493 KIT917451:KIT917493 KSP917451:KSP917493 LCL917451:LCL917493 LMH917451:LMH917493 LWD917451:LWD917493 MFZ917451:MFZ917493 MPV917451:MPV917493 MZR917451:MZR917493 NJN917451:NJN917493 NTJ917451:NTJ917493 ODF917451:ODF917493 ONB917451:ONB917493 OWX917451:OWX917493 PGT917451:PGT917493 PQP917451:PQP917493 QAL917451:QAL917493 QKH917451:QKH917493 QUD917451:QUD917493 RDZ917451:RDZ917493 RNV917451:RNV917493 RXR917451:RXR917493 SHN917451:SHN917493 SRJ917451:SRJ917493 TBF917451:TBF917493 TLB917451:TLB917493 TUX917451:TUX917493 UET917451:UET917493 UOP917451:UOP917493 UYL917451:UYL917493 VIH917451:VIH917493 VSD917451:VSD917493 WBZ917451:WBZ917493 WLV917451:WLV917493 WVR917451:WVR917493 K982987:K983029 JF982987:JF983029 TB982987:TB983029 ACX982987:ACX983029 AMT982987:AMT983029 AWP982987:AWP983029 BGL982987:BGL983029 BQH982987:BQH983029 CAD982987:CAD983029 CJZ982987:CJZ983029 CTV982987:CTV983029 DDR982987:DDR983029 DNN982987:DNN983029 DXJ982987:DXJ983029 EHF982987:EHF983029 ERB982987:ERB983029 FAX982987:FAX983029 FKT982987:FKT983029 FUP982987:FUP983029 GEL982987:GEL983029 GOH982987:GOH983029 GYD982987:GYD983029 HHZ982987:HHZ983029 HRV982987:HRV983029 IBR982987:IBR983029 ILN982987:ILN983029 IVJ982987:IVJ983029 JFF982987:JFF983029 JPB982987:JPB983029 JYX982987:JYX983029 KIT982987:KIT983029 KSP982987:KSP983029 LCL982987:LCL983029 LMH982987:LMH983029 LWD982987:LWD983029 MFZ982987:MFZ983029 MPV982987:MPV983029 MZR982987:MZR983029 NJN982987:NJN983029 NTJ982987:NTJ983029 ODF982987:ODF983029 ONB982987:ONB983029 OWX982987:OWX983029 PGT982987:PGT983029 PQP982987:PQP983029 QAL982987:QAL983029 QKH982987:QKH983029 QUD982987:QUD983029 RDZ982987:RDZ983029 RNV982987:RNV983029 RXR982987:RXR983029 SHN982987:SHN983029 SRJ982987:SRJ983029 TBF982987:TBF983029 TLB982987:TLB983029 TUX982987:TUX983029 UET982987:UET983029 UOP982987:UOP983029 UYL982987:UYL983029 VIH982987:VIH983029 VSD982987:VSD983029 WBZ982987:WBZ983029 WLV982987:WLV983029 WVR982987:WVR983029">
      <formula1>"1-New,2-Open,3-Fixed,4-Closed,5-Rejected,6-Closed - No Action Required,7-Deferred,8-Reopen"</formula1>
    </dataValidation>
    <dataValidation type="list" allowBlank="1" showInputMessage="1" showErrorMessage="1" sqref="L65502:L65525 JG65502:JG65525 TC65502:TC65525 ACY65502:ACY65525 AMU65502:AMU65525 AWQ65502:AWQ65525 BGM65502:BGM65525 BQI65502:BQI65525 CAE65502:CAE65525 CKA65502:CKA65525 CTW65502:CTW65525 DDS65502:DDS65525 DNO65502:DNO65525 DXK65502:DXK65525 EHG65502:EHG65525 ERC65502:ERC65525 FAY65502:FAY65525 FKU65502:FKU65525 FUQ65502:FUQ65525 GEM65502:GEM65525 GOI65502:GOI65525 GYE65502:GYE65525 HIA65502:HIA65525 HRW65502:HRW65525 IBS65502:IBS65525 ILO65502:ILO65525 IVK65502:IVK65525 JFG65502:JFG65525 JPC65502:JPC65525 JYY65502:JYY65525 KIU65502:KIU65525 KSQ65502:KSQ65525 LCM65502:LCM65525 LMI65502:LMI65525 LWE65502:LWE65525 MGA65502:MGA65525 MPW65502:MPW65525 MZS65502:MZS65525 NJO65502:NJO65525 NTK65502:NTK65525 ODG65502:ODG65525 ONC65502:ONC65525 OWY65502:OWY65525 PGU65502:PGU65525 PQQ65502:PQQ65525 QAM65502:QAM65525 QKI65502:QKI65525 QUE65502:QUE65525 REA65502:REA65525 RNW65502:RNW65525 RXS65502:RXS65525 SHO65502:SHO65525 SRK65502:SRK65525 TBG65502:TBG65525 TLC65502:TLC65525 TUY65502:TUY65525 UEU65502:UEU65525 UOQ65502:UOQ65525 UYM65502:UYM65525 VII65502:VII65525 VSE65502:VSE65525 WCA65502:WCA65525 WLW65502:WLW65525 WVS65502:WVS65525 L131038:L131061 JG131038:JG131061 TC131038:TC131061 ACY131038:ACY131061 AMU131038:AMU131061 AWQ131038:AWQ131061 BGM131038:BGM131061 BQI131038:BQI131061 CAE131038:CAE131061 CKA131038:CKA131061 CTW131038:CTW131061 DDS131038:DDS131061 DNO131038:DNO131061 DXK131038:DXK131061 EHG131038:EHG131061 ERC131038:ERC131061 FAY131038:FAY131061 FKU131038:FKU131061 FUQ131038:FUQ131061 GEM131038:GEM131061 GOI131038:GOI131061 GYE131038:GYE131061 HIA131038:HIA131061 HRW131038:HRW131061 IBS131038:IBS131061 ILO131038:ILO131061 IVK131038:IVK131061 JFG131038:JFG131061 JPC131038:JPC131061 JYY131038:JYY131061 KIU131038:KIU131061 KSQ131038:KSQ131061 LCM131038:LCM131061 LMI131038:LMI131061 LWE131038:LWE131061 MGA131038:MGA131061 MPW131038:MPW131061 MZS131038:MZS131061 NJO131038:NJO131061 NTK131038:NTK131061 ODG131038:ODG131061 ONC131038:ONC131061 OWY131038:OWY131061 PGU131038:PGU131061 PQQ131038:PQQ131061 QAM131038:QAM131061 QKI131038:QKI131061 QUE131038:QUE131061 REA131038:REA131061 RNW131038:RNW131061 RXS131038:RXS131061 SHO131038:SHO131061 SRK131038:SRK131061 TBG131038:TBG131061 TLC131038:TLC131061 TUY131038:TUY131061 UEU131038:UEU131061 UOQ131038:UOQ131061 UYM131038:UYM131061 VII131038:VII131061 VSE131038:VSE131061 WCA131038:WCA131061 WLW131038:WLW131061 WVS131038:WVS131061 L196574:L196597 JG196574:JG196597 TC196574:TC196597 ACY196574:ACY196597 AMU196574:AMU196597 AWQ196574:AWQ196597 BGM196574:BGM196597 BQI196574:BQI196597 CAE196574:CAE196597 CKA196574:CKA196597 CTW196574:CTW196597 DDS196574:DDS196597 DNO196574:DNO196597 DXK196574:DXK196597 EHG196574:EHG196597 ERC196574:ERC196597 FAY196574:FAY196597 FKU196574:FKU196597 FUQ196574:FUQ196597 GEM196574:GEM196597 GOI196574:GOI196597 GYE196574:GYE196597 HIA196574:HIA196597 HRW196574:HRW196597 IBS196574:IBS196597 ILO196574:ILO196597 IVK196574:IVK196597 JFG196574:JFG196597 JPC196574:JPC196597 JYY196574:JYY196597 KIU196574:KIU196597 KSQ196574:KSQ196597 LCM196574:LCM196597 LMI196574:LMI196597 LWE196574:LWE196597 MGA196574:MGA196597 MPW196574:MPW196597 MZS196574:MZS196597 NJO196574:NJO196597 NTK196574:NTK196597 ODG196574:ODG196597 ONC196574:ONC196597 OWY196574:OWY196597 PGU196574:PGU196597 PQQ196574:PQQ196597 QAM196574:QAM196597 QKI196574:QKI196597 QUE196574:QUE196597 REA196574:REA196597 RNW196574:RNW196597 RXS196574:RXS196597 SHO196574:SHO196597 SRK196574:SRK196597 TBG196574:TBG196597 TLC196574:TLC196597 TUY196574:TUY196597 UEU196574:UEU196597 UOQ196574:UOQ196597 UYM196574:UYM196597 VII196574:VII196597 VSE196574:VSE196597 WCA196574:WCA196597 WLW196574:WLW196597 WVS196574:WVS196597 L262110:L262133 JG262110:JG262133 TC262110:TC262133 ACY262110:ACY262133 AMU262110:AMU262133 AWQ262110:AWQ262133 BGM262110:BGM262133 BQI262110:BQI262133 CAE262110:CAE262133 CKA262110:CKA262133 CTW262110:CTW262133 DDS262110:DDS262133 DNO262110:DNO262133 DXK262110:DXK262133 EHG262110:EHG262133 ERC262110:ERC262133 FAY262110:FAY262133 FKU262110:FKU262133 FUQ262110:FUQ262133 GEM262110:GEM262133 GOI262110:GOI262133 GYE262110:GYE262133 HIA262110:HIA262133 HRW262110:HRW262133 IBS262110:IBS262133 ILO262110:ILO262133 IVK262110:IVK262133 JFG262110:JFG262133 JPC262110:JPC262133 JYY262110:JYY262133 KIU262110:KIU262133 KSQ262110:KSQ262133 LCM262110:LCM262133 LMI262110:LMI262133 LWE262110:LWE262133 MGA262110:MGA262133 MPW262110:MPW262133 MZS262110:MZS262133 NJO262110:NJO262133 NTK262110:NTK262133 ODG262110:ODG262133 ONC262110:ONC262133 OWY262110:OWY262133 PGU262110:PGU262133 PQQ262110:PQQ262133 QAM262110:QAM262133 QKI262110:QKI262133 QUE262110:QUE262133 REA262110:REA262133 RNW262110:RNW262133 RXS262110:RXS262133 SHO262110:SHO262133 SRK262110:SRK262133 TBG262110:TBG262133 TLC262110:TLC262133 TUY262110:TUY262133 UEU262110:UEU262133 UOQ262110:UOQ262133 UYM262110:UYM262133 VII262110:VII262133 VSE262110:VSE262133 WCA262110:WCA262133 WLW262110:WLW262133 WVS262110:WVS262133 L327646:L327669 JG327646:JG327669 TC327646:TC327669 ACY327646:ACY327669 AMU327646:AMU327669 AWQ327646:AWQ327669 BGM327646:BGM327669 BQI327646:BQI327669 CAE327646:CAE327669 CKA327646:CKA327669 CTW327646:CTW327669 DDS327646:DDS327669 DNO327646:DNO327669 DXK327646:DXK327669 EHG327646:EHG327669 ERC327646:ERC327669 FAY327646:FAY327669 FKU327646:FKU327669 FUQ327646:FUQ327669 GEM327646:GEM327669 GOI327646:GOI327669 GYE327646:GYE327669 HIA327646:HIA327669 HRW327646:HRW327669 IBS327646:IBS327669 ILO327646:ILO327669 IVK327646:IVK327669 JFG327646:JFG327669 JPC327646:JPC327669 JYY327646:JYY327669 KIU327646:KIU327669 KSQ327646:KSQ327669 LCM327646:LCM327669 LMI327646:LMI327669 LWE327646:LWE327669 MGA327646:MGA327669 MPW327646:MPW327669 MZS327646:MZS327669 NJO327646:NJO327669 NTK327646:NTK327669 ODG327646:ODG327669 ONC327646:ONC327669 OWY327646:OWY327669 PGU327646:PGU327669 PQQ327646:PQQ327669 QAM327646:QAM327669 QKI327646:QKI327669 QUE327646:QUE327669 REA327646:REA327669 RNW327646:RNW327669 RXS327646:RXS327669 SHO327646:SHO327669 SRK327646:SRK327669 TBG327646:TBG327669 TLC327646:TLC327669 TUY327646:TUY327669 UEU327646:UEU327669 UOQ327646:UOQ327669 UYM327646:UYM327669 VII327646:VII327669 VSE327646:VSE327669 WCA327646:WCA327669 WLW327646:WLW327669 WVS327646:WVS327669 L393182:L393205 JG393182:JG393205 TC393182:TC393205 ACY393182:ACY393205 AMU393182:AMU393205 AWQ393182:AWQ393205 BGM393182:BGM393205 BQI393182:BQI393205 CAE393182:CAE393205 CKA393182:CKA393205 CTW393182:CTW393205 DDS393182:DDS393205 DNO393182:DNO393205 DXK393182:DXK393205 EHG393182:EHG393205 ERC393182:ERC393205 FAY393182:FAY393205 FKU393182:FKU393205 FUQ393182:FUQ393205 GEM393182:GEM393205 GOI393182:GOI393205 GYE393182:GYE393205 HIA393182:HIA393205 HRW393182:HRW393205 IBS393182:IBS393205 ILO393182:ILO393205 IVK393182:IVK393205 JFG393182:JFG393205 JPC393182:JPC393205 JYY393182:JYY393205 KIU393182:KIU393205 KSQ393182:KSQ393205 LCM393182:LCM393205 LMI393182:LMI393205 LWE393182:LWE393205 MGA393182:MGA393205 MPW393182:MPW393205 MZS393182:MZS393205 NJO393182:NJO393205 NTK393182:NTK393205 ODG393182:ODG393205 ONC393182:ONC393205 OWY393182:OWY393205 PGU393182:PGU393205 PQQ393182:PQQ393205 QAM393182:QAM393205 QKI393182:QKI393205 QUE393182:QUE393205 REA393182:REA393205 RNW393182:RNW393205 RXS393182:RXS393205 SHO393182:SHO393205 SRK393182:SRK393205 TBG393182:TBG393205 TLC393182:TLC393205 TUY393182:TUY393205 UEU393182:UEU393205 UOQ393182:UOQ393205 UYM393182:UYM393205 VII393182:VII393205 VSE393182:VSE393205 WCA393182:WCA393205 WLW393182:WLW393205 WVS393182:WVS393205 L458718:L458741 JG458718:JG458741 TC458718:TC458741 ACY458718:ACY458741 AMU458718:AMU458741 AWQ458718:AWQ458741 BGM458718:BGM458741 BQI458718:BQI458741 CAE458718:CAE458741 CKA458718:CKA458741 CTW458718:CTW458741 DDS458718:DDS458741 DNO458718:DNO458741 DXK458718:DXK458741 EHG458718:EHG458741 ERC458718:ERC458741 FAY458718:FAY458741 FKU458718:FKU458741 FUQ458718:FUQ458741 GEM458718:GEM458741 GOI458718:GOI458741 GYE458718:GYE458741 HIA458718:HIA458741 HRW458718:HRW458741 IBS458718:IBS458741 ILO458718:ILO458741 IVK458718:IVK458741 JFG458718:JFG458741 JPC458718:JPC458741 JYY458718:JYY458741 KIU458718:KIU458741 KSQ458718:KSQ458741 LCM458718:LCM458741 LMI458718:LMI458741 LWE458718:LWE458741 MGA458718:MGA458741 MPW458718:MPW458741 MZS458718:MZS458741 NJO458718:NJO458741 NTK458718:NTK458741 ODG458718:ODG458741 ONC458718:ONC458741 OWY458718:OWY458741 PGU458718:PGU458741 PQQ458718:PQQ458741 QAM458718:QAM458741 QKI458718:QKI458741 QUE458718:QUE458741 REA458718:REA458741 RNW458718:RNW458741 RXS458718:RXS458741 SHO458718:SHO458741 SRK458718:SRK458741 TBG458718:TBG458741 TLC458718:TLC458741 TUY458718:TUY458741 UEU458718:UEU458741 UOQ458718:UOQ458741 UYM458718:UYM458741 VII458718:VII458741 VSE458718:VSE458741 WCA458718:WCA458741 WLW458718:WLW458741 WVS458718:WVS458741 L524254:L524277 JG524254:JG524277 TC524254:TC524277 ACY524254:ACY524277 AMU524254:AMU524277 AWQ524254:AWQ524277 BGM524254:BGM524277 BQI524254:BQI524277 CAE524254:CAE524277 CKA524254:CKA524277 CTW524254:CTW524277 DDS524254:DDS524277 DNO524254:DNO524277 DXK524254:DXK524277 EHG524254:EHG524277 ERC524254:ERC524277 FAY524254:FAY524277 FKU524254:FKU524277 FUQ524254:FUQ524277 GEM524254:GEM524277 GOI524254:GOI524277 GYE524254:GYE524277 HIA524254:HIA524277 HRW524254:HRW524277 IBS524254:IBS524277 ILO524254:ILO524277 IVK524254:IVK524277 JFG524254:JFG524277 JPC524254:JPC524277 JYY524254:JYY524277 KIU524254:KIU524277 KSQ524254:KSQ524277 LCM524254:LCM524277 LMI524254:LMI524277 LWE524254:LWE524277 MGA524254:MGA524277 MPW524254:MPW524277 MZS524254:MZS524277 NJO524254:NJO524277 NTK524254:NTK524277 ODG524254:ODG524277 ONC524254:ONC524277 OWY524254:OWY524277 PGU524254:PGU524277 PQQ524254:PQQ524277 QAM524254:QAM524277 QKI524254:QKI524277 QUE524254:QUE524277 REA524254:REA524277 RNW524254:RNW524277 RXS524254:RXS524277 SHO524254:SHO524277 SRK524254:SRK524277 TBG524254:TBG524277 TLC524254:TLC524277 TUY524254:TUY524277 UEU524254:UEU524277 UOQ524254:UOQ524277 UYM524254:UYM524277 VII524254:VII524277 VSE524254:VSE524277 WCA524254:WCA524277 WLW524254:WLW524277 WVS524254:WVS524277 L589790:L589813 JG589790:JG589813 TC589790:TC589813 ACY589790:ACY589813 AMU589790:AMU589813 AWQ589790:AWQ589813 BGM589790:BGM589813 BQI589790:BQI589813 CAE589790:CAE589813 CKA589790:CKA589813 CTW589790:CTW589813 DDS589790:DDS589813 DNO589790:DNO589813 DXK589790:DXK589813 EHG589790:EHG589813 ERC589790:ERC589813 FAY589790:FAY589813 FKU589790:FKU589813 FUQ589790:FUQ589813 GEM589790:GEM589813 GOI589790:GOI589813 GYE589790:GYE589813 HIA589790:HIA589813 HRW589790:HRW589813 IBS589790:IBS589813 ILO589790:ILO589813 IVK589790:IVK589813 JFG589790:JFG589813 JPC589790:JPC589813 JYY589790:JYY589813 KIU589790:KIU589813 KSQ589790:KSQ589813 LCM589790:LCM589813 LMI589790:LMI589813 LWE589790:LWE589813 MGA589790:MGA589813 MPW589790:MPW589813 MZS589790:MZS589813 NJO589790:NJO589813 NTK589790:NTK589813 ODG589790:ODG589813 ONC589790:ONC589813 OWY589790:OWY589813 PGU589790:PGU589813 PQQ589790:PQQ589813 QAM589790:QAM589813 QKI589790:QKI589813 QUE589790:QUE589813 REA589790:REA589813 RNW589790:RNW589813 RXS589790:RXS589813 SHO589790:SHO589813 SRK589790:SRK589813 TBG589790:TBG589813 TLC589790:TLC589813 TUY589790:TUY589813 UEU589790:UEU589813 UOQ589790:UOQ589813 UYM589790:UYM589813 VII589790:VII589813 VSE589790:VSE589813 WCA589790:WCA589813 WLW589790:WLW589813 WVS589790:WVS589813 L655326:L655349 JG655326:JG655349 TC655326:TC655349 ACY655326:ACY655349 AMU655326:AMU655349 AWQ655326:AWQ655349 BGM655326:BGM655349 BQI655326:BQI655349 CAE655326:CAE655349 CKA655326:CKA655349 CTW655326:CTW655349 DDS655326:DDS655349 DNO655326:DNO655349 DXK655326:DXK655349 EHG655326:EHG655349 ERC655326:ERC655349 FAY655326:FAY655349 FKU655326:FKU655349 FUQ655326:FUQ655349 GEM655326:GEM655349 GOI655326:GOI655349 GYE655326:GYE655349 HIA655326:HIA655349 HRW655326:HRW655349 IBS655326:IBS655349 ILO655326:ILO655349 IVK655326:IVK655349 JFG655326:JFG655349 JPC655326:JPC655349 JYY655326:JYY655349 KIU655326:KIU655349 KSQ655326:KSQ655349 LCM655326:LCM655349 LMI655326:LMI655349 LWE655326:LWE655349 MGA655326:MGA655349 MPW655326:MPW655349 MZS655326:MZS655349 NJO655326:NJO655349 NTK655326:NTK655349 ODG655326:ODG655349 ONC655326:ONC655349 OWY655326:OWY655349 PGU655326:PGU655349 PQQ655326:PQQ655349 QAM655326:QAM655349 QKI655326:QKI655349 QUE655326:QUE655349 REA655326:REA655349 RNW655326:RNW655349 RXS655326:RXS655349 SHO655326:SHO655349 SRK655326:SRK655349 TBG655326:TBG655349 TLC655326:TLC655349 TUY655326:TUY655349 UEU655326:UEU655349 UOQ655326:UOQ655349 UYM655326:UYM655349 VII655326:VII655349 VSE655326:VSE655349 WCA655326:WCA655349 WLW655326:WLW655349 WVS655326:WVS655349 L720862:L720885 JG720862:JG720885 TC720862:TC720885 ACY720862:ACY720885 AMU720862:AMU720885 AWQ720862:AWQ720885 BGM720862:BGM720885 BQI720862:BQI720885 CAE720862:CAE720885 CKA720862:CKA720885 CTW720862:CTW720885 DDS720862:DDS720885 DNO720862:DNO720885 DXK720862:DXK720885 EHG720862:EHG720885 ERC720862:ERC720885 FAY720862:FAY720885 FKU720862:FKU720885 FUQ720862:FUQ720885 GEM720862:GEM720885 GOI720862:GOI720885 GYE720862:GYE720885 HIA720862:HIA720885 HRW720862:HRW720885 IBS720862:IBS720885 ILO720862:ILO720885 IVK720862:IVK720885 JFG720862:JFG720885 JPC720862:JPC720885 JYY720862:JYY720885 KIU720862:KIU720885 KSQ720862:KSQ720885 LCM720862:LCM720885 LMI720862:LMI720885 LWE720862:LWE720885 MGA720862:MGA720885 MPW720862:MPW720885 MZS720862:MZS720885 NJO720862:NJO720885 NTK720862:NTK720885 ODG720862:ODG720885 ONC720862:ONC720885 OWY720862:OWY720885 PGU720862:PGU720885 PQQ720862:PQQ720885 QAM720862:QAM720885 QKI720862:QKI720885 QUE720862:QUE720885 REA720862:REA720885 RNW720862:RNW720885 RXS720862:RXS720885 SHO720862:SHO720885 SRK720862:SRK720885 TBG720862:TBG720885 TLC720862:TLC720885 TUY720862:TUY720885 UEU720862:UEU720885 UOQ720862:UOQ720885 UYM720862:UYM720885 VII720862:VII720885 VSE720862:VSE720885 WCA720862:WCA720885 WLW720862:WLW720885 WVS720862:WVS720885 L786398:L786421 JG786398:JG786421 TC786398:TC786421 ACY786398:ACY786421 AMU786398:AMU786421 AWQ786398:AWQ786421 BGM786398:BGM786421 BQI786398:BQI786421 CAE786398:CAE786421 CKA786398:CKA786421 CTW786398:CTW786421 DDS786398:DDS786421 DNO786398:DNO786421 DXK786398:DXK786421 EHG786398:EHG786421 ERC786398:ERC786421 FAY786398:FAY786421 FKU786398:FKU786421 FUQ786398:FUQ786421 GEM786398:GEM786421 GOI786398:GOI786421 GYE786398:GYE786421 HIA786398:HIA786421 HRW786398:HRW786421 IBS786398:IBS786421 ILO786398:ILO786421 IVK786398:IVK786421 JFG786398:JFG786421 JPC786398:JPC786421 JYY786398:JYY786421 KIU786398:KIU786421 KSQ786398:KSQ786421 LCM786398:LCM786421 LMI786398:LMI786421 LWE786398:LWE786421 MGA786398:MGA786421 MPW786398:MPW786421 MZS786398:MZS786421 NJO786398:NJO786421 NTK786398:NTK786421 ODG786398:ODG786421 ONC786398:ONC786421 OWY786398:OWY786421 PGU786398:PGU786421 PQQ786398:PQQ786421 QAM786398:QAM786421 QKI786398:QKI786421 QUE786398:QUE786421 REA786398:REA786421 RNW786398:RNW786421 RXS786398:RXS786421 SHO786398:SHO786421 SRK786398:SRK786421 TBG786398:TBG786421 TLC786398:TLC786421 TUY786398:TUY786421 UEU786398:UEU786421 UOQ786398:UOQ786421 UYM786398:UYM786421 VII786398:VII786421 VSE786398:VSE786421 WCA786398:WCA786421 WLW786398:WLW786421 WVS786398:WVS786421 L851934:L851957 JG851934:JG851957 TC851934:TC851957 ACY851934:ACY851957 AMU851934:AMU851957 AWQ851934:AWQ851957 BGM851934:BGM851957 BQI851934:BQI851957 CAE851934:CAE851957 CKA851934:CKA851957 CTW851934:CTW851957 DDS851934:DDS851957 DNO851934:DNO851957 DXK851934:DXK851957 EHG851934:EHG851957 ERC851934:ERC851957 FAY851934:FAY851957 FKU851934:FKU851957 FUQ851934:FUQ851957 GEM851934:GEM851957 GOI851934:GOI851957 GYE851934:GYE851957 HIA851934:HIA851957 HRW851934:HRW851957 IBS851934:IBS851957 ILO851934:ILO851957 IVK851934:IVK851957 JFG851934:JFG851957 JPC851934:JPC851957 JYY851934:JYY851957 KIU851934:KIU851957 KSQ851934:KSQ851957 LCM851934:LCM851957 LMI851934:LMI851957 LWE851934:LWE851957 MGA851934:MGA851957 MPW851934:MPW851957 MZS851934:MZS851957 NJO851934:NJO851957 NTK851934:NTK851957 ODG851934:ODG851957 ONC851934:ONC851957 OWY851934:OWY851957 PGU851934:PGU851957 PQQ851934:PQQ851957 QAM851934:QAM851957 QKI851934:QKI851957 QUE851934:QUE851957 REA851934:REA851957 RNW851934:RNW851957 RXS851934:RXS851957 SHO851934:SHO851957 SRK851934:SRK851957 TBG851934:TBG851957 TLC851934:TLC851957 TUY851934:TUY851957 UEU851934:UEU851957 UOQ851934:UOQ851957 UYM851934:UYM851957 VII851934:VII851957 VSE851934:VSE851957 WCA851934:WCA851957 WLW851934:WLW851957 WVS851934:WVS851957 L917470:L917493 JG917470:JG917493 TC917470:TC917493 ACY917470:ACY917493 AMU917470:AMU917493 AWQ917470:AWQ917493 BGM917470:BGM917493 BQI917470:BQI917493 CAE917470:CAE917493 CKA917470:CKA917493 CTW917470:CTW917493 DDS917470:DDS917493 DNO917470:DNO917493 DXK917470:DXK917493 EHG917470:EHG917493 ERC917470:ERC917493 FAY917470:FAY917493 FKU917470:FKU917493 FUQ917470:FUQ917493 GEM917470:GEM917493 GOI917470:GOI917493 GYE917470:GYE917493 HIA917470:HIA917493 HRW917470:HRW917493 IBS917470:IBS917493 ILO917470:ILO917493 IVK917470:IVK917493 JFG917470:JFG917493 JPC917470:JPC917493 JYY917470:JYY917493 KIU917470:KIU917493 KSQ917470:KSQ917493 LCM917470:LCM917493 LMI917470:LMI917493 LWE917470:LWE917493 MGA917470:MGA917493 MPW917470:MPW917493 MZS917470:MZS917493 NJO917470:NJO917493 NTK917470:NTK917493 ODG917470:ODG917493 ONC917470:ONC917493 OWY917470:OWY917493 PGU917470:PGU917493 PQQ917470:PQQ917493 QAM917470:QAM917493 QKI917470:QKI917493 QUE917470:QUE917493 REA917470:REA917493 RNW917470:RNW917493 RXS917470:RXS917493 SHO917470:SHO917493 SRK917470:SRK917493 TBG917470:TBG917493 TLC917470:TLC917493 TUY917470:TUY917493 UEU917470:UEU917493 UOQ917470:UOQ917493 UYM917470:UYM917493 VII917470:VII917493 VSE917470:VSE917493 WCA917470:WCA917493 WLW917470:WLW917493 WVS917470:WVS917493 L983006:L983029 JG983006:JG983029 TC983006:TC983029 ACY983006:ACY983029 AMU983006:AMU983029 AWQ983006:AWQ983029 BGM983006:BGM983029 BQI983006:BQI983029 CAE983006:CAE983029 CKA983006:CKA983029 CTW983006:CTW983029 DDS983006:DDS983029 DNO983006:DNO983029 DXK983006:DXK983029 EHG983006:EHG983029 ERC983006:ERC983029 FAY983006:FAY983029 FKU983006:FKU983029 FUQ983006:FUQ983029 GEM983006:GEM983029 GOI983006:GOI983029 GYE983006:GYE983029 HIA983006:HIA983029 HRW983006:HRW983029 IBS983006:IBS983029 ILO983006:ILO983029 IVK983006:IVK983029 JFG983006:JFG983029 JPC983006:JPC983029 JYY983006:JYY983029 KIU983006:KIU983029 KSQ983006:KSQ983029 LCM983006:LCM983029 LMI983006:LMI983029 LWE983006:LWE983029 MGA983006:MGA983029 MPW983006:MPW983029 MZS983006:MZS983029 NJO983006:NJO983029 NTK983006:NTK983029 ODG983006:ODG983029 ONC983006:ONC983029 OWY983006:OWY983029 PGU983006:PGU983029 PQQ983006:PQQ983029 QAM983006:QAM983029 QKI983006:QKI983029 QUE983006:QUE983029 REA983006:REA983029 RNW983006:RNW983029 RXS983006:RXS983029 SHO983006:SHO983029 SRK983006:SRK983029 TBG983006:TBG983029 TLC983006:TLC983029 TUY983006:TUY983029 UEU983006:UEU983029 UOQ983006:UOQ983029 UYM983006:UYM983029 VII983006:VII983029 VSE983006:VSE983029 WCA983006:WCA983029 WLW983006:WLW983029 WVS983006:WVS983029">
      <formula1>"1-Code,2-Build,3-Configuration,4-Data,5-Design,6-Environment,7-Requirement,8-Procedural"</formula1>
    </dataValidation>
    <dataValidation type="list" allowBlank="1" showInputMessage="1" showErrorMessage="1" sqref="N65503:N65525 JI65503:JI65525 TE65503:TE65525 ADA65503:ADA65525 AMW65503:AMW65525 AWS65503:AWS65525 BGO65503:BGO65525 BQK65503:BQK65525 CAG65503:CAG65525 CKC65503:CKC65525 CTY65503:CTY65525 DDU65503:DDU65525 DNQ65503:DNQ65525 DXM65503:DXM65525 EHI65503:EHI65525 ERE65503:ERE65525 FBA65503:FBA65525 FKW65503:FKW65525 FUS65503:FUS65525 GEO65503:GEO65525 GOK65503:GOK65525 GYG65503:GYG65525 HIC65503:HIC65525 HRY65503:HRY65525 IBU65503:IBU65525 ILQ65503:ILQ65525 IVM65503:IVM65525 JFI65503:JFI65525 JPE65503:JPE65525 JZA65503:JZA65525 KIW65503:KIW65525 KSS65503:KSS65525 LCO65503:LCO65525 LMK65503:LMK65525 LWG65503:LWG65525 MGC65503:MGC65525 MPY65503:MPY65525 MZU65503:MZU65525 NJQ65503:NJQ65525 NTM65503:NTM65525 ODI65503:ODI65525 ONE65503:ONE65525 OXA65503:OXA65525 PGW65503:PGW65525 PQS65503:PQS65525 QAO65503:QAO65525 QKK65503:QKK65525 QUG65503:QUG65525 REC65503:REC65525 RNY65503:RNY65525 RXU65503:RXU65525 SHQ65503:SHQ65525 SRM65503:SRM65525 TBI65503:TBI65525 TLE65503:TLE65525 TVA65503:TVA65525 UEW65503:UEW65525 UOS65503:UOS65525 UYO65503:UYO65525 VIK65503:VIK65525 VSG65503:VSG65525 WCC65503:WCC65525 WLY65503:WLY65525 WVU65503:WVU65525 N131039:N131061 JI131039:JI131061 TE131039:TE131061 ADA131039:ADA131061 AMW131039:AMW131061 AWS131039:AWS131061 BGO131039:BGO131061 BQK131039:BQK131061 CAG131039:CAG131061 CKC131039:CKC131061 CTY131039:CTY131061 DDU131039:DDU131061 DNQ131039:DNQ131061 DXM131039:DXM131061 EHI131039:EHI131061 ERE131039:ERE131061 FBA131039:FBA131061 FKW131039:FKW131061 FUS131039:FUS131061 GEO131039:GEO131061 GOK131039:GOK131061 GYG131039:GYG131061 HIC131039:HIC131061 HRY131039:HRY131061 IBU131039:IBU131061 ILQ131039:ILQ131061 IVM131039:IVM131061 JFI131039:JFI131061 JPE131039:JPE131061 JZA131039:JZA131061 KIW131039:KIW131061 KSS131039:KSS131061 LCO131039:LCO131061 LMK131039:LMK131061 LWG131039:LWG131061 MGC131039:MGC131061 MPY131039:MPY131061 MZU131039:MZU131061 NJQ131039:NJQ131061 NTM131039:NTM131061 ODI131039:ODI131061 ONE131039:ONE131061 OXA131039:OXA131061 PGW131039:PGW131061 PQS131039:PQS131061 QAO131039:QAO131061 QKK131039:QKK131061 QUG131039:QUG131061 REC131039:REC131061 RNY131039:RNY131061 RXU131039:RXU131061 SHQ131039:SHQ131061 SRM131039:SRM131061 TBI131039:TBI131061 TLE131039:TLE131061 TVA131039:TVA131061 UEW131039:UEW131061 UOS131039:UOS131061 UYO131039:UYO131061 VIK131039:VIK131061 VSG131039:VSG131061 WCC131039:WCC131061 WLY131039:WLY131061 WVU131039:WVU131061 N196575:N196597 JI196575:JI196597 TE196575:TE196597 ADA196575:ADA196597 AMW196575:AMW196597 AWS196575:AWS196597 BGO196575:BGO196597 BQK196575:BQK196597 CAG196575:CAG196597 CKC196575:CKC196597 CTY196575:CTY196597 DDU196575:DDU196597 DNQ196575:DNQ196597 DXM196575:DXM196597 EHI196575:EHI196597 ERE196575:ERE196597 FBA196575:FBA196597 FKW196575:FKW196597 FUS196575:FUS196597 GEO196575:GEO196597 GOK196575:GOK196597 GYG196575:GYG196597 HIC196575:HIC196597 HRY196575:HRY196597 IBU196575:IBU196597 ILQ196575:ILQ196597 IVM196575:IVM196597 JFI196575:JFI196597 JPE196575:JPE196597 JZA196575:JZA196597 KIW196575:KIW196597 KSS196575:KSS196597 LCO196575:LCO196597 LMK196575:LMK196597 LWG196575:LWG196597 MGC196575:MGC196597 MPY196575:MPY196597 MZU196575:MZU196597 NJQ196575:NJQ196597 NTM196575:NTM196597 ODI196575:ODI196597 ONE196575:ONE196597 OXA196575:OXA196597 PGW196575:PGW196597 PQS196575:PQS196597 QAO196575:QAO196597 QKK196575:QKK196597 QUG196575:QUG196597 REC196575:REC196597 RNY196575:RNY196597 RXU196575:RXU196597 SHQ196575:SHQ196597 SRM196575:SRM196597 TBI196575:TBI196597 TLE196575:TLE196597 TVA196575:TVA196597 UEW196575:UEW196597 UOS196575:UOS196597 UYO196575:UYO196597 VIK196575:VIK196597 VSG196575:VSG196597 WCC196575:WCC196597 WLY196575:WLY196597 WVU196575:WVU196597 N262111:N262133 JI262111:JI262133 TE262111:TE262133 ADA262111:ADA262133 AMW262111:AMW262133 AWS262111:AWS262133 BGO262111:BGO262133 BQK262111:BQK262133 CAG262111:CAG262133 CKC262111:CKC262133 CTY262111:CTY262133 DDU262111:DDU262133 DNQ262111:DNQ262133 DXM262111:DXM262133 EHI262111:EHI262133 ERE262111:ERE262133 FBA262111:FBA262133 FKW262111:FKW262133 FUS262111:FUS262133 GEO262111:GEO262133 GOK262111:GOK262133 GYG262111:GYG262133 HIC262111:HIC262133 HRY262111:HRY262133 IBU262111:IBU262133 ILQ262111:ILQ262133 IVM262111:IVM262133 JFI262111:JFI262133 JPE262111:JPE262133 JZA262111:JZA262133 KIW262111:KIW262133 KSS262111:KSS262133 LCO262111:LCO262133 LMK262111:LMK262133 LWG262111:LWG262133 MGC262111:MGC262133 MPY262111:MPY262133 MZU262111:MZU262133 NJQ262111:NJQ262133 NTM262111:NTM262133 ODI262111:ODI262133 ONE262111:ONE262133 OXA262111:OXA262133 PGW262111:PGW262133 PQS262111:PQS262133 QAO262111:QAO262133 QKK262111:QKK262133 QUG262111:QUG262133 REC262111:REC262133 RNY262111:RNY262133 RXU262111:RXU262133 SHQ262111:SHQ262133 SRM262111:SRM262133 TBI262111:TBI262133 TLE262111:TLE262133 TVA262111:TVA262133 UEW262111:UEW262133 UOS262111:UOS262133 UYO262111:UYO262133 VIK262111:VIK262133 VSG262111:VSG262133 WCC262111:WCC262133 WLY262111:WLY262133 WVU262111:WVU262133 N327647:N327669 JI327647:JI327669 TE327647:TE327669 ADA327647:ADA327669 AMW327647:AMW327669 AWS327647:AWS327669 BGO327647:BGO327669 BQK327647:BQK327669 CAG327647:CAG327669 CKC327647:CKC327669 CTY327647:CTY327669 DDU327647:DDU327669 DNQ327647:DNQ327669 DXM327647:DXM327669 EHI327647:EHI327669 ERE327647:ERE327669 FBA327647:FBA327669 FKW327647:FKW327669 FUS327647:FUS327669 GEO327647:GEO327669 GOK327647:GOK327669 GYG327647:GYG327669 HIC327647:HIC327669 HRY327647:HRY327669 IBU327647:IBU327669 ILQ327647:ILQ327669 IVM327647:IVM327669 JFI327647:JFI327669 JPE327647:JPE327669 JZA327647:JZA327669 KIW327647:KIW327669 KSS327647:KSS327669 LCO327647:LCO327669 LMK327647:LMK327669 LWG327647:LWG327669 MGC327647:MGC327669 MPY327647:MPY327669 MZU327647:MZU327669 NJQ327647:NJQ327669 NTM327647:NTM327669 ODI327647:ODI327669 ONE327647:ONE327669 OXA327647:OXA327669 PGW327647:PGW327669 PQS327647:PQS327669 QAO327647:QAO327669 QKK327647:QKK327669 QUG327647:QUG327669 REC327647:REC327669 RNY327647:RNY327669 RXU327647:RXU327669 SHQ327647:SHQ327669 SRM327647:SRM327669 TBI327647:TBI327669 TLE327647:TLE327669 TVA327647:TVA327669 UEW327647:UEW327669 UOS327647:UOS327669 UYO327647:UYO327669 VIK327647:VIK327669 VSG327647:VSG327669 WCC327647:WCC327669 WLY327647:WLY327669 WVU327647:WVU327669 N393183:N393205 JI393183:JI393205 TE393183:TE393205 ADA393183:ADA393205 AMW393183:AMW393205 AWS393183:AWS393205 BGO393183:BGO393205 BQK393183:BQK393205 CAG393183:CAG393205 CKC393183:CKC393205 CTY393183:CTY393205 DDU393183:DDU393205 DNQ393183:DNQ393205 DXM393183:DXM393205 EHI393183:EHI393205 ERE393183:ERE393205 FBA393183:FBA393205 FKW393183:FKW393205 FUS393183:FUS393205 GEO393183:GEO393205 GOK393183:GOK393205 GYG393183:GYG393205 HIC393183:HIC393205 HRY393183:HRY393205 IBU393183:IBU393205 ILQ393183:ILQ393205 IVM393183:IVM393205 JFI393183:JFI393205 JPE393183:JPE393205 JZA393183:JZA393205 KIW393183:KIW393205 KSS393183:KSS393205 LCO393183:LCO393205 LMK393183:LMK393205 LWG393183:LWG393205 MGC393183:MGC393205 MPY393183:MPY393205 MZU393183:MZU393205 NJQ393183:NJQ393205 NTM393183:NTM393205 ODI393183:ODI393205 ONE393183:ONE393205 OXA393183:OXA393205 PGW393183:PGW393205 PQS393183:PQS393205 QAO393183:QAO393205 QKK393183:QKK393205 QUG393183:QUG393205 REC393183:REC393205 RNY393183:RNY393205 RXU393183:RXU393205 SHQ393183:SHQ393205 SRM393183:SRM393205 TBI393183:TBI393205 TLE393183:TLE393205 TVA393183:TVA393205 UEW393183:UEW393205 UOS393183:UOS393205 UYO393183:UYO393205 VIK393183:VIK393205 VSG393183:VSG393205 WCC393183:WCC393205 WLY393183:WLY393205 WVU393183:WVU393205 N458719:N458741 JI458719:JI458741 TE458719:TE458741 ADA458719:ADA458741 AMW458719:AMW458741 AWS458719:AWS458741 BGO458719:BGO458741 BQK458719:BQK458741 CAG458719:CAG458741 CKC458719:CKC458741 CTY458719:CTY458741 DDU458719:DDU458741 DNQ458719:DNQ458741 DXM458719:DXM458741 EHI458719:EHI458741 ERE458719:ERE458741 FBA458719:FBA458741 FKW458719:FKW458741 FUS458719:FUS458741 GEO458719:GEO458741 GOK458719:GOK458741 GYG458719:GYG458741 HIC458719:HIC458741 HRY458719:HRY458741 IBU458719:IBU458741 ILQ458719:ILQ458741 IVM458719:IVM458741 JFI458719:JFI458741 JPE458719:JPE458741 JZA458719:JZA458741 KIW458719:KIW458741 KSS458719:KSS458741 LCO458719:LCO458741 LMK458719:LMK458741 LWG458719:LWG458741 MGC458719:MGC458741 MPY458719:MPY458741 MZU458719:MZU458741 NJQ458719:NJQ458741 NTM458719:NTM458741 ODI458719:ODI458741 ONE458719:ONE458741 OXA458719:OXA458741 PGW458719:PGW458741 PQS458719:PQS458741 QAO458719:QAO458741 QKK458719:QKK458741 QUG458719:QUG458741 REC458719:REC458741 RNY458719:RNY458741 RXU458719:RXU458741 SHQ458719:SHQ458741 SRM458719:SRM458741 TBI458719:TBI458741 TLE458719:TLE458741 TVA458719:TVA458741 UEW458719:UEW458741 UOS458719:UOS458741 UYO458719:UYO458741 VIK458719:VIK458741 VSG458719:VSG458741 WCC458719:WCC458741 WLY458719:WLY458741 WVU458719:WVU458741 N524255:N524277 JI524255:JI524277 TE524255:TE524277 ADA524255:ADA524277 AMW524255:AMW524277 AWS524255:AWS524277 BGO524255:BGO524277 BQK524255:BQK524277 CAG524255:CAG524277 CKC524255:CKC524277 CTY524255:CTY524277 DDU524255:DDU524277 DNQ524255:DNQ524277 DXM524255:DXM524277 EHI524255:EHI524277 ERE524255:ERE524277 FBA524255:FBA524277 FKW524255:FKW524277 FUS524255:FUS524277 GEO524255:GEO524277 GOK524255:GOK524277 GYG524255:GYG524277 HIC524255:HIC524277 HRY524255:HRY524277 IBU524255:IBU524277 ILQ524255:ILQ524277 IVM524255:IVM524277 JFI524255:JFI524277 JPE524255:JPE524277 JZA524255:JZA524277 KIW524255:KIW524277 KSS524255:KSS524277 LCO524255:LCO524277 LMK524255:LMK524277 LWG524255:LWG524277 MGC524255:MGC524277 MPY524255:MPY524277 MZU524255:MZU524277 NJQ524255:NJQ524277 NTM524255:NTM524277 ODI524255:ODI524277 ONE524255:ONE524277 OXA524255:OXA524277 PGW524255:PGW524277 PQS524255:PQS524277 QAO524255:QAO524277 QKK524255:QKK524277 QUG524255:QUG524277 REC524255:REC524277 RNY524255:RNY524277 RXU524255:RXU524277 SHQ524255:SHQ524277 SRM524255:SRM524277 TBI524255:TBI524277 TLE524255:TLE524277 TVA524255:TVA524277 UEW524255:UEW524277 UOS524255:UOS524277 UYO524255:UYO524277 VIK524255:VIK524277 VSG524255:VSG524277 WCC524255:WCC524277 WLY524255:WLY524277 WVU524255:WVU524277 N589791:N589813 JI589791:JI589813 TE589791:TE589813 ADA589791:ADA589813 AMW589791:AMW589813 AWS589791:AWS589813 BGO589791:BGO589813 BQK589791:BQK589813 CAG589791:CAG589813 CKC589791:CKC589813 CTY589791:CTY589813 DDU589791:DDU589813 DNQ589791:DNQ589813 DXM589791:DXM589813 EHI589791:EHI589813 ERE589791:ERE589813 FBA589791:FBA589813 FKW589791:FKW589813 FUS589791:FUS589813 GEO589791:GEO589813 GOK589791:GOK589813 GYG589791:GYG589813 HIC589791:HIC589813 HRY589791:HRY589813 IBU589791:IBU589813 ILQ589791:ILQ589813 IVM589791:IVM589813 JFI589791:JFI589813 JPE589791:JPE589813 JZA589791:JZA589813 KIW589791:KIW589813 KSS589791:KSS589813 LCO589791:LCO589813 LMK589791:LMK589813 LWG589791:LWG589813 MGC589791:MGC589813 MPY589791:MPY589813 MZU589791:MZU589813 NJQ589791:NJQ589813 NTM589791:NTM589813 ODI589791:ODI589813 ONE589791:ONE589813 OXA589791:OXA589813 PGW589791:PGW589813 PQS589791:PQS589813 QAO589791:QAO589813 QKK589791:QKK589813 QUG589791:QUG589813 REC589791:REC589813 RNY589791:RNY589813 RXU589791:RXU589813 SHQ589791:SHQ589813 SRM589791:SRM589813 TBI589791:TBI589813 TLE589791:TLE589813 TVA589791:TVA589813 UEW589791:UEW589813 UOS589791:UOS589813 UYO589791:UYO589813 VIK589791:VIK589813 VSG589791:VSG589813 WCC589791:WCC589813 WLY589791:WLY589813 WVU589791:WVU589813 N655327:N655349 JI655327:JI655349 TE655327:TE655349 ADA655327:ADA655349 AMW655327:AMW655349 AWS655327:AWS655349 BGO655327:BGO655349 BQK655327:BQK655349 CAG655327:CAG655349 CKC655327:CKC655349 CTY655327:CTY655349 DDU655327:DDU655349 DNQ655327:DNQ655349 DXM655327:DXM655349 EHI655327:EHI655349 ERE655327:ERE655349 FBA655327:FBA655349 FKW655327:FKW655349 FUS655327:FUS655349 GEO655327:GEO655349 GOK655327:GOK655349 GYG655327:GYG655349 HIC655327:HIC655349 HRY655327:HRY655349 IBU655327:IBU655349 ILQ655327:ILQ655349 IVM655327:IVM655349 JFI655327:JFI655349 JPE655327:JPE655349 JZA655327:JZA655349 KIW655327:KIW655349 KSS655327:KSS655349 LCO655327:LCO655349 LMK655327:LMK655349 LWG655327:LWG655349 MGC655327:MGC655349 MPY655327:MPY655349 MZU655327:MZU655349 NJQ655327:NJQ655349 NTM655327:NTM655349 ODI655327:ODI655349 ONE655327:ONE655349 OXA655327:OXA655349 PGW655327:PGW655349 PQS655327:PQS655349 QAO655327:QAO655349 QKK655327:QKK655349 QUG655327:QUG655349 REC655327:REC655349 RNY655327:RNY655349 RXU655327:RXU655349 SHQ655327:SHQ655349 SRM655327:SRM655349 TBI655327:TBI655349 TLE655327:TLE655349 TVA655327:TVA655349 UEW655327:UEW655349 UOS655327:UOS655349 UYO655327:UYO655349 VIK655327:VIK655349 VSG655327:VSG655349 WCC655327:WCC655349 WLY655327:WLY655349 WVU655327:WVU655349 N720863:N720885 JI720863:JI720885 TE720863:TE720885 ADA720863:ADA720885 AMW720863:AMW720885 AWS720863:AWS720885 BGO720863:BGO720885 BQK720863:BQK720885 CAG720863:CAG720885 CKC720863:CKC720885 CTY720863:CTY720885 DDU720863:DDU720885 DNQ720863:DNQ720885 DXM720863:DXM720885 EHI720863:EHI720885 ERE720863:ERE720885 FBA720863:FBA720885 FKW720863:FKW720885 FUS720863:FUS720885 GEO720863:GEO720885 GOK720863:GOK720885 GYG720863:GYG720885 HIC720863:HIC720885 HRY720863:HRY720885 IBU720863:IBU720885 ILQ720863:ILQ720885 IVM720863:IVM720885 JFI720863:JFI720885 JPE720863:JPE720885 JZA720863:JZA720885 KIW720863:KIW720885 KSS720863:KSS720885 LCO720863:LCO720885 LMK720863:LMK720885 LWG720863:LWG720885 MGC720863:MGC720885 MPY720863:MPY720885 MZU720863:MZU720885 NJQ720863:NJQ720885 NTM720863:NTM720885 ODI720863:ODI720885 ONE720863:ONE720885 OXA720863:OXA720885 PGW720863:PGW720885 PQS720863:PQS720885 QAO720863:QAO720885 QKK720863:QKK720885 QUG720863:QUG720885 REC720863:REC720885 RNY720863:RNY720885 RXU720863:RXU720885 SHQ720863:SHQ720885 SRM720863:SRM720885 TBI720863:TBI720885 TLE720863:TLE720885 TVA720863:TVA720885 UEW720863:UEW720885 UOS720863:UOS720885 UYO720863:UYO720885 VIK720863:VIK720885 VSG720863:VSG720885 WCC720863:WCC720885 WLY720863:WLY720885 WVU720863:WVU720885 N786399:N786421 JI786399:JI786421 TE786399:TE786421 ADA786399:ADA786421 AMW786399:AMW786421 AWS786399:AWS786421 BGO786399:BGO786421 BQK786399:BQK786421 CAG786399:CAG786421 CKC786399:CKC786421 CTY786399:CTY786421 DDU786399:DDU786421 DNQ786399:DNQ786421 DXM786399:DXM786421 EHI786399:EHI786421 ERE786399:ERE786421 FBA786399:FBA786421 FKW786399:FKW786421 FUS786399:FUS786421 GEO786399:GEO786421 GOK786399:GOK786421 GYG786399:GYG786421 HIC786399:HIC786421 HRY786399:HRY786421 IBU786399:IBU786421 ILQ786399:ILQ786421 IVM786399:IVM786421 JFI786399:JFI786421 JPE786399:JPE786421 JZA786399:JZA786421 KIW786399:KIW786421 KSS786399:KSS786421 LCO786399:LCO786421 LMK786399:LMK786421 LWG786399:LWG786421 MGC786399:MGC786421 MPY786399:MPY786421 MZU786399:MZU786421 NJQ786399:NJQ786421 NTM786399:NTM786421 ODI786399:ODI786421 ONE786399:ONE786421 OXA786399:OXA786421 PGW786399:PGW786421 PQS786399:PQS786421 QAO786399:QAO786421 QKK786399:QKK786421 QUG786399:QUG786421 REC786399:REC786421 RNY786399:RNY786421 RXU786399:RXU786421 SHQ786399:SHQ786421 SRM786399:SRM786421 TBI786399:TBI786421 TLE786399:TLE786421 TVA786399:TVA786421 UEW786399:UEW786421 UOS786399:UOS786421 UYO786399:UYO786421 VIK786399:VIK786421 VSG786399:VSG786421 WCC786399:WCC786421 WLY786399:WLY786421 WVU786399:WVU786421 N851935:N851957 JI851935:JI851957 TE851935:TE851957 ADA851935:ADA851957 AMW851935:AMW851957 AWS851935:AWS851957 BGO851935:BGO851957 BQK851935:BQK851957 CAG851935:CAG851957 CKC851935:CKC851957 CTY851935:CTY851957 DDU851935:DDU851957 DNQ851935:DNQ851957 DXM851935:DXM851957 EHI851935:EHI851957 ERE851935:ERE851957 FBA851935:FBA851957 FKW851935:FKW851957 FUS851935:FUS851957 GEO851935:GEO851957 GOK851935:GOK851957 GYG851935:GYG851957 HIC851935:HIC851957 HRY851935:HRY851957 IBU851935:IBU851957 ILQ851935:ILQ851957 IVM851935:IVM851957 JFI851935:JFI851957 JPE851935:JPE851957 JZA851935:JZA851957 KIW851935:KIW851957 KSS851935:KSS851957 LCO851935:LCO851957 LMK851935:LMK851957 LWG851935:LWG851957 MGC851935:MGC851957 MPY851935:MPY851957 MZU851935:MZU851957 NJQ851935:NJQ851957 NTM851935:NTM851957 ODI851935:ODI851957 ONE851935:ONE851957 OXA851935:OXA851957 PGW851935:PGW851957 PQS851935:PQS851957 QAO851935:QAO851957 QKK851935:QKK851957 QUG851935:QUG851957 REC851935:REC851957 RNY851935:RNY851957 RXU851935:RXU851957 SHQ851935:SHQ851957 SRM851935:SRM851957 TBI851935:TBI851957 TLE851935:TLE851957 TVA851935:TVA851957 UEW851935:UEW851957 UOS851935:UOS851957 UYO851935:UYO851957 VIK851935:VIK851957 VSG851935:VSG851957 WCC851935:WCC851957 WLY851935:WLY851957 WVU851935:WVU851957 N917471:N917493 JI917471:JI917493 TE917471:TE917493 ADA917471:ADA917493 AMW917471:AMW917493 AWS917471:AWS917493 BGO917471:BGO917493 BQK917471:BQK917493 CAG917471:CAG917493 CKC917471:CKC917493 CTY917471:CTY917493 DDU917471:DDU917493 DNQ917471:DNQ917493 DXM917471:DXM917493 EHI917471:EHI917493 ERE917471:ERE917493 FBA917471:FBA917493 FKW917471:FKW917493 FUS917471:FUS917493 GEO917471:GEO917493 GOK917471:GOK917493 GYG917471:GYG917493 HIC917471:HIC917493 HRY917471:HRY917493 IBU917471:IBU917493 ILQ917471:ILQ917493 IVM917471:IVM917493 JFI917471:JFI917493 JPE917471:JPE917493 JZA917471:JZA917493 KIW917471:KIW917493 KSS917471:KSS917493 LCO917471:LCO917493 LMK917471:LMK917493 LWG917471:LWG917493 MGC917471:MGC917493 MPY917471:MPY917493 MZU917471:MZU917493 NJQ917471:NJQ917493 NTM917471:NTM917493 ODI917471:ODI917493 ONE917471:ONE917493 OXA917471:OXA917493 PGW917471:PGW917493 PQS917471:PQS917493 QAO917471:QAO917493 QKK917471:QKK917493 QUG917471:QUG917493 REC917471:REC917493 RNY917471:RNY917493 RXU917471:RXU917493 SHQ917471:SHQ917493 SRM917471:SRM917493 TBI917471:TBI917493 TLE917471:TLE917493 TVA917471:TVA917493 UEW917471:UEW917493 UOS917471:UOS917493 UYO917471:UYO917493 VIK917471:VIK917493 VSG917471:VSG917493 WCC917471:WCC917493 WLY917471:WLY917493 WVU917471:WVU917493 N983007:N983029 JI983007:JI983029 TE983007:TE983029 ADA983007:ADA983029 AMW983007:AMW983029 AWS983007:AWS983029 BGO983007:BGO983029 BQK983007:BQK983029 CAG983007:CAG983029 CKC983007:CKC983029 CTY983007:CTY983029 DDU983007:DDU983029 DNQ983007:DNQ983029 DXM983007:DXM983029 EHI983007:EHI983029 ERE983007:ERE983029 FBA983007:FBA983029 FKW983007:FKW983029 FUS983007:FUS983029 GEO983007:GEO983029 GOK983007:GOK983029 GYG983007:GYG983029 HIC983007:HIC983029 HRY983007:HRY983029 IBU983007:IBU983029 ILQ983007:ILQ983029 IVM983007:IVM983029 JFI983007:JFI983029 JPE983007:JPE983029 JZA983007:JZA983029 KIW983007:KIW983029 KSS983007:KSS983029 LCO983007:LCO983029 LMK983007:LMK983029 LWG983007:LWG983029 MGC983007:MGC983029 MPY983007:MPY983029 MZU983007:MZU983029 NJQ983007:NJQ983029 NTM983007:NTM983029 ODI983007:ODI983029 ONE983007:ONE983029 OXA983007:OXA983029 PGW983007:PGW983029 PQS983007:PQS983029 QAO983007:QAO983029 QKK983007:QKK983029 QUG983007:QUG983029 REC983007:REC983029 RNY983007:RNY983029 RXU983007:RXU983029 SHQ983007:SHQ983029 SRM983007:SRM983029 TBI983007:TBI983029 TLE983007:TLE983029 TVA983007:TVA983029 UEW983007:UEW983029 UOS983007:UOS983029 UYO983007:UYO983029 VIK983007:VIK983029 VSG983007:VSG983029 WCC983007:WCC983029 WLY983007:WLY983029 WVU983007:WVU983029">
      <formula1>"1-Development,2-Test,3-Staging,4-Beta"</formula1>
    </dataValidation>
    <dataValidation type="list" allowBlank="1" showInputMessage="1" showErrorMessage="1" sqref="K65479:K65482 JF65479:JF65482 TB65479:TB65482 ACX65479:ACX65482 AMT65479:AMT65482 AWP65479:AWP65482 BGL65479:BGL65482 BQH65479:BQH65482 CAD65479:CAD65482 CJZ65479:CJZ65482 CTV65479:CTV65482 DDR65479:DDR65482 DNN65479:DNN65482 DXJ65479:DXJ65482 EHF65479:EHF65482 ERB65479:ERB65482 FAX65479:FAX65482 FKT65479:FKT65482 FUP65479:FUP65482 GEL65479:GEL65482 GOH65479:GOH65482 GYD65479:GYD65482 HHZ65479:HHZ65482 HRV65479:HRV65482 IBR65479:IBR65482 ILN65479:ILN65482 IVJ65479:IVJ65482 JFF65479:JFF65482 JPB65479:JPB65482 JYX65479:JYX65482 KIT65479:KIT65482 KSP65479:KSP65482 LCL65479:LCL65482 LMH65479:LMH65482 LWD65479:LWD65482 MFZ65479:MFZ65482 MPV65479:MPV65482 MZR65479:MZR65482 NJN65479:NJN65482 NTJ65479:NTJ65482 ODF65479:ODF65482 ONB65479:ONB65482 OWX65479:OWX65482 PGT65479:PGT65482 PQP65479:PQP65482 QAL65479:QAL65482 QKH65479:QKH65482 QUD65479:QUD65482 RDZ65479:RDZ65482 RNV65479:RNV65482 RXR65479:RXR65482 SHN65479:SHN65482 SRJ65479:SRJ65482 TBF65479:TBF65482 TLB65479:TLB65482 TUX65479:TUX65482 UET65479:UET65482 UOP65479:UOP65482 UYL65479:UYL65482 VIH65479:VIH65482 VSD65479:VSD65482 WBZ65479:WBZ65482 WLV65479:WLV65482 WVR65479:WVR65482 K131015:K131018 JF131015:JF131018 TB131015:TB131018 ACX131015:ACX131018 AMT131015:AMT131018 AWP131015:AWP131018 BGL131015:BGL131018 BQH131015:BQH131018 CAD131015:CAD131018 CJZ131015:CJZ131018 CTV131015:CTV131018 DDR131015:DDR131018 DNN131015:DNN131018 DXJ131015:DXJ131018 EHF131015:EHF131018 ERB131015:ERB131018 FAX131015:FAX131018 FKT131015:FKT131018 FUP131015:FUP131018 GEL131015:GEL131018 GOH131015:GOH131018 GYD131015:GYD131018 HHZ131015:HHZ131018 HRV131015:HRV131018 IBR131015:IBR131018 ILN131015:ILN131018 IVJ131015:IVJ131018 JFF131015:JFF131018 JPB131015:JPB131018 JYX131015:JYX131018 KIT131015:KIT131018 KSP131015:KSP131018 LCL131015:LCL131018 LMH131015:LMH131018 LWD131015:LWD131018 MFZ131015:MFZ131018 MPV131015:MPV131018 MZR131015:MZR131018 NJN131015:NJN131018 NTJ131015:NTJ131018 ODF131015:ODF131018 ONB131015:ONB131018 OWX131015:OWX131018 PGT131015:PGT131018 PQP131015:PQP131018 QAL131015:QAL131018 QKH131015:QKH131018 QUD131015:QUD131018 RDZ131015:RDZ131018 RNV131015:RNV131018 RXR131015:RXR131018 SHN131015:SHN131018 SRJ131015:SRJ131018 TBF131015:TBF131018 TLB131015:TLB131018 TUX131015:TUX131018 UET131015:UET131018 UOP131015:UOP131018 UYL131015:UYL131018 VIH131015:VIH131018 VSD131015:VSD131018 WBZ131015:WBZ131018 WLV131015:WLV131018 WVR131015:WVR131018 K196551:K196554 JF196551:JF196554 TB196551:TB196554 ACX196551:ACX196554 AMT196551:AMT196554 AWP196551:AWP196554 BGL196551:BGL196554 BQH196551:BQH196554 CAD196551:CAD196554 CJZ196551:CJZ196554 CTV196551:CTV196554 DDR196551:DDR196554 DNN196551:DNN196554 DXJ196551:DXJ196554 EHF196551:EHF196554 ERB196551:ERB196554 FAX196551:FAX196554 FKT196551:FKT196554 FUP196551:FUP196554 GEL196551:GEL196554 GOH196551:GOH196554 GYD196551:GYD196554 HHZ196551:HHZ196554 HRV196551:HRV196554 IBR196551:IBR196554 ILN196551:ILN196554 IVJ196551:IVJ196554 JFF196551:JFF196554 JPB196551:JPB196554 JYX196551:JYX196554 KIT196551:KIT196554 KSP196551:KSP196554 LCL196551:LCL196554 LMH196551:LMH196554 LWD196551:LWD196554 MFZ196551:MFZ196554 MPV196551:MPV196554 MZR196551:MZR196554 NJN196551:NJN196554 NTJ196551:NTJ196554 ODF196551:ODF196554 ONB196551:ONB196554 OWX196551:OWX196554 PGT196551:PGT196554 PQP196551:PQP196554 QAL196551:QAL196554 QKH196551:QKH196554 QUD196551:QUD196554 RDZ196551:RDZ196554 RNV196551:RNV196554 RXR196551:RXR196554 SHN196551:SHN196554 SRJ196551:SRJ196554 TBF196551:TBF196554 TLB196551:TLB196554 TUX196551:TUX196554 UET196551:UET196554 UOP196551:UOP196554 UYL196551:UYL196554 VIH196551:VIH196554 VSD196551:VSD196554 WBZ196551:WBZ196554 WLV196551:WLV196554 WVR196551:WVR196554 K262087:K262090 JF262087:JF262090 TB262087:TB262090 ACX262087:ACX262090 AMT262087:AMT262090 AWP262087:AWP262090 BGL262087:BGL262090 BQH262087:BQH262090 CAD262087:CAD262090 CJZ262087:CJZ262090 CTV262087:CTV262090 DDR262087:DDR262090 DNN262087:DNN262090 DXJ262087:DXJ262090 EHF262087:EHF262090 ERB262087:ERB262090 FAX262087:FAX262090 FKT262087:FKT262090 FUP262087:FUP262090 GEL262087:GEL262090 GOH262087:GOH262090 GYD262087:GYD262090 HHZ262087:HHZ262090 HRV262087:HRV262090 IBR262087:IBR262090 ILN262087:ILN262090 IVJ262087:IVJ262090 JFF262087:JFF262090 JPB262087:JPB262090 JYX262087:JYX262090 KIT262087:KIT262090 KSP262087:KSP262090 LCL262087:LCL262090 LMH262087:LMH262090 LWD262087:LWD262090 MFZ262087:MFZ262090 MPV262087:MPV262090 MZR262087:MZR262090 NJN262087:NJN262090 NTJ262087:NTJ262090 ODF262087:ODF262090 ONB262087:ONB262090 OWX262087:OWX262090 PGT262087:PGT262090 PQP262087:PQP262090 QAL262087:QAL262090 QKH262087:QKH262090 QUD262087:QUD262090 RDZ262087:RDZ262090 RNV262087:RNV262090 RXR262087:RXR262090 SHN262087:SHN262090 SRJ262087:SRJ262090 TBF262087:TBF262090 TLB262087:TLB262090 TUX262087:TUX262090 UET262087:UET262090 UOP262087:UOP262090 UYL262087:UYL262090 VIH262087:VIH262090 VSD262087:VSD262090 WBZ262087:WBZ262090 WLV262087:WLV262090 WVR262087:WVR262090 K327623:K327626 JF327623:JF327626 TB327623:TB327626 ACX327623:ACX327626 AMT327623:AMT327626 AWP327623:AWP327626 BGL327623:BGL327626 BQH327623:BQH327626 CAD327623:CAD327626 CJZ327623:CJZ327626 CTV327623:CTV327626 DDR327623:DDR327626 DNN327623:DNN327626 DXJ327623:DXJ327626 EHF327623:EHF327626 ERB327623:ERB327626 FAX327623:FAX327626 FKT327623:FKT327626 FUP327623:FUP327626 GEL327623:GEL327626 GOH327623:GOH327626 GYD327623:GYD327626 HHZ327623:HHZ327626 HRV327623:HRV327626 IBR327623:IBR327626 ILN327623:ILN327626 IVJ327623:IVJ327626 JFF327623:JFF327626 JPB327623:JPB327626 JYX327623:JYX327626 KIT327623:KIT327626 KSP327623:KSP327626 LCL327623:LCL327626 LMH327623:LMH327626 LWD327623:LWD327626 MFZ327623:MFZ327626 MPV327623:MPV327626 MZR327623:MZR327626 NJN327623:NJN327626 NTJ327623:NTJ327626 ODF327623:ODF327626 ONB327623:ONB327626 OWX327623:OWX327626 PGT327623:PGT327626 PQP327623:PQP327626 QAL327623:QAL327626 QKH327623:QKH327626 QUD327623:QUD327626 RDZ327623:RDZ327626 RNV327623:RNV327626 RXR327623:RXR327626 SHN327623:SHN327626 SRJ327623:SRJ327626 TBF327623:TBF327626 TLB327623:TLB327626 TUX327623:TUX327626 UET327623:UET327626 UOP327623:UOP327626 UYL327623:UYL327626 VIH327623:VIH327626 VSD327623:VSD327626 WBZ327623:WBZ327626 WLV327623:WLV327626 WVR327623:WVR327626 K393159:K393162 JF393159:JF393162 TB393159:TB393162 ACX393159:ACX393162 AMT393159:AMT393162 AWP393159:AWP393162 BGL393159:BGL393162 BQH393159:BQH393162 CAD393159:CAD393162 CJZ393159:CJZ393162 CTV393159:CTV393162 DDR393159:DDR393162 DNN393159:DNN393162 DXJ393159:DXJ393162 EHF393159:EHF393162 ERB393159:ERB393162 FAX393159:FAX393162 FKT393159:FKT393162 FUP393159:FUP393162 GEL393159:GEL393162 GOH393159:GOH393162 GYD393159:GYD393162 HHZ393159:HHZ393162 HRV393159:HRV393162 IBR393159:IBR393162 ILN393159:ILN393162 IVJ393159:IVJ393162 JFF393159:JFF393162 JPB393159:JPB393162 JYX393159:JYX393162 KIT393159:KIT393162 KSP393159:KSP393162 LCL393159:LCL393162 LMH393159:LMH393162 LWD393159:LWD393162 MFZ393159:MFZ393162 MPV393159:MPV393162 MZR393159:MZR393162 NJN393159:NJN393162 NTJ393159:NTJ393162 ODF393159:ODF393162 ONB393159:ONB393162 OWX393159:OWX393162 PGT393159:PGT393162 PQP393159:PQP393162 QAL393159:QAL393162 QKH393159:QKH393162 QUD393159:QUD393162 RDZ393159:RDZ393162 RNV393159:RNV393162 RXR393159:RXR393162 SHN393159:SHN393162 SRJ393159:SRJ393162 TBF393159:TBF393162 TLB393159:TLB393162 TUX393159:TUX393162 UET393159:UET393162 UOP393159:UOP393162 UYL393159:UYL393162 VIH393159:VIH393162 VSD393159:VSD393162 WBZ393159:WBZ393162 WLV393159:WLV393162 WVR393159:WVR393162 K458695:K458698 JF458695:JF458698 TB458695:TB458698 ACX458695:ACX458698 AMT458695:AMT458698 AWP458695:AWP458698 BGL458695:BGL458698 BQH458695:BQH458698 CAD458695:CAD458698 CJZ458695:CJZ458698 CTV458695:CTV458698 DDR458695:DDR458698 DNN458695:DNN458698 DXJ458695:DXJ458698 EHF458695:EHF458698 ERB458695:ERB458698 FAX458695:FAX458698 FKT458695:FKT458698 FUP458695:FUP458698 GEL458695:GEL458698 GOH458695:GOH458698 GYD458695:GYD458698 HHZ458695:HHZ458698 HRV458695:HRV458698 IBR458695:IBR458698 ILN458695:ILN458698 IVJ458695:IVJ458698 JFF458695:JFF458698 JPB458695:JPB458698 JYX458695:JYX458698 KIT458695:KIT458698 KSP458695:KSP458698 LCL458695:LCL458698 LMH458695:LMH458698 LWD458695:LWD458698 MFZ458695:MFZ458698 MPV458695:MPV458698 MZR458695:MZR458698 NJN458695:NJN458698 NTJ458695:NTJ458698 ODF458695:ODF458698 ONB458695:ONB458698 OWX458695:OWX458698 PGT458695:PGT458698 PQP458695:PQP458698 QAL458695:QAL458698 QKH458695:QKH458698 QUD458695:QUD458698 RDZ458695:RDZ458698 RNV458695:RNV458698 RXR458695:RXR458698 SHN458695:SHN458698 SRJ458695:SRJ458698 TBF458695:TBF458698 TLB458695:TLB458698 TUX458695:TUX458698 UET458695:UET458698 UOP458695:UOP458698 UYL458695:UYL458698 VIH458695:VIH458698 VSD458695:VSD458698 WBZ458695:WBZ458698 WLV458695:WLV458698 WVR458695:WVR458698 K524231:K524234 JF524231:JF524234 TB524231:TB524234 ACX524231:ACX524234 AMT524231:AMT524234 AWP524231:AWP524234 BGL524231:BGL524234 BQH524231:BQH524234 CAD524231:CAD524234 CJZ524231:CJZ524234 CTV524231:CTV524234 DDR524231:DDR524234 DNN524231:DNN524234 DXJ524231:DXJ524234 EHF524231:EHF524234 ERB524231:ERB524234 FAX524231:FAX524234 FKT524231:FKT524234 FUP524231:FUP524234 GEL524231:GEL524234 GOH524231:GOH524234 GYD524231:GYD524234 HHZ524231:HHZ524234 HRV524231:HRV524234 IBR524231:IBR524234 ILN524231:ILN524234 IVJ524231:IVJ524234 JFF524231:JFF524234 JPB524231:JPB524234 JYX524231:JYX524234 KIT524231:KIT524234 KSP524231:KSP524234 LCL524231:LCL524234 LMH524231:LMH524234 LWD524231:LWD524234 MFZ524231:MFZ524234 MPV524231:MPV524234 MZR524231:MZR524234 NJN524231:NJN524234 NTJ524231:NTJ524234 ODF524231:ODF524234 ONB524231:ONB524234 OWX524231:OWX524234 PGT524231:PGT524234 PQP524231:PQP524234 QAL524231:QAL524234 QKH524231:QKH524234 QUD524231:QUD524234 RDZ524231:RDZ524234 RNV524231:RNV524234 RXR524231:RXR524234 SHN524231:SHN524234 SRJ524231:SRJ524234 TBF524231:TBF524234 TLB524231:TLB524234 TUX524231:TUX524234 UET524231:UET524234 UOP524231:UOP524234 UYL524231:UYL524234 VIH524231:VIH524234 VSD524231:VSD524234 WBZ524231:WBZ524234 WLV524231:WLV524234 WVR524231:WVR524234 K589767:K589770 JF589767:JF589770 TB589767:TB589770 ACX589767:ACX589770 AMT589767:AMT589770 AWP589767:AWP589770 BGL589767:BGL589770 BQH589767:BQH589770 CAD589767:CAD589770 CJZ589767:CJZ589770 CTV589767:CTV589770 DDR589767:DDR589770 DNN589767:DNN589770 DXJ589767:DXJ589770 EHF589767:EHF589770 ERB589767:ERB589770 FAX589767:FAX589770 FKT589767:FKT589770 FUP589767:FUP589770 GEL589767:GEL589770 GOH589767:GOH589770 GYD589767:GYD589770 HHZ589767:HHZ589770 HRV589767:HRV589770 IBR589767:IBR589770 ILN589767:ILN589770 IVJ589767:IVJ589770 JFF589767:JFF589770 JPB589767:JPB589770 JYX589767:JYX589770 KIT589767:KIT589770 KSP589767:KSP589770 LCL589767:LCL589770 LMH589767:LMH589770 LWD589767:LWD589770 MFZ589767:MFZ589770 MPV589767:MPV589770 MZR589767:MZR589770 NJN589767:NJN589770 NTJ589767:NTJ589770 ODF589767:ODF589770 ONB589767:ONB589770 OWX589767:OWX589770 PGT589767:PGT589770 PQP589767:PQP589770 QAL589767:QAL589770 QKH589767:QKH589770 QUD589767:QUD589770 RDZ589767:RDZ589770 RNV589767:RNV589770 RXR589767:RXR589770 SHN589767:SHN589770 SRJ589767:SRJ589770 TBF589767:TBF589770 TLB589767:TLB589770 TUX589767:TUX589770 UET589767:UET589770 UOP589767:UOP589770 UYL589767:UYL589770 VIH589767:VIH589770 VSD589767:VSD589770 WBZ589767:WBZ589770 WLV589767:WLV589770 WVR589767:WVR589770 K655303:K655306 JF655303:JF655306 TB655303:TB655306 ACX655303:ACX655306 AMT655303:AMT655306 AWP655303:AWP655306 BGL655303:BGL655306 BQH655303:BQH655306 CAD655303:CAD655306 CJZ655303:CJZ655306 CTV655303:CTV655306 DDR655303:DDR655306 DNN655303:DNN655306 DXJ655303:DXJ655306 EHF655303:EHF655306 ERB655303:ERB655306 FAX655303:FAX655306 FKT655303:FKT655306 FUP655303:FUP655306 GEL655303:GEL655306 GOH655303:GOH655306 GYD655303:GYD655306 HHZ655303:HHZ655306 HRV655303:HRV655306 IBR655303:IBR655306 ILN655303:ILN655306 IVJ655303:IVJ655306 JFF655303:JFF655306 JPB655303:JPB655306 JYX655303:JYX655306 KIT655303:KIT655306 KSP655303:KSP655306 LCL655303:LCL655306 LMH655303:LMH655306 LWD655303:LWD655306 MFZ655303:MFZ655306 MPV655303:MPV655306 MZR655303:MZR655306 NJN655303:NJN655306 NTJ655303:NTJ655306 ODF655303:ODF655306 ONB655303:ONB655306 OWX655303:OWX655306 PGT655303:PGT655306 PQP655303:PQP655306 QAL655303:QAL655306 QKH655303:QKH655306 QUD655303:QUD655306 RDZ655303:RDZ655306 RNV655303:RNV655306 RXR655303:RXR655306 SHN655303:SHN655306 SRJ655303:SRJ655306 TBF655303:TBF655306 TLB655303:TLB655306 TUX655303:TUX655306 UET655303:UET655306 UOP655303:UOP655306 UYL655303:UYL655306 VIH655303:VIH655306 VSD655303:VSD655306 WBZ655303:WBZ655306 WLV655303:WLV655306 WVR655303:WVR655306 K720839:K720842 JF720839:JF720842 TB720839:TB720842 ACX720839:ACX720842 AMT720839:AMT720842 AWP720839:AWP720842 BGL720839:BGL720842 BQH720839:BQH720842 CAD720839:CAD720842 CJZ720839:CJZ720842 CTV720839:CTV720842 DDR720839:DDR720842 DNN720839:DNN720842 DXJ720839:DXJ720842 EHF720839:EHF720842 ERB720839:ERB720842 FAX720839:FAX720842 FKT720839:FKT720842 FUP720839:FUP720842 GEL720839:GEL720842 GOH720839:GOH720842 GYD720839:GYD720842 HHZ720839:HHZ720842 HRV720839:HRV720842 IBR720839:IBR720842 ILN720839:ILN720842 IVJ720839:IVJ720842 JFF720839:JFF720842 JPB720839:JPB720842 JYX720839:JYX720842 KIT720839:KIT720842 KSP720839:KSP720842 LCL720839:LCL720842 LMH720839:LMH720842 LWD720839:LWD720842 MFZ720839:MFZ720842 MPV720839:MPV720842 MZR720839:MZR720842 NJN720839:NJN720842 NTJ720839:NTJ720842 ODF720839:ODF720842 ONB720839:ONB720842 OWX720839:OWX720842 PGT720839:PGT720842 PQP720839:PQP720842 QAL720839:QAL720842 QKH720839:QKH720842 QUD720839:QUD720842 RDZ720839:RDZ720842 RNV720839:RNV720842 RXR720839:RXR720842 SHN720839:SHN720842 SRJ720839:SRJ720842 TBF720839:TBF720842 TLB720839:TLB720842 TUX720839:TUX720842 UET720839:UET720842 UOP720839:UOP720842 UYL720839:UYL720842 VIH720839:VIH720842 VSD720839:VSD720842 WBZ720839:WBZ720842 WLV720839:WLV720842 WVR720839:WVR720842 K786375:K786378 JF786375:JF786378 TB786375:TB786378 ACX786375:ACX786378 AMT786375:AMT786378 AWP786375:AWP786378 BGL786375:BGL786378 BQH786375:BQH786378 CAD786375:CAD786378 CJZ786375:CJZ786378 CTV786375:CTV786378 DDR786375:DDR786378 DNN786375:DNN786378 DXJ786375:DXJ786378 EHF786375:EHF786378 ERB786375:ERB786378 FAX786375:FAX786378 FKT786375:FKT786378 FUP786375:FUP786378 GEL786375:GEL786378 GOH786375:GOH786378 GYD786375:GYD786378 HHZ786375:HHZ786378 HRV786375:HRV786378 IBR786375:IBR786378 ILN786375:ILN786378 IVJ786375:IVJ786378 JFF786375:JFF786378 JPB786375:JPB786378 JYX786375:JYX786378 KIT786375:KIT786378 KSP786375:KSP786378 LCL786375:LCL786378 LMH786375:LMH786378 LWD786375:LWD786378 MFZ786375:MFZ786378 MPV786375:MPV786378 MZR786375:MZR786378 NJN786375:NJN786378 NTJ786375:NTJ786378 ODF786375:ODF786378 ONB786375:ONB786378 OWX786375:OWX786378 PGT786375:PGT786378 PQP786375:PQP786378 QAL786375:QAL786378 QKH786375:QKH786378 QUD786375:QUD786378 RDZ786375:RDZ786378 RNV786375:RNV786378 RXR786375:RXR786378 SHN786375:SHN786378 SRJ786375:SRJ786378 TBF786375:TBF786378 TLB786375:TLB786378 TUX786375:TUX786378 UET786375:UET786378 UOP786375:UOP786378 UYL786375:UYL786378 VIH786375:VIH786378 VSD786375:VSD786378 WBZ786375:WBZ786378 WLV786375:WLV786378 WVR786375:WVR786378 K851911:K851914 JF851911:JF851914 TB851911:TB851914 ACX851911:ACX851914 AMT851911:AMT851914 AWP851911:AWP851914 BGL851911:BGL851914 BQH851911:BQH851914 CAD851911:CAD851914 CJZ851911:CJZ851914 CTV851911:CTV851914 DDR851911:DDR851914 DNN851911:DNN851914 DXJ851911:DXJ851914 EHF851911:EHF851914 ERB851911:ERB851914 FAX851911:FAX851914 FKT851911:FKT851914 FUP851911:FUP851914 GEL851911:GEL851914 GOH851911:GOH851914 GYD851911:GYD851914 HHZ851911:HHZ851914 HRV851911:HRV851914 IBR851911:IBR851914 ILN851911:ILN851914 IVJ851911:IVJ851914 JFF851911:JFF851914 JPB851911:JPB851914 JYX851911:JYX851914 KIT851911:KIT851914 KSP851911:KSP851914 LCL851911:LCL851914 LMH851911:LMH851914 LWD851911:LWD851914 MFZ851911:MFZ851914 MPV851911:MPV851914 MZR851911:MZR851914 NJN851911:NJN851914 NTJ851911:NTJ851914 ODF851911:ODF851914 ONB851911:ONB851914 OWX851911:OWX851914 PGT851911:PGT851914 PQP851911:PQP851914 QAL851911:QAL851914 QKH851911:QKH851914 QUD851911:QUD851914 RDZ851911:RDZ851914 RNV851911:RNV851914 RXR851911:RXR851914 SHN851911:SHN851914 SRJ851911:SRJ851914 TBF851911:TBF851914 TLB851911:TLB851914 TUX851911:TUX851914 UET851911:UET851914 UOP851911:UOP851914 UYL851911:UYL851914 VIH851911:VIH851914 VSD851911:VSD851914 WBZ851911:WBZ851914 WLV851911:WLV851914 WVR851911:WVR851914 K917447:K917450 JF917447:JF917450 TB917447:TB917450 ACX917447:ACX917450 AMT917447:AMT917450 AWP917447:AWP917450 BGL917447:BGL917450 BQH917447:BQH917450 CAD917447:CAD917450 CJZ917447:CJZ917450 CTV917447:CTV917450 DDR917447:DDR917450 DNN917447:DNN917450 DXJ917447:DXJ917450 EHF917447:EHF917450 ERB917447:ERB917450 FAX917447:FAX917450 FKT917447:FKT917450 FUP917447:FUP917450 GEL917447:GEL917450 GOH917447:GOH917450 GYD917447:GYD917450 HHZ917447:HHZ917450 HRV917447:HRV917450 IBR917447:IBR917450 ILN917447:ILN917450 IVJ917447:IVJ917450 JFF917447:JFF917450 JPB917447:JPB917450 JYX917447:JYX917450 KIT917447:KIT917450 KSP917447:KSP917450 LCL917447:LCL917450 LMH917447:LMH917450 LWD917447:LWD917450 MFZ917447:MFZ917450 MPV917447:MPV917450 MZR917447:MZR917450 NJN917447:NJN917450 NTJ917447:NTJ917450 ODF917447:ODF917450 ONB917447:ONB917450 OWX917447:OWX917450 PGT917447:PGT917450 PQP917447:PQP917450 QAL917447:QAL917450 QKH917447:QKH917450 QUD917447:QUD917450 RDZ917447:RDZ917450 RNV917447:RNV917450 RXR917447:RXR917450 SHN917447:SHN917450 SRJ917447:SRJ917450 TBF917447:TBF917450 TLB917447:TLB917450 TUX917447:TUX917450 UET917447:UET917450 UOP917447:UOP917450 UYL917447:UYL917450 VIH917447:VIH917450 VSD917447:VSD917450 WBZ917447:WBZ917450 WLV917447:WLV917450 WVR917447:WVR917450 K982983:K982986 JF982983:JF982986 TB982983:TB982986 ACX982983:ACX982986 AMT982983:AMT982986 AWP982983:AWP982986 BGL982983:BGL982986 BQH982983:BQH982986 CAD982983:CAD982986 CJZ982983:CJZ982986 CTV982983:CTV982986 DDR982983:DDR982986 DNN982983:DNN982986 DXJ982983:DXJ982986 EHF982983:EHF982986 ERB982983:ERB982986 FAX982983:FAX982986 FKT982983:FKT982986 FUP982983:FUP982986 GEL982983:GEL982986 GOH982983:GOH982986 GYD982983:GYD982986 HHZ982983:HHZ982986 HRV982983:HRV982986 IBR982983:IBR982986 ILN982983:ILN982986 IVJ982983:IVJ982986 JFF982983:JFF982986 JPB982983:JPB982986 JYX982983:JYX982986 KIT982983:KIT982986 KSP982983:KSP982986 LCL982983:LCL982986 LMH982983:LMH982986 LWD982983:LWD982986 MFZ982983:MFZ982986 MPV982983:MPV982986 MZR982983:MZR982986 NJN982983:NJN982986 NTJ982983:NTJ982986 ODF982983:ODF982986 ONB982983:ONB982986 OWX982983:OWX982986 PGT982983:PGT982986 PQP982983:PQP982986 QAL982983:QAL982986 QKH982983:QKH982986 QUD982983:QUD982986 RDZ982983:RDZ982986 RNV982983:RNV982986 RXR982983:RXR982986 SHN982983:SHN982986 SRJ982983:SRJ982986 TBF982983:TBF982986 TLB982983:TLB982986 TUX982983:TUX982986 UET982983:UET982986 UOP982983:UOP982986 UYL982983:UYL982986 VIH982983:VIH982986 VSD982983:VSD982986 WBZ982983:WBZ982986 WLV982983:WLV982986 WVR982983:WVR982986">
      <formula1>"New,Open,Fixed,Duplicate,Closed,Rejected,Closed-No Action Required,Deferred,Reopen"</formula1>
    </dataValidation>
    <dataValidation type="list" allowBlank="1" showInputMessage="1" showErrorMessage="1" sqref="C65479:C65503 JB65479:JB65503 SX65479:SX65503 ACT65479:ACT65503 AMP65479:AMP65503 AWL65479:AWL65503 BGH65479:BGH65503 BQD65479:BQD65503 BZZ65479:BZZ65503 CJV65479:CJV65503 CTR65479:CTR65503 DDN65479:DDN65503 DNJ65479:DNJ65503 DXF65479:DXF65503 EHB65479:EHB65503 EQX65479:EQX65503 FAT65479:FAT65503 FKP65479:FKP65503 FUL65479:FUL65503 GEH65479:GEH65503 GOD65479:GOD65503 GXZ65479:GXZ65503 HHV65479:HHV65503 HRR65479:HRR65503 IBN65479:IBN65503 ILJ65479:ILJ65503 IVF65479:IVF65503 JFB65479:JFB65503 JOX65479:JOX65503 JYT65479:JYT65503 KIP65479:KIP65503 KSL65479:KSL65503 LCH65479:LCH65503 LMD65479:LMD65503 LVZ65479:LVZ65503 MFV65479:MFV65503 MPR65479:MPR65503 MZN65479:MZN65503 NJJ65479:NJJ65503 NTF65479:NTF65503 ODB65479:ODB65503 OMX65479:OMX65503 OWT65479:OWT65503 PGP65479:PGP65503 PQL65479:PQL65503 QAH65479:QAH65503 QKD65479:QKD65503 QTZ65479:QTZ65503 RDV65479:RDV65503 RNR65479:RNR65503 RXN65479:RXN65503 SHJ65479:SHJ65503 SRF65479:SRF65503 TBB65479:TBB65503 TKX65479:TKX65503 TUT65479:TUT65503 UEP65479:UEP65503 UOL65479:UOL65503 UYH65479:UYH65503 VID65479:VID65503 VRZ65479:VRZ65503 WBV65479:WBV65503 WLR65479:WLR65503 WVN65479:WVN65503 C131015:C131039 JB131015:JB131039 SX131015:SX131039 ACT131015:ACT131039 AMP131015:AMP131039 AWL131015:AWL131039 BGH131015:BGH131039 BQD131015:BQD131039 BZZ131015:BZZ131039 CJV131015:CJV131039 CTR131015:CTR131039 DDN131015:DDN131039 DNJ131015:DNJ131039 DXF131015:DXF131039 EHB131015:EHB131039 EQX131015:EQX131039 FAT131015:FAT131039 FKP131015:FKP131039 FUL131015:FUL131039 GEH131015:GEH131039 GOD131015:GOD131039 GXZ131015:GXZ131039 HHV131015:HHV131039 HRR131015:HRR131039 IBN131015:IBN131039 ILJ131015:ILJ131039 IVF131015:IVF131039 JFB131015:JFB131039 JOX131015:JOX131039 JYT131015:JYT131039 KIP131015:KIP131039 KSL131015:KSL131039 LCH131015:LCH131039 LMD131015:LMD131039 LVZ131015:LVZ131039 MFV131015:MFV131039 MPR131015:MPR131039 MZN131015:MZN131039 NJJ131015:NJJ131039 NTF131015:NTF131039 ODB131015:ODB131039 OMX131015:OMX131039 OWT131015:OWT131039 PGP131015:PGP131039 PQL131015:PQL131039 QAH131015:QAH131039 QKD131015:QKD131039 QTZ131015:QTZ131039 RDV131015:RDV131039 RNR131015:RNR131039 RXN131015:RXN131039 SHJ131015:SHJ131039 SRF131015:SRF131039 TBB131015:TBB131039 TKX131015:TKX131039 TUT131015:TUT131039 UEP131015:UEP131039 UOL131015:UOL131039 UYH131015:UYH131039 VID131015:VID131039 VRZ131015:VRZ131039 WBV131015:WBV131039 WLR131015:WLR131039 WVN131015:WVN131039 C196551:C196575 JB196551:JB196575 SX196551:SX196575 ACT196551:ACT196575 AMP196551:AMP196575 AWL196551:AWL196575 BGH196551:BGH196575 BQD196551:BQD196575 BZZ196551:BZZ196575 CJV196551:CJV196575 CTR196551:CTR196575 DDN196551:DDN196575 DNJ196551:DNJ196575 DXF196551:DXF196575 EHB196551:EHB196575 EQX196551:EQX196575 FAT196551:FAT196575 FKP196551:FKP196575 FUL196551:FUL196575 GEH196551:GEH196575 GOD196551:GOD196575 GXZ196551:GXZ196575 HHV196551:HHV196575 HRR196551:HRR196575 IBN196551:IBN196575 ILJ196551:ILJ196575 IVF196551:IVF196575 JFB196551:JFB196575 JOX196551:JOX196575 JYT196551:JYT196575 KIP196551:KIP196575 KSL196551:KSL196575 LCH196551:LCH196575 LMD196551:LMD196575 LVZ196551:LVZ196575 MFV196551:MFV196575 MPR196551:MPR196575 MZN196551:MZN196575 NJJ196551:NJJ196575 NTF196551:NTF196575 ODB196551:ODB196575 OMX196551:OMX196575 OWT196551:OWT196575 PGP196551:PGP196575 PQL196551:PQL196575 QAH196551:QAH196575 QKD196551:QKD196575 QTZ196551:QTZ196575 RDV196551:RDV196575 RNR196551:RNR196575 RXN196551:RXN196575 SHJ196551:SHJ196575 SRF196551:SRF196575 TBB196551:TBB196575 TKX196551:TKX196575 TUT196551:TUT196575 UEP196551:UEP196575 UOL196551:UOL196575 UYH196551:UYH196575 VID196551:VID196575 VRZ196551:VRZ196575 WBV196551:WBV196575 WLR196551:WLR196575 WVN196551:WVN196575 C262087:C262111 JB262087:JB262111 SX262087:SX262111 ACT262087:ACT262111 AMP262087:AMP262111 AWL262087:AWL262111 BGH262087:BGH262111 BQD262087:BQD262111 BZZ262087:BZZ262111 CJV262087:CJV262111 CTR262087:CTR262111 DDN262087:DDN262111 DNJ262087:DNJ262111 DXF262087:DXF262111 EHB262087:EHB262111 EQX262087:EQX262111 FAT262087:FAT262111 FKP262087:FKP262111 FUL262087:FUL262111 GEH262087:GEH262111 GOD262087:GOD262111 GXZ262087:GXZ262111 HHV262087:HHV262111 HRR262087:HRR262111 IBN262087:IBN262111 ILJ262087:ILJ262111 IVF262087:IVF262111 JFB262087:JFB262111 JOX262087:JOX262111 JYT262087:JYT262111 KIP262087:KIP262111 KSL262087:KSL262111 LCH262087:LCH262111 LMD262087:LMD262111 LVZ262087:LVZ262111 MFV262087:MFV262111 MPR262087:MPR262111 MZN262087:MZN262111 NJJ262087:NJJ262111 NTF262087:NTF262111 ODB262087:ODB262111 OMX262087:OMX262111 OWT262087:OWT262111 PGP262087:PGP262111 PQL262087:PQL262111 QAH262087:QAH262111 QKD262087:QKD262111 QTZ262087:QTZ262111 RDV262087:RDV262111 RNR262087:RNR262111 RXN262087:RXN262111 SHJ262087:SHJ262111 SRF262087:SRF262111 TBB262087:TBB262111 TKX262087:TKX262111 TUT262087:TUT262111 UEP262087:UEP262111 UOL262087:UOL262111 UYH262087:UYH262111 VID262087:VID262111 VRZ262087:VRZ262111 WBV262087:WBV262111 WLR262087:WLR262111 WVN262087:WVN262111 C327623:C327647 JB327623:JB327647 SX327623:SX327647 ACT327623:ACT327647 AMP327623:AMP327647 AWL327623:AWL327647 BGH327623:BGH327647 BQD327623:BQD327647 BZZ327623:BZZ327647 CJV327623:CJV327647 CTR327623:CTR327647 DDN327623:DDN327647 DNJ327623:DNJ327647 DXF327623:DXF327647 EHB327623:EHB327647 EQX327623:EQX327647 FAT327623:FAT327647 FKP327623:FKP327647 FUL327623:FUL327647 GEH327623:GEH327647 GOD327623:GOD327647 GXZ327623:GXZ327647 HHV327623:HHV327647 HRR327623:HRR327647 IBN327623:IBN327647 ILJ327623:ILJ327647 IVF327623:IVF327647 JFB327623:JFB327647 JOX327623:JOX327647 JYT327623:JYT327647 KIP327623:KIP327647 KSL327623:KSL327647 LCH327623:LCH327647 LMD327623:LMD327647 LVZ327623:LVZ327647 MFV327623:MFV327647 MPR327623:MPR327647 MZN327623:MZN327647 NJJ327623:NJJ327647 NTF327623:NTF327647 ODB327623:ODB327647 OMX327623:OMX327647 OWT327623:OWT327647 PGP327623:PGP327647 PQL327623:PQL327647 QAH327623:QAH327647 QKD327623:QKD327647 QTZ327623:QTZ327647 RDV327623:RDV327647 RNR327623:RNR327647 RXN327623:RXN327647 SHJ327623:SHJ327647 SRF327623:SRF327647 TBB327623:TBB327647 TKX327623:TKX327647 TUT327623:TUT327647 UEP327623:UEP327647 UOL327623:UOL327647 UYH327623:UYH327647 VID327623:VID327647 VRZ327623:VRZ327647 WBV327623:WBV327647 WLR327623:WLR327647 WVN327623:WVN327647 C393159:C393183 JB393159:JB393183 SX393159:SX393183 ACT393159:ACT393183 AMP393159:AMP393183 AWL393159:AWL393183 BGH393159:BGH393183 BQD393159:BQD393183 BZZ393159:BZZ393183 CJV393159:CJV393183 CTR393159:CTR393183 DDN393159:DDN393183 DNJ393159:DNJ393183 DXF393159:DXF393183 EHB393159:EHB393183 EQX393159:EQX393183 FAT393159:FAT393183 FKP393159:FKP393183 FUL393159:FUL393183 GEH393159:GEH393183 GOD393159:GOD393183 GXZ393159:GXZ393183 HHV393159:HHV393183 HRR393159:HRR393183 IBN393159:IBN393183 ILJ393159:ILJ393183 IVF393159:IVF393183 JFB393159:JFB393183 JOX393159:JOX393183 JYT393159:JYT393183 KIP393159:KIP393183 KSL393159:KSL393183 LCH393159:LCH393183 LMD393159:LMD393183 LVZ393159:LVZ393183 MFV393159:MFV393183 MPR393159:MPR393183 MZN393159:MZN393183 NJJ393159:NJJ393183 NTF393159:NTF393183 ODB393159:ODB393183 OMX393159:OMX393183 OWT393159:OWT393183 PGP393159:PGP393183 PQL393159:PQL393183 QAH393159:QAH393183 QKD393159:QKD393183 QTZ393159:QTZ393183 RDV393159:RDV393183 RNR393159:RNR393183 RXN393159:RXN393183 SHJ393159:SHJ393183 SRF393159:SRF393183 TBB393159:TBB393183 TKX393159:TKX393183 TUT393159:TUT393183 UEP393159:UEP393183 UOL393159:UOL393183 UYH393159:UYH393183 VID393159:VID393183 VRZ393159:VRZ393183 WBV393159:WBV393183 WLR393159:WLR393183 WVN393159:WVN393183 C458695:C458719 JB458695:JB458719 SX458695:SX458719 ACT458695:ACT458719 AMP458695:AMP458719 AWL458695:AWL458719 BGH458695:BGH458719 BQD458695:BQD458719 BZZ458695:BZZ458719 CJV458695:CJV458719 CTR458695:CTR458719 DDN458695:DDN458719 DNJ458695:DNJ458719 DXF458695:DXF458719 EHB458695:EHB458719 EQX458695:EQX458719 FAT458695:FAT458719 FKP458695:FKP458719 FUL458695:FUL458719 GEH458695:GEH458719 GOD458695:GOD458719 GXZ458695:GXZ458719 HHV458695:HHV458719 HRR458695:HRR458719 IBN458695:IBN458719 ILJ458695:ILJ458719 IVF458695:IVF458719 JFB458695:JFB458719 JOX458695:JOX458719 JYT458695:JYT458719 KIP458695:KIP458719 KSL458695:KSL458719 LCH458695:LCH458719 LMD458695:LMD458719 LVZ458695:LVZ458719 MFV458695:MFV458719 MPR458695:MPR458719 MZN458695:MZN458719 NJJ458695:NJJ458719 NTF458695:NTF458719 ODB458695:ODB458719 OMX458695:OMX458719 OWT458695:OWT458719 PGP458695:PGP458719 PQL458695:PQL458719 QAH458695:QAH458719 QKD458695:QKD458719 QTZ458695:QTZ458719 RDV458695:RDV458719 RNR458695:RNR458719 RXN458695:RXN458719 SHJ458695:SHJ458719 SRF458695:SRF458719 TBB458695:TBB458719 TKX458695:TKX458719 TUT458695:TUT458719 UEP458695:UEP458719 UOL458695:UOL458719 UYH458695:UYH458719 VID458695:VID458719 VRZ458695:VRZ458719 WBV458695:WBV458719 WLR458695:WLR458719 WVN458695:WVN458719 C524231:C524255 JB524231:JB524255 SX524231:SX524255 ACT524231:ACT524255 AMP524231:AMP524255 AWL524231:AWL524255 BGH524231:BGH524255 BQD524231:BQD524255 BZZ524231:BZZ524255 CJV524231:CJV524255 CTR524231:CTR524255 DDN524231:DDN524255 DNJ524231:DNJ524255 DXF524231:DXF524255 EHB524231:EHB524255 EQX524231:EQX524255 FAT524231:FAT524255 FKP524231:FKP524255 FUL524231:FUL524255 GEH524231:GEH524255 GOD524231:GOD524255 GXZ524231:GXZ524255 HHV524231:HHV524255 HRR524231:HRR524255 IBN524231:IBN524255 ILJ524231:ILJ524255 IVF524231:IVF524255 JFB524231:JFB524255 JOX524231:JOX524255 JYT524231:JYT524255 KIP524231:KIP524255 KSL524231:KSL524255 LCH524231:LCH524255 LMD524231:LMD524255 LVZ524231:LVZ524255 MFV524231:MFV524255 MPR524231:MPR524255 MZN524231:MZN524255 NJJ524231:NJJ524255 NTF524231:NTF524255 ODB524231:ODB524255 OMX524231:OMX524255 OWT524231:OWT524255 PGP524231:PGP524255 PQL524231:PQL524255 QAH524231:QAH524255 QKD524231:QKD524255 QTZ524231:QTZ524255 RDV524231:RDV524255 RNR524231:RNR524255 RXN524231:RXN524255 SHJ524231:SHJ524255 SRF524231:SRF524255 TBB524231:TBB524255 TKX524231:TKX524255 TUT524231:TUT524255 UEP524231:UEP524255 UOL524231:UOL524255 UYH524231:UYH524255 VID524231:VID524255 VRZ524231:VRZ524255 WBV524231:WBV524255 WLR524231:WLR524255 WVN524231:WVN524255 C589767:C589791 JB589767:JB589791 SX589767:SX589791 ACT589767:ACT589791 AMP589767:AMP589791 AWL589767:AWL589791 BGH589767:BGH589791 BQD589767:BQD589791 BZZ589767:BZZ589791 CJV589767:CJV589791 CTR589767:CTR589791 DDN589767:DDN589791 DNJ589767:DNJ589791 DXF589767:DXF589791 EHB589767:EHB589791 EQX589767:EQX589791 FAT589767:FAT589791 FKP589767:FKP589791 FUL589767:FUL589791 GEH589767:GEH589791 GOD589767:GOD589791 GXZ589767:GXZ589791 HHV589767:HHV589791 HRR589767:HRR589791 IBN589767:IBN589791 ILJ589767:ILJ589791 IVF589767:IVF589791 JFB589767:JFB589791 JOX589767:JOX589791 JYT589767:JYT589791 KIP589767:KIP589791 KSL589767:KSL589791 LCH589767:LCH589791 LMD589767:LMD589791 LVZ589767:LVZ589791 MFV589767:MFV589791 MPR589767:MPR589791 MZN589767:MZN589791 NJJ589767:NJJ589791 NTF589767:NTF589791 ODB589767:ODB589791 OMX589767:OMX589791 OWT589767:OWT589791 PGP589767:PGP589791 PQL589767:PQL589791 QAH589767:QAH589791 QKD589767:QKD589791 QTZ589767:QTZ589791 RDV589767:RDV589791 RNR589767:RNR589791 RXN589767:RXN589791 SHJ589767:SHJ589791 SRF589767:SRF589791 TBB589767:TBB589791 TKX589767:TKX589791 TUT589767:TUT589791 UEP589767:UEP589791 UOL589767:UOL589791 UYH589767:UYH589791 VID589767:VID589791 VRZ589767:VRZ589791 WBV589767:WBV589791 WLR589767:WLR589791 WVN589767:WVN589791 C655303:C655327 JB655303:JB655327 SX655303:SX655327 ACT655303:ACT655327 AMP655303:AMP655327 AWL655303:AWL655327 BGH655303:BGH655327 BQD655303:BQD655327 BZZ655303:BZZ655327 CJV655303:CJV655327 CTR655303:CTR655327 DDN655303:DDN655327 DNJ655303:DNJ655327 DXF655303:DXF655327 EHB655303:EHB655327 EQX655303:EQX655327 FAT655303:FAT655327 FKP655303:FKP655327 FUL655303:FUL655327 GEH655303:GEH655327 GOD655303:GOD655327 GXZ655303:GXZ655327 HHV655303:HHV655327 HRR655303:HRR655327 IBN655303:IBN655327 ILJ655303:ILJ655327 IVF655303:IVF655327 JFB655303:JFB655327 JOX655303:JOX655327 JYT655303:JYT655327 KIP655303:KIP655327 KSL655303:KSL655327 LCH655303:LCH655327 LMD655303:LMD655327 LVZ655303:LVZ655327 MFV655303:MFV655327 MPR655303:MPR655327 MZN655303:MZN655327 NJJ655303:NJJ655327 NTF655303:NTF655327 ODB655303:ODB655327 OMX655303:OMX655327 OWT655303:OWT655327 PGP655303:PGP655327 PQL655303:PQL655327 QAH655303:QAH655327 QKD655303:QKD655327 QTZ655303:QTZ655327 RDV655303:RDV655327 RNR655303:RNR655327 RXN655303:RXN655327 SHJ655303:SHJ655327 SRF655303:SRF655327 TBB655303:TBB655327 TKX655303:TKX655327 TUT655303:TUT655327 UEP655303:UEP655327 UOL655303:UOL655327 UYH655303:UYH655327 VID655303:VID655327 VRZ655303:VRZ655327 WBV655303:WBV655327 WLR655303:WLR655327 WVN655303:WVN655327 C720839:C720863 JB720839:JB720863 SX720839:SX720863 ACT720839:ACT720863 AMP720839:AMP720863 AWL720839:AWL720863 BGH720839:BGH720863 BQD720839:BQD720863 BZZ720839:BZZ720863 CJV720839:CJV720863 CTR720839:CTR720863 DDN720839:DDN720863 DNJ720839:DNJ720863 DXF720839:DXF720863 EHB720839:EHB720863 EQX720839:EQX720863 FAT720839:FAT720863 FKP720839:FKP720863 FUL720839:FUL720863 GEH720839:GEH720863 GOD720839:GOD720863 GXZ720839:GXZ720863 HHV720839:HHV720863 HRR720839:HRR720863 IBN720839:IBN720863 ILJ720839:ILJ720863 IVF720839:IVF720863 JFB720839:JFB720863 JOX720839:JOX720863 JYT720839:JYT720863 KIP720839:KIP720863 KSL720839:KSL720863 LCH720839:LCH720863 LMD720839:LMD720863 LVZ720839:LVZ720863 MFV720839:MFV720863 MPR720839:MPR720863 MZN720839:MZN720863 NJJ720839:NJJ720863 NTF720839:NTF720863 ODB720839:ODB720863 OMX720839:OMX720863 OWT720839:OWT720863 PGP720839:PGP720863 PQL720839:PQL720863 QAH720839:QAH720863 QKD720839:QKD720863 QTZ720839:QTZ720863 RDV720839:RDV720863 RNR720839:RNR720863 RXN720839:RXN720863 SHJ720839:SHJ720863 SRF720839:SRF720863 TBB720839:TBB720863 TKX720839:TKX720863 TUT720839:TUT720863 UEP720839:UEP720863 UOL720839:UOL720863 UYH720839:UYH720863 VID720839:VID720863 VRZ720839:VRZ720863 WBV720839:WBV720863 WLR720839:WLR720863 WVN720839:WVN720863 C786375:C786399 JB786375:JB786399 SX786375:SX786399 ACT786375:ACT786399 AMP786375:AMP786399 AWL786375:AWL786399 BGH786375:BGH786399 BQD786375:BQD786399 BZZ786375:BZZ786399 CJV786375:CJV786399 CTR786375:CTR786399 DDN786375:DDN786399 DNJ786375:DNJ786399 DXF786375:DXF786399 EHB786375:EHB786399 EQX786375:EQX786399 FAT786375:FAT786399 FKP786375:FKP786399 FUL786375:FUL786399 GEH786375:GEH786399 GOD786375:GOD786399 GXZ786375:GXZ786399 HHV786375:HHV786399 HRR786375:HRR786399 IBN786375:IBN786399 ILJ786375:ILJ786399 IVF786375:IVF786399 JFB786375:JFB786399 JOX786375:JOX786399 JYT786375:JYT786399 KIP786375:KIP786399 KSL786375:KSL786399 LCH786375:LCH786399 LMD786375:LMD786399 LVZ786375:LVZ786399 MFV786375:MFV786399 MPR786375:MPR786399 MZN786375:MZN786399 NJJ786375:NJJ786399 NTF786375:NTF786399 ODB786375:ODB786399 OMX786375:OMX786399 OWT786375:OWT786399 PGP786375:PGP786399 PQL786375:PQL786399 QAH786375:QAH786399 QKD786375:QKD786399 QTZ786375:QTZ786399 RDV786375:RDV786399 RNR786375:RNR786399 RXN786375:RXN786399 SHJ786375:SHJ786399 SRF786375:SRF786399 TBB786375:TBB786399 TKX786375:TKX786399 TUT786375:TUT786399 UEP786375:UEP786399 UOL786375:UOL786399 UYH786375:UYH786399 VID786375:VID786399 VRZ786375:VRZ786399 WBV786375:WBV786399 WLR786375:WLR786399 WVN786375:WVN786399 C851911:C851935 JB851911:JB851935 SX851911:SX851935 ACT851911:ACT851935 AMP851911:AMP851935 AWL851911:AWL851935 BGH851911:BGH851935 BQD851911:BQD851935 BZZ851911:BZZ851935 CJV851911:CJV851935 CTR851911:CTR851935 DDN851911:DDN851935 DNJ851911:DNJ851935 DXF851911:DXF851935 EHB851911:EHB851935 EQX851911:EQX851935 FAT851911:FAT851935 FKP851911:FKP851935 FUL851911:FUL851935 GEH851911:GEH851935 GOD851911:GOD851935 GXZ851911:GXZ851935 HHV851911:HHV851935 HRR851911:HRR851935 IBN851911:IBN851935 ILJ851911:ILJ851935 IVF851911:IVF851935 JFB851911:JFB851935 JOX851911:JOX851935 JYT851911:JYT851935 KIP851911:KIP851935 KSL851911:KSL851935 LCH851911:LCH851935 LMD851911:LMD851935 LVZ851911:LVZ851935 MFV851911:MFV851935 MPR851911:MPR851935 MZN851911:MZN851935 NJJ851911:NJJ851935 NTF851911:NTF851935 ODB851911:ODB851935 OMX851911:OMX851935 OWT851911:OWT851935 PGP851911:PGP851935 PQL851911:PQL851935 QAH851911:QAH851935 QKD851911:QKD851935 QTZ851911:QTZ851935 RDV851911:RDV851935 RNR851911:RNR851935 RXN851911:RXN851935 SHJ851911:SHJ851935 SRF851911:SRF851935 TBB851911:TBB851935 TKX851911:TKX851935 TUT851911:TUT851935 UEP851911:UEP851935 UOL851911:UOL851935 UYH851911:UYH851935 VID851911:VID851935 VRZ851911:VRZ851935 WBV851911:WBV851935 WLR851911:WLR851935 WVN851911:WVN851935 C917447:C917471 JB917447:JB917471 SX917447:SX917471 ACT917447:ACT917471 AMP917447:AMP917471 AWL917447:AWL917471 BGH917447:BGH917471 BQD917447:BQD917471 BZZ917447:BZZ917471 CJV917447:CJV917471 CTR917447:CTR917471 DDN917447:DDN917471 DNJ917447:DNJ917471 DXF917447:DXF917471 EHB917447:EHB917471 EQX917447:EQX917471 FAT917447:FAT917471 FKP917447:FKP917471 FUL917447:FUL917471 GEH917447:GEH917471 GOD917447:GOD917471 GXZ917447:GXZ917471 HHV917447:HHV917471 HRR917447:HRR917471 IBN917447:IBN917471 ILJ917447:ILJ917471 IVF917447:IVF917471 JFB917447:JFB917471 JOX917447:JOX917471 JYT917447:JYT917471 KIP917447:KIP917471 KSL917447:KSL917471 LCH917447:LCH917471 LMD917447:LMD917471 LVZ917447:LVZ917471 MFV917447:MFV917471 MPR917447:MPR917471 MZN917447:MZN917471 NJJ917447:NJJ917471 NTF917447:NTF917471 ODB917447:ODB917471 OMX917447:OMX917471 OWT917447:OWT917471 PGP917447:PGP917471 PQL917447:PQL917471 QAH917447:QAH917471 QKD917447:QKD917471 QTZ917447:QTZ917471 RDV917447:RDV917471 RNR917447:RNR917471 RXN917447:RXN917471 SHJ917447:SHJ917471 SRF917447:SRF917471 TBB917447:TBB917471 TKX917447:TKX917471 TUT917447:TUT917471 UEP917447:UEP917471 UOL917447:UOL917471 UYH917447:UYH917471 VID917447:VID917471 VRZ917447:VRZ917471 WBV917447:WBV917471 WLR917447:WLR917471 WVN917447:WVN917471 C982983:C983007 JB982983:JB983007 SX982983:SX983007 ACT982983:ACT983007 AMP982983:AMP983007 AWL982983:AWL983007 BGH982983:BGH983007 BQD982983:BQD983007 BZZ982983:BZZ983007 CJV982983:CJV983007 CTR982983:CTR983007 DDN982983:DDN983007 DNJ982983:DNJ983007 DXF982983:DXF983007 EHB982983:EHB983007 EQX982983:EQX983007 FAT982983:FAT983007 FKP982983:FKP983007 FUL982983:FUL983007 GEH982983:GEH983007 GOD982983:GOD983007 GXZ982983:GXZ983007 HHV982983:HHV983007 HRR982983:HRR983007 IBN982983:IBN983007 ILJ982983:ILJ983007 IVF982983:IVF983007 JFB982983:JFB983007 JOX982983:JOX983007 JYT982983:JYT983007 KIP982983:KIP983007 KSL982983:KSL983007 LCH982983:LCH983007 LMD982983:LMD983007 LVZ982983:LVZ983007 MFV982983:MFV983007 MPR982983:MPR983007 MZN982983:MZN983007 NJJ982983:NJJ983007 NTF982983:NTF983007 ODB982983:ODB983007 OMX982983:OMX983007 OWT982983:OWT983007 PGP982983:PGP983007 PQL982983:PQL983007 QAH982983:QAH983007 QKD982983:QKD983007 QTZ982983:QTZ983007 RDV982983:RDV983007 RNR982983:RNR983007 RXN982983:RXN983007 SHJ982983:SHJ983007 SRF982983:SRF983007 TBB982983:TBB983007 TKX982983:TKX983007 TUT982983:TUT983007 UEP982983:UEP983007 UOL982983:UOL983007 UYH982983:UYH983007 VID982983:VID983007 VRZ982983:VRZ983007 WBV982983:WBV983007 WLR982983:WLR983007 WVN982983:WVN983007">
      <formula1>"Project Intiation, Requirements, Solution Design, Detailed Design, Build, Test"</formula1>
    </dataValidation>
    <dataValidation type="list" allowBlank="1" showInputMessage="1" showErrorMessage="1" sqref="J131015:J131036 JD65479:JE65500 SZ65479:TA65500 ACV65479:ACW65500 AMR65479:AMS65500 AWN65479:AWO65500 BGJ65479:BGK65500 BQF65479:BQG65500 CAB65479:CAC65500 CJX65479:CJY65500 CTT65479:CTU65500 DDP65479:DDQ65500 DNL65479:DNM65500 DXH65479:DXI65500 EHD65479:EHE65500 EQZ65479:ERA65500 FAV65479:FAW65500 FKR65479:FKS65500 FUN65479:FUO65500 GEJ65479:GEK65500 GOF65479:GOG65500 GYB65479:GYC65500 HHX65479:HHY65500 HRT65479:HRU65500 IBP65479:IBQ65500 ILL65479:ILM65500 IVH65479:IVI65500 JFD65479:JFE65500 JOZ65479:JPA65500 JYV65479:JYW65500 KIR65479:KIS65500 KSN65479:KSO65500 LCJ65479:LCK65500 LMF65479:LMG65500 LWB65479:LWC65500 MFX65479:MFY65500 MPT65479:MPU65500 MZP65479:MZQ65500 NJL65479:NJM65500 NTH65479:NTI65500 ODD65479:ODE65500 OMZ65479:ONA65500 OWV65479:OWW65500 PGR65479:PGS65500 PQN65479:PQO65500 QAJ65479:QAK65500 QKF65479:QKG65500 QUB65479:QUC65500 RDX65479:RDY65500 RNT65479:RNU65500 RXP65479:RXQ65500 SHL65479:SHM65500 SRH65479:SRI65500 TBD65479:TBE65500 TKZ65479:TLA65500 TUV65479:TUW65500 UER65479:UES65500 UON65479:UOO65500 UYJ65479:UYK65500 VIF65479:VIG65500 VSB65479:VSC65500 WBX65479:WBY65500 WLT65479:WLU65500 WVP65479:WVQ65500 J196551:J196572 JD131015:JE131036 SZ131015:TA131036 ACV131015:ACW131036 AMR131015:AMS131036 AWN131015:AWO131036 BGJ131015:BGK131036 BQF131015:BQG131036 CAB131015:CAC131036 CJX131015:CJY131036 CTT131015:CTU131036 DDP131015:DDQ131036 DNL131015:DNM131036 DXH131015:DXI131036 EHD131015:EHE131036 EQZ131015:ERA131036 FAV131015:FAW131036 FKR131015:FKS131036 FUN131015:FUO131036 GEJ131015:GEK131036 GOF131015:GOG131036 GYB131015:GYC131036 HHX131015:HHY131036 HRT131015:HRU131036 IBP131015:IBQ131036 ILL131015:ILM131036 IVH131015:IVI131036 JFD131015:JFE131036 JOZ131015:JPA131036 JYV131015:JYW131036 KIR131015:KIS131036 KSN131015:KSO131036 LCJ131015:LCK131036 LMF131015:LMG131036 LWB131015:LWC131036 MFX131015:MFY131036 MPT131015:MPU131036 MZP131015:MZQ131036 NJL131015:NJM131036 NTH131015:NTI131036 ODD131015:ODE131036 OMZ131015:ONA131036 OWV131015:OWW131036 PGR131015:PGS131036 PQN131015:PQO131036 QAJ131015:QAK131036 QKF131015:QKG131036 QUB131015:QUC131036 RDX131015:RDY131036 RNT131015:RNU131036 RXP131015:RXQ131036 SHL131015:SHM131036 SRH131015:SRI131036 TBD131015:TBE131036 TKZ131015:TLA131036 TUV131015:TUW131036 UER131015:UES131036 UON131015:UOO131036 UYJ131015:UYK131036 VIF131015:VIG131036 VSB131015:VSC131036 WBX131015:WBY131036 WLT131015:WLU131036 WVP131015:WVQ131036 J262087:J262108 JD196551:JE196572 SZ196551:TA196572 ACV196551:ACW196572 AMR196551:AMS196572 AWN196551:AWO196572 BGJ196551:BGK196572 BQF196551:BQG196572 CAB196551:CAC196572 CJX196551:CJY196572 CTT196551:CTU196572 DDP196551:DDQ196572 DNL196551:DNM196572 DXH196551:DXI196572 EHD196551:EHE196572 EQZ196551:ERA196572 FAV196551:FAW196572 FKR196551:FKS196572 FUN196551:FUO196572 GEJ196551:GEK196572 GOF196551:GOG196572 GYB196551:GYC196572 HHX196551:HHY196572 HRT196551:HRU196572 IBP196551:IBQ196572 ILL196551:ILM196572 IVH196551:IVI196572 JFD196551:JFE196572 JOZ196551:JPA196572 JYV196551:JYW196572 KIR196551:KIS196572 KSN196551:KSO196572 LCJ196551:LCK196572 LMF196551:LMG196572 LWB196551:LWC196572 MFX196551:MFY196572 MPT196551:MPU196572 MZP196551:MZQ196572 NJL196551:NJM196572 NTH196551:NTI196572 ODD196551:ODE196572 OMZ196551:ONA196572 OWV196551:OWW196572 PGR196551:PGS196572 PQN196551:PQO196572 QAJ196551:QAK196572 QKF196551:QKG196572 QUB196551:QUC196572 RDX196551:RDY196572 RNT196551:RNU196572 RXP196551:RXQ196572 SHL196551:SHM196572 SRH196551:SRI196572 TBD196551:TBE196572 TKZ196551:TLA196572 TUV196551:TUW196572 UER196551:UES196572 UON196551:UOO196572 UYJ196551:UYK196572 VIF196551:VIG196572 VSB196551:VSC196572 WBX196551:WBY196572 WLT196551:WLU196572 WVP196551:WVQ196572 J327623:J327644 JD262087:JE262108 SZ262087:TA262108 ACV262087:ACW262108 AMR262087:AMS262108 AWN262087:AWO262108 BGJ262087:BGK262108 BQF262087:BQG262108 CAB262087:CAC262108 CJX262087:CJY262108 CTT262087:CTU262108 DDP262087:DDQ262108 DNL262087:DNM262108 DXH262087:DXI262108 EHD262087:EHE262108 EQZ262087:ERA262108 FAV262087:FAW262108 FKR262087:FKS262108 FUN262087:FUO262108 GEJ262087:GEK262108 GOF262087:GOG262108 GYB262087:GYC262108 HHX262087:HHY262108 HRT262087:HRU262108 IBP262087:IBQ262108 ILL262087:ILM262108 IVH262087:IVI262108 JFD262087:JFE262108 JOZ262087:JPA262108 JYV262087:JYW262108 KIR262087:KIS262108 KSN262087:KSO262108 LCJ262087:LCK262108 LMF262087:LMG262108 LWB262087:LWC262108 MFX262087:MFY262108 MPT262087:MPU262108 MZP262087:MZQ262108 NJL262087:NJM262108 NTH262087:NTI262108 ODD262087:ODE262108 OMZ262087:ONA262108 OWV262087:OWW262108 PGR262087:PGS262108 PQN262087:PQO262108 QAJ262087:QAK262108 QKF262087:QKG262108 QUB262087:QUC262108 RDX262087:RDY262108 RNT262087:RNU262108 RXP262087:RXQ262108 SHL262087:SHM262108 SRH262087:SRI262108 TBD262087:TBE262108 TKZ262087:TLA262108 TUV262087:TUW262108 UER262087:UES262108 UON262087:UOO262108 UYJ262087:UYK262108 VIF262087:VIG262108 VSB262087:VSC262108 WBX262087:WBY262108 WLT262087:WLU262108 WVP262087:WVQ262108 J393159:J393180 JD327623:JE327644 SZ327623:TA327644 ACV327623:ACW327644 AMR327623:AMS327644 AWN327623:AWO327644 BGJ327623:BGK327644 BQF327623:BQG327644 CAB327623:CAC327644 CJX327623:CJY327644 CTT327623:CTU327644 DDP327623:DDQ327644 DNL327623:DNM327644 DXH327623:DXI327644 EHD327623:EHE327644 EQZ327623:ERA327644 FAV327623:FAW327644 FKR327623:FKS327644 FUN327623:FUO327644 GEJ327623:GEK327644 GOF327623:GOG327644 GYB327623:GYC327644 HHX327623:HHY327644 HRT327623:HRU327644 IBP327623:IBQ327644 ILL327623:ILM327644 IVH327623:IVI327644 JFD327623:JFE327644 JOZ327623:JPA327644 JYV327623:JYW327644 KIR327623:KIS327644 KSN327623:KSO327644 LCJ327623:LCK327644 LMF327623:LMG327644 LWB327623:LWC327644 MFX327623:MFY327644 MPT327623:MPU327644 MZP327623:MZQ327644 NJL327623:NJM327644 NTH327623:NTI327644 ODD327623:ODE327644 OMZ327623:ONA327644 OWV327623:OWW327644 PGR327623:PGS327644 PQN327623:PQO327644 QAJ327623:QAK327644 QKF327623:QKG327644 QUB327623:QUC327644 RDX327623:RDY327644 RNT327623:RNU327644 RXP327623:RXQ327644 SHL327623:SHM327644 SRH327623:SRI327644 TBD327623:TBE327644 TKZ327623:TLA327644 TUV327623:TUW327644 UER327623:UES327644 UON327623:UOO327644 UYJ327623:UYK327644 VIF327623:VIG327644 VSB327623:VSC327644 WBX327623:WBY327644 WLT327623:WLU327644 WVP327623:WVQ327644 J458695:J458716 JD393159:JE393180 SZ393159:TA393180 ACV393159:ACW393180 AMR393159:AMS393180 AWN393159:AWO393180 BGJ393159:BGK393180 BQF393159:BQG393180 CAB393159:CAC393180 CJX393159:CJY393180 CTT393159:CTU393180 DDP393159:DDQ393180 DNL393159:DNM393180 DXH393159:DXI393180 EHD393159:EHE393180 EQZ393159:ERA393180 FAV393159:FAW393180 FKR393159:FKS393180 FUN393159:FUO393180 GEJ393159:GEK393180 GOF393159:GOG393180 GYB393159:GYC393180 HHX393159:HHY393180 HRT393159:HRU393180 IBP393159:IBQ393180 ILL393159:ILM393180 IVH393159:IVI393180 JFD393159:JFE393180 JOZ393159:JPA393180 JYV393159:JYW393180 KIR393159:KIS393180 KSN393159:KSO393180 LCJ393159:LCK393180 LMF393159:LMG393180 LWB393159:LWC393180 MFX393159:MFY393180 MPT393159:MPU393180 MZP393159:MZQ393180 NJL393159:NJM393180 NTH393159:NTI393180 ODD393159:ODE393180 OMZ393159:ONA393180 OWV393159:OWW393180 PGR393159:PGS393180 PQN393159:PQO393180 QAJ393159:QAK393180 QKF393159:QKG393180 QUB393159:QUC393180 RDX393159:RDY393180 RNT393159:RNU393180 RXP393159:RXQ393180 SHL393159:SHM393180 SRH393159:SRI393180 TBD393159:TBE393180 TKZ393159:TLA393180 TUV393159:TUW393180 UER393159:UES393180 UON393159:UOO393180 UYJ393159:UYK393180 VIF393159:VIG393180 VSB393159:VSC393180 WBX393159:WBY393180 WLT393159:WLU393180 WVP393159:WVQ393180 J524231:J524252 JD458695:JE458716 SZ458695:TA458716 ACV458695:ACW458716 AMR458695:AMS458716 AWN458695:AWO458716 BGJ458695:BGK458716 BQF458695:BQG458716 CAB458695:CAC458716 CJX458695:CJY458716 CTT458695:CTU458716 DDP458695:DDQ458716 DNL458695:DNM458716 DXH458695:DXI458716 EHD458695:EHE458716 EQZ458695:ERA458716 FAV458695:FAW458716 FKR458695:FKS458716 FUN458695:FUO458716 GEJ458695:GEK458716 GOF458695:GOG458716 GYB458695:GYC458716 HHX458695:HHY458716 HRT458695:HRU458716 IBP458695:IBQ458716 ILL458695:ILM458716 IVH458695:IVI458716 JFD458695:JFE458716 JOZ458695:JPA458716 JYV458695:JYW458716 KIR458695:KIS458716 KSN458695:KSO458716 LCJ458695:LCK458716 LMF458695:LMG458716 LWB458695:LWC458716 MFX458695:MFY458716 MPT458695:MPU458716 MZP458695:MZQ458716 NJL458695:NJM458716 NTH458695:NTI458716 ODD458695:ODE458716 OMZ458695:ONA458716 OWV458695:OWW458716 PGR458695:PGS458716 PQN458695:PQO458716 QAJ458695:QAK458716 QKF458695:QKG458716 QUB458695:QUC458716 RDX458695:RDY458716 RNT458695:RNU458716 RXP458695:RXQ458716 SHL458695:SHM458716 SRH458695:SRI458716 TBD458695:TBE458716 TKZ458695:TLA458716 TUV458695:TUW458716 UER458695:UES458716 UON458695:UOO458716 UYJ458695:UYK458716 VIF458695:VIG458716 VSB458695:VSC458716 WBX458695:WBY458716 WLT458695:WLU458716 WVP458695:WVQ458716 J589767:J589788 JD524231:JE524252 SZ524231:TA524252 ACV524231:ACW524252 AMR524231:AMS524252 AWN524231:AWO524252 BGJ524231:BGK524252 BQF524231:BQG524252 CAB524231:CAC524252 CJX524231:CJY524252 CTT524231:CTU524252 DDP524231:DDQ524252 DNL524231:DNM524252 DXH524231:DXI524252 EHD524231:EHE524252 EQZ524231:ERA524252 FAV524231:FAW524252 FKR524231:FKS524252 FUN524231:FUO524252 GEJ524231:GEK524252 GOF524231:GOG524252 GYB524231:GYC524252 HHX524231:HHY524252 HRT524231:HRU524252 IBP524231:IBQ524252 ILL524231:ILM524252 IVH524231:IVI524252 JFD524231:JFE524252 JOZ524231:JPA524252 JYV524231:JYW524252 KIR524231:KIS524252 KSN524231:KSO524252 LCJ524231:LCK524252 LMF524231:LMG524252 LWB524231:LWC524252 MFX524231:MFY524252 MPT524231:MPU524252 MZP524231:MZQ524252 NJL524231:NJM524252 NTH524231:NTI524252 ODD524231:ODE524252 OMZ524231:ONA524252 OWV524231:OWW524252 PGR524231:PGS524252 PQN524231:PQO524252 QAJ524231:QAK524252 QKF524231:QKG524252 QUB524231:QUC524252 RDX524231:RDY524252 RNT524231:RNU524252 RXP524231:RXQ524252 SHL524231:SHM524252 SRH524231:SRI524252 TBD524231:TBE524252 TKZ524231:TLA524252 TUV524231:TUW524252 UER524231:UES524252 UON524231:UOO524252 UYJ524231:UYK524252 VIF524231:VIG524252 VSB524231:VSC524252 WBX524231:WBY524252 WLT524231:WLU524252 WVP524231:WVQ524252 J655303:J655324 JD589767:JE589788 SZ589767:TA589788 ACV589767:ACW589788 AMR589767:AMS589788 AWN589767:AWO589788 BGJ589767:BGK589788 BQF589767:BQG589788 CAB589767:CAC589788 CJX589767:CJY589788 CTT589767:CTU589788 DDP589767:DDQ589788 DNL589767:DNM589788 DXH589767:DXI589788 EHD589767:EHE589788 EQZ589767:ERA589788 FAV589767:FAW589788 FKR589767:FKS589788 FUN589767:FUO589788 GEJ589767:GEK589788 GOF589767:GOG589788 GYB589767:GYC589788 HHX589767:HHY589788 HRT589767:HRU589788 IBP589767:IBQ589788 ILL589767:ILM589788 IVH589767:IVI589788 JFD589767:JFE589788 JOZ589767:JPA589788 JYV589767:JYW589788 KIR589767:KIS589788 KSN589767:KSO589788 LCJ589767:LCK589788 LMF589767:LMG589788 LWB589767:LWC589788 MFX589767:MFY589788 MPT589767:MPU589788 MZP589767:MZQ589788 NJL589767:NJM589788 NTH589767:NTI589788 ODD589767:ODE589788 OMZ589767:ONA589788 OWV589767:OWW589788 PGR589767:PGS589788 PQN589767:PQO589788 QAJ589767:QAK589788 QKF589767:QKG589788 QUB589767:QUC589788 RDX589767:RDY589788 RNT589767:RNU589788 RXP589767:RXQ589788 SHL589767:SHM589788 SRH589767:SRI589788 TBD589767:TBE589788 TKZ589767:TLA589788 TUV589767:TUW589788 UER589767:UES589788 UON589767:UOO589788 UYJ589767:UYK589788 VIF589767:VIG589788 VSB589767:VSC589788 WBX589767:WBY589788 WLT589767:WLU589788 WVP589767:WVQ589788 J720839:J720860 JD655303:JE655324 SZ655303:TA655324 ACV655303:ACW655324 AMR655303:AMS655324 AWN655303:AWO655324 BGJ655303:BGK655324 BQF655303:BQG655324 CAB655303:CAC655324 CJX655303:CJY655324 CTT655303:CTU655324 DDP655303:DDQ655324 DNL655303:DNM655324 DXH655303:DXI655324 EHD655303:EHE655324 EQZ655303:ERA655324 FAV655303:FAW655324 FKR655303:FKS655324 FUN655303:FUO655324 GEJ655303:GEK655324 GOF655303:GOG655324 GYB655303:GYC655324 HHX655303:HHY655324 HRT655303:HRU655324 IBP655303:IBQ655324 ILL655303:ILM655324 IVH655303:IVI655324 JFD655303:JFE655324 JOZ655303:JPA655324 JYV655303:JYW655324 KIR655303:KIS655324 KSN655303:KSO655324 LCJ655303:LCK655324 LMF655303:LMG655324 LWB655303:LWC655324 MFX655303:MFY655324 MPT655303:MPU655324 MZP655303:MZQ655324 NJL655303:NJM655324 NTH655303:NTI655324 ODD655303:ODE655324 OMZ655303:ONA655324 OWV655303:OWW655324 PGR655303:PGS655324 PQN655303:PQO655324 QAJ655303:QAK655324 QKF655303:QKG655324 QUB655303:QUC655324 RDX655303:RDY655324 RNT655303:RNU655324 RXP655303:RXQ655324 SHL655303:SHM655324 SRH655303:SRI655324 TBD655303:TBE655324 TKZ655303:TLA655324 TUV655303:TUW655324 UER655303:UES655324 UON655303:UOO655324 UYJ655303:UYK655324 VIF655303:VIG655324 VSB655303:VSC655324 WBX655303:WBY655324 WLT655303:WLU655324 WVP655303:WVQ655324 J786375:J786396 JD720839:JE720860 SZ720839:TA720860 ACV720839:ACW720860 AMR720839:AMS720860 AWN720839:AWO720860 BGJ720839:BGK720860 BQF720839:BQG720860 CAB720839:CAC720860 CJX720839:CJY720860 CTT720839:CTU720860 DDP720839:DDQ720860 DNL720839:DNM720860 DXH720839:DXI720860 EHD720839:EHE720860 EQZ720839:ERA720860 FAV720839:FAW720860 FKR720839:FKS720860 FUN720839:FUO720860 GEJ720839:GEK720860 GOF720839:GOG720860 GYB720839:GYC720860 HHX720839:HHY720860 HRT720839:HRU720860 IBP720839:IBQ720860 ILL720839:ILM720860 IVH720839:IVI720860 JFD720839:JFE720860 JOZ720839:JPA720860 JYV720839:JYW720860 KIR720839:KIS720860 KSN720839:KSO720860 LCJ720839:LCK720860 LMF720839:LMG720860 LWB720839:LWC720860 MFX720839:MFY720860 MPT720839:MPU720860 MZP720839:MZQ720860 NJL720839:NJM720860 NTH720839:NTI720860 ODD720839:ODE720860 OMZ720839:ONA720860 OWV720839:OWW720860 PGR720839:PGS720860 PQN720839:PQO720860 QAJ720839:QAK720860 QKF720839:QKG720860 QUB720839:QUC720860 RDX720839:RDY720860 RNT720839:RNU720860 RXP720839:RXQ720860 SHL720839:SHM720860 SRH720839:SRI720860 TBD720839:TBE720860 TKZ720839:TLA720860 TUV720839:TUW720860 UER720839:UES720860 UON720839:UOO720860 UYJ720839:UYK720860 VIF720839:VIG720860 VSB720839:VSC720860 WBX720839:WBY720860 WLT720839:WLU720860 WVP720839:WVQ720860 J851911:J851932 JD786375:JE786396 SZ786375:TA786396 ACV786375:ACW786396 AMR786375:AMS786396 AWN786375:AWO786396 BGJ786375:BGK786396 BQF786375:BQG786396 CAB786375:CAC786396 CJX786375:CJY786396 CTT786375:CTU786396 DDP786375:DDQ786396 DNL786375:DNM786396 DXH786375:DXI786396 EHD786375:EHE786396 EQZ786375:ERA786396 FAV786375:FAW786396 FKR786375:FKS786396 FUN786375:FUO786396 GEJ786375:GEK786396 GOF786375:GOG786396 GYB786375:GYC786396 HHX786375:HHY786396 HRT786375:HRU786396 IBP786375:IBQ786396 ILL786375:ILM786396 IVH786375:IVI786396 JFD786375:JFE786396 JOZ786375:JPA786396 JYV786375:JYW786396 KIR786375:KIS786396 KSN786375:KSO786396 LCJ786375:LCK786396 LMF786375:LMG786396 LWB786375:LWC786396 MFX786375:MFY786396 MPT786375:MPU786396 MZP786375:MZQ786396 NJL786375:NJM786396 NTH786375:NTI786396 ODD786375:ODE786396 OMZ786375:ONA786396 OWV786375:OWW786396 PGR786375:PGS786396 PQN786375:PQO786396 QAJ786375:QAK786396 QKF786375:QKG786396 QUB786375:QUC786396 RDX786375:RDY786396 RNT786375:RNU786396 RXP786375:RXQ786396 SHL786375:SHM786396 SRH786375:SRI786396 TBD786375:TBE786396 TKZ786375:TLA786396 TUV786375:TUW786396 UER786375:UES786396 UON786375:UOO786396 UYJ786375:UYK786396 VIF786375:VIG786396 VSB786375:VSC786396 WBX786375:WBY786396 WLT786375:WLU786396 WVP786375:WVQ786396 J917447:J917468 JD851911:JE851932 SZ851911:TA851932 ACV851911:ACW851932 AMR851911:AMS851932 AWN851911:AWO851932 BGJ851911:BGK851932 BQF851911:BQG851932 CAB851911:CAC851932 CJX851911:CJY851932 CTT851911:CTU851932 DDP851911:DDQ851932 DNL851911:DNM851932 DXH851911:DXI851932 EHD851911:EHE851932 EQZ851911:ERA851932 FAV851911:FAW851932 FKR851911:FKS851932 FUN851911:FUO851932 GEJ851911:GEK851932 GOF851911:GOG851932 GYB851911:GYC851932 HHX851911:HHY851932 HRT851911:HRU851932 IBP851911:IBQ851932 ILL851911:ILM851932 IVH851911:IVI851932 JFD851911:JFE851932 JOZ851911:JPA851932 JYV851911:JYW851932 KIR851911:KIS851932 KSN851911:KSO851932 LCJ851911:LCK851932 LMF851911:LMG851932 LWB851911:LWC851932 MFX851911:MFY851932 MPT851911:MPU851932 MZP851911:MZQ851932 NJL851911:NJM851932 NTH851911:NTI851932 ODD851911:ODE851932 OMZ851911:ONA851932 OWV851911:OWW851932 PGR851911:PGS851932 PQN851911:PQO851932 QAJ851911:QAK851932 QKF851911:QKG851932 QUB851911:QUC851932 RDX851911:RDY851932 RNT851911:RNU851932 RXP851911:RXQ851932 SHL851911:SHM851932 SRH851911:SRI851932 TBD851911:TBE851932 TKZ851911:TLA851932 TUV851911:TUW851932 UER851911:UES851932 UON851911:UOO851932 UYJ851911:UYK851932 VIF851911:VIG851932 VSB851911:VSC851932 WBX851911:WBY851932 WLT851911:WLU851932 WVP851911:WVQ851932 J982983:J983004 JD917447:JE917468 SZ917447:TA917468 ACV917447:ACW917468 AMR917447:AMS917468 AWN917447:AWO917468 BGJ917447:BGK917468 BQF917447:BQG917468 CAB917447:CAC917468 CJX917447:CJY917468 CTT917447:CTU917468 DDP917447:DDQ917468 DNL917447:DNM917468 DXH917447:DXI917468 EHD917447:EHE917468 EQZ917447:ERA917468 FAV917447:FAW917468 FKR917447:FKS917468 FUN917447:FUO917468 GEJ917447:GEK917468 GOF917447:GOG917468 GYB917447:GYC917468 HHX917447:HHY917468 HRT917447:HRU917468 IBP917447:IBQ917468 ILL917447:ILM917468 IVH917447:IVI917468 JFD917447:JFE917468 JOZ917447:JPA917468 JYV917447:JYW917468 KIR917447:KIS917468 KSN917447:KSO917468 LCJ917447:LCK917468 LMF917447:LMG917468 LWB917447:LWC917468 MFX917447:MFY917468 MPT917447:MPU917468 MZP917447:MZQ917468 NJL917447:NJM917468 NTH917447:NTI917468 ODD917447:ODE917468 OMZ917447:ONA917468 OWV917447:OWW917468 PGR917447:PGS917468 PQN917447:PQO917468 QAJ917447:QAK917468 QKF917447:QKG917468 QUB917447:QUC917468 RDX917447:RDY917468 RNT917447:RNU917468 RXP917447:RXQ917468 SHL917447:SHM917468 SRH917447:SRI917468 TBD917447:TBE917468 TKZ917447:TLA917468 TUV917447:TUW917468 UER917447:UES917468 UON917447:UOO917468 UYJ917447:UYK917468 VIF917447:VIG917468 VSB917447:VSC917468 WBX917447:WBY917468 WLT917447:WLU917468 WVP917447:WVQ917468 WVP982983:WVQ983004 JD982983:JE983004 SZ982983:TA983004 ACV982983:ACW983004 AMR982983:AMS983004 AWN982983:AWO983004 BGJ982983:BGK983004 BQF982983:BQG983004 CAB982983:CAC983004 CJX982983:CJY983004 CTT982983:CTU983004 DDP982983:DDQ983004 DNL982983:DNM983004 DXH982983:DXI983004 EHD982983:EHE983004 EQZ982983:ERA983004 FAV982983:FAW983004 FKR982983:FKS983004 FUN982983:FUO983004 GEJ982983:GEK983004 GOF982983:GOG983004 GYB982983:GYC983004 HHX982983:HHY983004 HRT982983:HRU983004 IBP982983:IBQ983004 ILL982983:ILM983004 IVH982983:IVI983004 JFD982983:JFE983004 JOZ982983:JPA983004 JYV982983:JYW983004 KIR982983:KIS983004 KSN982983:KSO983004 LCJ982983:LCK983004 LMF982983:LMG983004 LWB982983:LWC983004 MFX982983:MFY983004 MPT982983:MPU983004 MZP982983:MZQ983004 NJL982983:NJM983004 NTH982983:NTI983004 ODD982983:ODE983004 OMZ982983:ONA983004 OWV982983:OWW983004 PGR982983:PGS983004 PQN982983:PQO983004 QAJ982983:QAK983004 QKF982983:QKG983004 QUB982983:QUC983004 RDX982983:RDY983004 RNT982983:RNU983004 RXP982983:RXQ983004 SHL982983:SHM983004 SRH982983:SRI983004 TBD982983:TBE983004 TKZ982983:TLA983004 TUV982983:TUW983004 UER982983:UES983004 UON982983:UOO983004 UYJ982983:UYK983004 VIF982983:VIG983004 VSB982983:VSC983004 WBX982983:WBY983004 WLT982983:WLU983004 H982983:H983004 H917447:H917468 H851911:H851932 H786375:H786396 H720839:H720860 H655303:H655324 H589767:H589788 H524231:H524252 H458695:H458716 H393159:H393180 H327623:H327644 H262087:H262108 H196551:H196572 H131015:H131036 H65479:H65500 J65479:J65500">
      <formula1>"Low, Medium, High, Critical"</formula1>
    </dataValidation>
    <dataValidation type="list" allowBlank="1" showInputMessage="1" showErrorMessage="1" sqref="L65479:L65501 JG65479:JG65501 TC65479:TC65501 ACY65479:ACY65501 AMU65479:AMU65501 AWQ65479:AWQ65501 BGM65479:BGM65501 BQI65479:BQI65501 CAE65479:CAE65501 CKA65479:CKA65501 CTW65479:CTW65501 DDS65479:DDS65501 DNO65479:DNO65501 DXK65479:DXK65501 EHG65479:EHG65501 ERC65479:ERC65501 FAY65479:FAY65501 FKU65479:FKU65501 FUQ65479:FUQ65501 GEM65479:GEM65501 GOI65479:GOI65501 GYE65479:GYE65501 HIA65479:HIA65501 HRW65479:HRW65501 IBS65479:IBS65501 ILO65479:ILO65501 IVK65479:IVK65501 JFG65479:JFG65501 JPC65479:JPC65501 JYY65479:JYY65501 KIU65479:KIU65501 KSQ65479:KSQ65501 LCM65479:LCM65501 LMI65479:LMI65501 LWE65479:LWE65501 MGA65479:MGA65501 MPW65479:MPW65501 MZS65479:MZS65501 NJO65479:NJO65501 NTK65479:NTK65501 ODG65479:ODG65501 ONC65479:ONC65501 OWY65479:OWY65501 PGU65479:PGU65501 PQQ65479:PQQ65501 QAM65479:QAM65501 QKI65479:QKI65501 QUE65479:QUE65501 REA65479:REA65501 RNW65479:RNW65501 RXS65479:RXS65501 SHO65479:SHO65501 SRK65479:SRK65501 TBG65479:TBG65501 TLC65479:TLC65501 TUY65479:TUY65501 UEU65479:UEU65501 UOQ65479:UOQ65501 UYM65479:UYM65501 VII65479:VII65501 VSE65479:VSE65501 WCA65479:WCA65501 WLW65479:WLW65501 WVS65479:WVS65501 L131015:L131037 JG131015:JG131037 TC131015:TC131037 ACY131015:ACY131037 AMU131015:AMU131037 AWQ131015:AWQ131037 BGM131015:BGM131037 BQI131015:BQI131037 CAE131015:CAE131037 CKA131015:CKA131037 CTW131015:CTW131037 DDS131015:DDS131037 DNO131015:DNO131037 DXK131015:DXK131037 EHG131015:EHG131037 ERC131015:ERC131037 FAY131015:FAY131037 FKU131015:FKU131037 FUQ131015:FUQ131037 GEM131015:GEM131037 GOI131015:GOI131037 GYE131015:GYE131037 HIA131015:HIA131037 HRW131015:HRW131037 IBS131015:IBS131037 ILO131015:ILO131037 IVK131015:IVK131037 JFG131015:JFG131037 JPC131015:JPC131037 JYY131015:JYY131037 KIU131015:KIU131037 KSQ131015:KSQ131037 LCM131015:LCM131037 LMI131015:LMI131037 LWE131015:LWE131037 MGA131015:MGA131037 MPW131015:MPW131037 MZS131015:MZS131037 NJO131015:NJO131037 NTK131015:NTK131037 ODG131015:ODG131037 ONC131015:ONC131037 OWY131015:OWY131037 PGU131015:PGU131037 PQQ131015:PQQ131037 QAM131015:QAM131037 QKI131015:QKI131037 QUE131015:QUE131037 REA131015:REA131037 RNW131015:RNW131037 RXS131015:RXS131037 SHO131015:SHO131037 SRK131015:SRK131037 TBG131015:TBG131037 TLC131015:TLC131037 TUY131015:TUY131037 UEU131015:UEU131037 UOQ131015:UOQ131037 UYM131015:UYM131037 VII131015:VII131037 VSE131015:VSE131037 WCA131015:WCA131037 WLW131015:WLW131037 WVS131015:WVS131037 L196551:L196573 JG196551:JG196573 TC196551:TC196573 ACY196551:ACY196573 AMU196551:AMU196573 AWQ196551:AWQ196573 BGM196551:BGM196573 BQI196551:BQI196573 CAE196551:CAE196573 CKA196551:CKA196573 CTW196551:CTW196573 DDS196551:DDS196573 DNO196551:DNO196573 DXK196551:DXK196573 EHG196551:EHG196573 ERC196551:ERC196573 FAY196551:FAY196573 FKU196551:FKU196573 FUQ196551:FUQ196573 GEM196551:GEM196573 GOI196551:GOI196573 GYE196551:GYE196573 HIA196551:HIA196573 HRW196551:HRW196573 IBS196551:IBS196573 ILO196551:ILO196573 IVK196551:IVK196573 JFG196551:JFG196573 JPC196551:JPC196573 JYY196551:JYY196573 KIU196551:KIU196573 KSQ196551:KSQ196573 LCM196551:LCM196573 LMI196551:LMI196573 LWE196551:LWE196573 MGA196551:MGA196573 MPW196551:MPW196573 MZS196551:MZS196573 NJO196551:NJO196573 NTK196551:NTK196573 ODG196551:ODG196573 ONC196551:ONC196573 OWY196551:OWY196573 PGU196551:PGU196573 PQQ196551:PQQ196573 QAM196551:QAM196573 QKI196551:QKI196573 QUE196551:QUE196573 REA196551:REA196573 RNW196551:RNW196573 RXS196551:RXS196573 SHO196551:SHO196573 SRK196551:SRK196573 TBG196551:TBG196573 TLC196551:TLC196573 TUY196551:TUY196573 UEU196551:UEU196573 UOQ196551:UOQ196573 UYM196551:UYM196573 VII196551:VII196573 VSE196551:VSE196573 WCA196551:WCA196573 WLW196551:WLW196573 WVS196551:WVS196573 L262087:L262109 JG262087:JG262109 TC262087:TC262109 ACY262087:ACY262109 AMU262087:AMU262109 AWQ262087:AWQ262109 BGM262087:BGM262109 BQI262087:BQI262109 CAE262087:CAE262109 CKA262087:CKA262109 CTW262087:CTW262109 DDS262087:DDS262109 DNO262087:DNO262109 DXK262087:DXK262109 EHG262087:EHG262109 ERC262087:ERC262109 FAY262087:FAY262109 FKU262087:FKU262109 FUQ262087:FUQ262109 GEM262087:GEM262109 GOI262087:GOI262109 GYE262087:GYE262109 HIA262087:HIA262109 HRW262087:HRW262109 IBS262087:IBS262109 ILO262087:ILO262109 IVK262087:IVK262109 JFG262087:JFG262109 JPC262087:JPC262109 JYY262087:JYY262109 KIU262087:KIU262109 KSQ262087:KSQ262109 LCM262087:LCM262109 LMI262087:LMI262109 LWE262087:LWE262109 MGA262087:MGA262109 MPW262087:MPW262109 MZS262087:MZS262109 NJO262087:NJO262109 NTK262087:NTK262109 ODG262087:ODG262109 ONC262087:ONC262109 OWY262087:OWY262109 PGU262087:PGU262109 PQQ262087:PQQ262109 QAM262087:QAM262109 QKI262087:QKI262109 QUE262087:QUE262109 REA262087:REA262109 RNW262087:RNW262109 RXS262087:RXS262109 SHO262087:SHO262109 SRK262087:SRK262109 TBG262087:TBG262109 TLC262087:TLC262109 TUY262087:TUY262109 UEU262087:UEU262109 UOQ262087:UOQ262109 UYM262087:UYM262109 VII262087:VII262109 VSE262087:VSE262109 WCA262087:WCA262109 WLW262087:WLW262109 WVS262087:WVS262109 L327623:L327645 JG327623:JG327645 TC327623:TC327645 ACY327623:ACY327645 AMU327623:AMU327645 AWQ327623:AWQ327645 BGM327623:BGM327645 BQI327623:BQI327645 CAE327623:CAE327645 CKA327623:CKA327645 CTW327623:CTW327645 DDS327623:DDS327645 DNO327623:DNO327645 DXK327623:DXK327645 EHG327623:EHG327645 ERC327623:ERC327645 FAY327623:FAY327645 FKU327623:FKU327645 FUQ327623:FUQ327645 GEM327623:GEM327645 GOI327623:GOI327645 GYE327623:GYE327645 HIA327623:HIA327645 HRW327623:HRW327645 IBS327623:IBS327645 ILO327623:ILO327645 IVK327623:IVK327645 JFG327623:JFG327645 JPC327623:JPC327645 JYY327623:JYY327645 KIU327623:KIU327645 KSQ327623:KSQ327645 LCM327623:LCM327645 LMI327623:LMI327645 LWE327623:LWE327645 MGA327623:MGA327645 MPW327623:MPW327645 MZS327623:MZS327645 NJO327623:NJO327645 NTK327623:NTK327645 ODG327623:ODG327645 ONC327623:ONC327645 OWY327623:OWY327645 PGU327623:PGU327645 PQQ327623:PQQ327645 QAM327623:QAM327645 QKI327623:QKI327645 QUE327623:QUE327645 REA327623:REA327645 RNW327623:RNW327645 RXS327623:RXS327645 SHO327623:SHO327645 SRK327623:SRK327645 TBG327623:TBG327645 TLC327623:TLC327645 TUY327623:TUY327645 UEU327623:UEU327645 UOQ327623:UOQ327645 UYM327623:UYM327645 VII327623:VII327645 VSE327623:VSE327645 WCA327623:WCA327645 WLW327623:WLW327645 WVS327623:WVS327645 L393159:L393181 JG393159:JG393181 TC393159:TC393181 ACY393159:ACY393181 AMU393159:AMU393181 AWQ393159:AWQ393181 BGM393159:BGM393181 BQI393159:BQI393181 CAE393159:CAE393181 CKA393159:CKA393181 CTW393159:CTW393181 DDS393159:DDS393181 DNO393159:DNO393181 DXK393159:DXK393181 EHG393159:EHG393181 ERC393159:ERC393181 FAY393159:FAY393181 FKU393159:FKU393181 FUQ393159:FUQ393181 GEM393159:GEM393181 GOI393159:GOI393181 GYE393159:GYE393181 HIA393159:HIA393181 HRW393159:HRW393181 IBS393159:IBS393181 ILO393159:ILO393181 IVK393159:IVK393181 JFG393159:JFG393181 JPC393159:JPC393181 JYY393159:JYY393181 KIU393159:KIU393181 KSQ393159:KSQ393181 LCM393159:LCM393181 LMI393159:LMI393181 LWE393159:LWE393181 MGA393159:MGA393181 MPW393159:MPW393181 MZS393159:MZS393181 NJO393159:NJO393181 NTK393159:NTK393181 ODG393159:ODG393181 ONC393159:ONC393181 OWY393159:OWY393181 PGU393159:PGU393181 PQQ393159:PQQ393181 QAM393159:QAM393181 QKI393159:QKI393181 QUE393159:QUE393181 REA393159:REA393181 RNW393159:RNW393181 RXS393159:RXS393181 SHO393159:SHO393181 SRK393159:SRK393181 TBG393159:TBG393181 TLC393159:TLC393181 TUY393159:TUY393181 UEU393159:UEU393181 UOQ393159:UOQ393181 UYM393159:UYM393181 VII393159:VII393181 VSE393159:VSE393181 WCA393159:WCA393181 WLW393159:WLW393181 WVS393159:WVS393181 L458695:L458717 JG458695:JG458717 TC458695:TC458717 ACY458695:ACY458717 AMU458695:AMU458717 AWQ458695:AWQ458717 BGM458695:BGM458717 BQI458695:BQI458717 CAE458695:CAE458717 CKA458695:CKA458717 CTW458695:CTW458717 DDS458695:DDS458717 DNO458695:DNO458717 DXK458695:DXK458717 EHG458695:EHG458717 ERC458695:ERC458717 FAY458695:FAY458717 FKU458695:FKU458717 FUQ458695:FUQ458717 GEM458695:GEM458717 GOI458695:GOI458717 GYE458695:GYE458717 HIA458695:HIA458717 HRW458695:HRW458717 IBS458695:IBS458717 ILO458695:ILO458717 IVK458695:IVK458717 JFG458695:JFG458717 JPC458695:JPC458717 JYY458695:JYY458717 KIU458695:KIU458717 KSQ458695:KSQ458717 LCM458695:LCM458717 LMI458695:LMI458717 LWE458695:LWE458717 MGA458695:MGA458717 MPW458695:MPW458717 MZS458695:MZS458717 NJO458695:NJO458717 NTK458695:NTK458717 ODG458695:ODG458717 ONC458695:ONC458717 OWY458695:OWY458717 PGU458695:PGU458717 PQQ458695:PQQ458717 QAM458695:QAM458717 QKI458695:QKI458717 QUE458695:QUE458717 REA458695:REA458717 RNW458695:RNW458717 RXS458695:RXS458717 SHO458695:SHO458717 SRK458695:SRK458717 TBG458695:TBG458717 TLC458695:TLC458717 TUY458695:TUY458717 UEU458695:UEU458717 UOQ458695:UOQ458717 UYM458695:UYM458717 VII458695:VII458717 VSE458695:VSE458717 WCA458695:WCA458717 WLW458695:WLW458717 WVS458695:WVS458717 L524231:L524253 JG524231:JG524253 TC524231:TC524253 ACY524231:ACY524253 AMU524231:AMU524253 AWQ524231:AWQ524253 BGM524231:BGM524253 BQI524231:BQI524253 CAE524231:CAE524253 CKA524231:CKA524253 CTW524231:CTW524253 DDS524231:DDS524253 DNO524231:DNO524253 DXK524231:DXK524253 EHG524231:EHG524253 ERC524231:ERC524253 FAY524231:FAY524253 FKU524231:FKU524253 FUQ524231:FUQ524253 GEM524231:GEM524253 GOI524231:GOI524253 GYE524231:GYE524253 HIA524231:HIA524253 HRW524231:HRW524253 IBS524231:IBS524253 ILO524231:ILO524253 IVK524231:IVK524253 JFG524231:JFG524253 JPC524231:JPC524253 JYY524231:JYY524253 KIU524231:KIU524253 KSQ524231:KSQ524253 LCM524231:LCM524253 LMI524231:LMI524253 LWE524231:LWE524253 MGA524231:MGA524253 MPW524231:MPW524253 MZS524231:MZS524253 NJO524231:NJO524253 NTK524231:NTK524253 ODG524231:ODG524253 ONC524231:ONC524253 OWY524231:OWY524253 PGU524231:PGU524253 PQQ524231:PQQ524253 QAM524231:QAM524253 QKI524231:QKI524253 QUE524231:QUE524253 REA524231:REA524253 RNW524231:RNW524253 RXS524231:RXS524253 SHO524231:SHO524253 SRK524231:SRK524253 TBG524231:TBG524253 TLC524231:TLC524253 TUY524231:TUY524253 UEU524231:UEU524253 UOQ524231:UOQ524253 UYM524231:UYM524253 VII524231:VII524253 VSE524231:VSE524253 WCA524231:WCA524253 WLW524231:WLW524253 WVS524231:WVS524253 L589767:L589789 JG589767:JG589789 TC589767:TC589789 ACY589767:ACY589789 AMU589767:AMU589789 AWQ589767:AWQ589789 BGM589767:BGM589789 BQI589767:BQI589789 CAE589767:CAE589789 CKA589767:CKA589789 CTW589767:CTW589789 DDS589767:DDS589789 DNO589767:DNO589789 DXK589767:DXK589789 EHG589767:EHG589789 ERC589767:ERC589789 FAY589767:FAY589789 FKU589767:FKU589789 FUQ589767:FUQ589789 GEM589767:GEM589789 GOI589767:GOI589789 GYE589767:GYE589789 HIA589767:HIA589789 HRW589767:HRW589789 IBS589767:IBS589789 ILO589767:ILO589789 IVK589767:IVK589789 JFG589767:JFG589789 JPC589767:JPC589789 JYY589767:JYY589789 KIU589767:KIU589789 KSQ589767:KSQ589789 LCM589767:LCM589789 LMI589767:LMI589789 LWE589767:LWE589789 MGA589767:MGA589789 MPW589767:MPW589789 MZS589767:MZS589789 NJO589767:NJO589789 NTK589767:NTK589789 ODG589767:ODG589789 ONC589767:ONC589789 OWY589767:OWY589789 PGU589767:PGU589789 PQQ589767:PQQ589789 QAM589767:QAM589789 QKI589767:QKI589789 QUE589767:QUE589789 REA589767:REA589789 RNW589767:RNW589789 RXS589767:RXS589789 SHO589767:SHO589789 SRK589767:SRK589789 TBG589767:TBG589789 TLC589767:TLC589789 TUY589767:TUY589789 UEU589767:UEU589789 UOQ589767:UOQ589789 UYM589767:UYM589789 VII589767:VII589789 VSE589767:VSE589789 WCA589767:WCA589789 WLW589767:WLW589789 WVS589767:WVS589789 L655303:L655325 JG655303:JG655325 TC655303:TC655325 ACY655303:ACY655325 AMU655303:AMU655325 AWQ655303:AWQ655325 BGM655303:BGM655325 BQI655303:BQI655325 CAE655303:CAE655325 CKA655303:CKA655325 CTW655303:CTW655325 DDS655303:DDS655325 DNO655303:DNO655325 DXK655303:DXK655325 EHG655303:EHG655325 ERC655303:ERC655325 FAY655303:FAY655325 FKU655303:FKU655325 FUQ655303:FUQ655325 GEM655303:GEM655325 GOI655303:GOI655325 GYE655303:GYE655325 HIA655303:HIA655325 HRW655303:HRW655325 IBS655303:IBS655325 ILO655303:ILO655325 IVK655303:IVK655325 JFG655303:JFG655325 JPC655303:JPC655325 JYY655303:JYY655325 KIU655303:KIU655325 KSQ655303:KSQ655325 LCM655303:LCM655325 LMI655303:LMI655325 LWE655303:LWE655325 MGA655303:MGA655325 MPW655303:MPW655325 MZS655303:MZS655325 NJO655303:NJO655325 NTK655303:NTK655325 ODG655303:ODG655325 ONC655303:ONC655325 OWY655303:OWY655325 PGU655303:PGU655325 PQQ655303:PQQ655325 QAM655303:QAM655325 QKI655303:QKI655325 QUE655303:QUE655325 REA655303:REA655325 RNW655303:RNW655325 RXS655303:RXS655325 SHO655303:SHO655325 SRK655303:SRK655325 TBG655303:TBG655325 TLC655303:TLC655325 TUY655303:TUY655325 UEU655303:UEU655325 UOQ655303:UOQ655325 UYM655303:UYM655325 VII655303:VII655325 VSE655303:VSE655325 WCA655303:WCA655325 WLW655303:WLW655325 WVS655303:WVS655325 L720839:L720861 JG720839:JG720861 TC720839:TC720861 ACY720839:ACY720861 AMU720839:AMU720861 AWQ720839:AWQ720861 BGM720839:BGM720861 BQI720839:BQI720861 CAE720839:CAE720861 CKA720839:CKA720861 CTW720839:CTW720861 DDS720839:DDS720861 DNO720839:DNO720861 DXK720839:DXK720861 EHG720839:EHG720861 ERC720839:ERC720861 FAY720839:FAY720861 FKU720839:FKU720861 FUQ720839:FUQ720861 GEM720839:GEM720861 GOI720839:GOI720861 GYE720839:GYE720861 HIA720839:HIA720861 HRW720839:HRW720861 IBS720839:IBS720861 ILO720839:ILO720861 IVK720839:IVK720861 JFG720839:JFG720861 JPC720839:JPC720861 JYY720839:JYY720861 KIU720839:KIU720861 KSQ720839:KSQ720861 LCM720839:LCM720861 LMI720839:LMI720861 LWE720839:LWE720861 MGA720839:MGA720861 MPW720839:MPW720861 MZS720839:MZS720861 NJO720839:NJO720861 NTK720839:NTK720861 ODG720839:ODG720861 ONC720839:ONC720861 OWY720839:OWY720861 PGU720839:PGU720861 PQQ720839:PQQ720861 QAM720839:QAM720861 QKI720839:QKI720861 QUE720839:QUE720861 REA720839:REA720861 RNW720839:RNW720861 RXS720839:RXS720861 SHO720839:SHO720861 SRK720839:SRK720861 TBG720839:TBG720861 TLC720839:TLC720861 TUY720839:TUY720861 UEU720839:UEU720861 UOQ720839:UOQ720861 UYM720839:UYM720861 VII720839:VII720861 VSE720839:VSE720861 WCA720839:WCA720861 WLW720839:WLW720861 WVS720839:WVS720861 L786375:L786397 JG786375:JG786397 TC786375:TC786397 ACY786375:ACY786397 AMU786375:AMU786397 AWQ786375:AWQ786397 BGM786375:BGM786397 BQI786375:BQI786397 CAE786375:CAE786397 CKA786375:CKA786397 CTW786375:CTW786397 DDS786375:DDS786397 DNO786375:DNO786397 DXK786375:DXK786397 EHG786375:EHG786397 ERC786375:ERC786397 FAY786375:FAY786397 FKU786375:FKU786397 FUQ786375:FUQ786397 GEM786375:GEM786397 GOI786375:GOI786397 GYE786375:GYE786397 HIA786375:HIA786397 HRW786375:HRW786397 IBS786375:IBS786397 ILO786375:ILO786397 IVK786375:IVK786397 JFG786375:JFG786397 JPC786375:JPC786397 JYY786375:JYY786397 KIU786375:KIU786397 KSQ786375:KSQ786397 LCM786375:LCM786397 LMI786375:LMI786397 LWE786375:LWE786397 MGA786375:MGA786397 MPW786375:MPW786397 MZS786375:MZS786397 NJO786375:NJO786397 NTK786375:NTK786397 ODG786375:ODG786397 ONC786375:ONC786397 OWY786375:OWY786397 PGU786375:PGU786397 PQQ786375:PQQ786397 QAM786375:QAM786397 QKI786375:QKI786397 QUE786375:QUE786397 REA786375:REA786397 RNW786375:RNW786397 RXS786375:RXS786397 SHO786375:SHO786397 SRK786375:SRK786397 TBG786375:TBG786397 TLC786375:TLC786397 TUY786375:TUY786397 UEU786375:UEU786397 UOQ786375:UOQ786397 UYM786375:UYM786397 VII786375:VII786397 VSE786375:VSE786397 WCA786375:WCA786397 WLW786375:WLW786397 WVS786375:WVS786397 L851911:L851933 JG851911:JG851933 TC851911:TC851933 ACY851911:ACY851933 AMU851911:AMU851933 AWQ851911:AWQ851933 BGM851911:BGM851933 BQI851911:BQI851933 CAE851911:CAE851933 CKA851911:CKA851933 CTW851911:CTW851933 DDS851911:DDS851933 DNO851911:DNO851933 DXK851911:DXK851933 EHG851911:EHG851933 ERC851911:ERC851933 FAY851911:FAY851933 FKU851911:FKU851933 FUQ851911:FUQ851933 GEM851911:GEM851933 GOI851911:GOI851933 GYE851911:GYE851933 HIA851911:HIA851933 HRW851911:HRW851933 IBS851911:IBS851933 ILO851911:ILO851933 IVK851911:IVK851933 JFG851911:JFG851933 JPC851911:JPC851933 JYY851911:JYY851933 KIU851911:KIU851933 KSQ851911:KSQ851933 LCM851911:LCM851933 LMI851911:LMI851933 LWE851911:LWE851933 MGA851911:MGA851933 MPW851911:MPW851933 MZS851911:MZS851933 NJO851911:NJO851933 NTK851911:NTK851933 ODG851911:ODG851933 ONC851911:ONC851933 OWY851911:OWY851933 PGU851911:PGU851933 PQQ851911:PQQ851933 QAM851911:QAM851933 QKI851911:QKI851933 QUE851911:QUE851933 REA851911:REA851933 RNW851911:RNW851933 RXS851911:RXS851933 SHO851911:SHO851933 SRK851911:SRK851933 TBG851911:TBG851933 TLC851911:TLC851933 TUY851911:TUY851933 UEU851911:UEU851933 UOQ851911:UOQ851933 UYM851911:UYM851933 VII851911:VII851933 VSE851911:VSE851933 WCA851911:WCA851933 WLW851911:WLW851933 WVS851911:WVS851933 L917447:L917469 JG917447:JG917469 TC917447:TC917469 ACY917447:ACY917469 AMU917447:AMU917469 AWQ917447:AWQ917469 BGM917447:BGM917469 BQI917447:BQI917469 CAE917447:CAE917469 CKA917447:CKA917469 CTW917447:CTW917469 DDS917447:DDS917469 DNO917447:DNO917469 DXK917447:DXK917469 EHG917447:EHG917469 ERC917447:ERC917469 FAY917447:FAY917469 FKU917447:FKU917469 FUQ917447:FUQ917469 GEM917447:GEM917469 GOI917447:GOI917469 GYE917447:GYE917469 HIA917447:HIA917469 HRW917447:HRW917469 IBS917447:IBS917469 ILO917447:ILO917469 IVK917447:IVK917469 JFG917447:JFG917469 JPC917447:JPC917469 JYY917447:JYY917469 KIU917447:KIU917469 KSQ917447:KSQ917469 LCM917447:LCM917469 LMI917447:LMI917469 LWE917447:LWE917469 MGA917447:MGA917469 MPW917447:MPW917469 MZS917447:MZS917469 NJO917447:NJO917469 NTK917447:NTK917469 ODG917447:ODG917469 ONC917447:ONC917469 OWY917447:OWY917469 PGU917447:PGU917469 PQQ917447:PQQ917469 QAM917447:QAM917469 QKI917447:QKI917469 QUE917447:QUE917469 REA917447:REA917469 RNW917447:RNW917469 RXS917447:RXS917469 SHO917447:SHO917469 SRK917447:SRK917469 TBG917447:TBG917469 TLC917447:TLC917469 TUY917447:TUY917469 UEU917447:UEU917469 UOQ917447:UOQ917469 UYM917447:UYM917469 VII917447:VII917469 VSE917447:VSE917469 WCA917447:WCA917469 WLW917447:WLW917469 WVS917447:WVS917469 L982983:L983005 JG982983:JG983005 TC982983:TC983005 ACY982983:ACY983005 AMU982983:AMU983005 AWQ982983:AWQ983005 BGM982983:BGM983005 BQI982983:BQI983005 CAE982983:CAE983005 CKA982983:CKA983005 CTW982983:CTW983005 DDS982983:DDS983005 DNO982983:DNO983005 DXK982983:DXK983005 EHG982983:EHG983005 ERC982983:ERC983005 FAY982983:FAY983005 FKU982983:FKU983005 FUQ982983:FUQ983005 GEM982983:GEM983005 GOI982983:GOI983005 GYE982983:GYE983005 HIA982983:HIA983005 HRW982983:HRW983005 IBS982983:IBS983005 ILO982983:ILO983005 IVK982983:IVK983005 JFG982983:JFG983005 JPC982983:JPC983005 JYY982983:JYY983005 KIU982983:KIU983005 KSQ982983:KSQ983005 LCM982983:LCM983005 LMI982983:LMI983005 LWE982983:LWE983005 MGA982983:MGA983005 MPW982983:MPW983005 MZS982983:MZS983005 NJO982983:NJO983005 NTK982983:NTK983005 ODG982983:ODG983005 ONC982983:ONC983005 OWY982983:OWY983005 PGU982983:PGU983005 PQQ982983:PQQ983005 QAM982983:QAM983005 QKI982983:QKI983005 QUE982983:QUE983005 REA982983:REA983005 RNW982983:RNW983005 RXS982983:RXS983005 SHO982983:SHO983005 SRK982983:SRK983005 TBG982983:TBG983005 TLC982983:TLC983005 TUY982983:TUY983005 UEU982983:UEU983005 UOQ982983:UOQ983005 UYM982983:UYM983005 VII982983:VII983005 VSE982983:VSE983005 WCA982983:WCA983005 WLW982983:WLW983005 WVS982983:WVS983005">
      <formula1>"Code,Build,Configuration,Data,Design,Environment,Requirement,Procedural"</formula1>
    </dataValidation>
    <dataValidation type="list" allowBlank="1" showInputMessage="1" showErrorMessage="1" sqref="D65479:G65500 JC65479:JC65500 SY65479:SY65500 ACU65479:ACU65500 AMQ65479:AMQ65500 AWM65479:AWM65500 BGI65479:BGI65500 BQE65479:BQE65500 CAA65479:CAA65500 CJW65479:CJW65500 CTS65479:CTS65500 DDO65479:DDO65500 DNK65479:DNK65500 DXG65479:DXG65500 EHC65479:EHC65500 EQY65479:EQY65500 FAU65479:FAU65500 FKQ65479:FKQ65500 FUM65479:FUM65500 GEI65479:GEI65500 GOE65479:GOE65500 GYA65479:GYA65500 HHW65479:HHW65500 HRS65479:HRS65500 IBO65479:IBO65500 ILK65479:ILK65500 IVG65479:IVG65500 JFC65479:JFC65500 JOY65479:JOY65500 JYU65479:JYU65500 KIQ65479:KIQ65500 KSM65479:KSM65500 LCI65479:LCI65500 LME65479:LME65500 LWA65479:LWA65500 MFW65479:MFW65500 MPS65479:MPS65500 MZO65479:MZO65500 NJK65479:NJK65500 NTG65479:NTG65500 ODC65479:ODC65500 OMY65479:OMY65500 OWU65479:OWU65500 PGQ65479:PGQ65500 PQM65479:PQM65500 QAI65479:QAI65500 QKE65479:QKE65500 QUA65479:QUA65500 RDW65479:RDW65500 RNS65479:RNS65500 RXO65479:RXO65500 SHK65479:SHK65500 SRG65479:SRG65500 TBC65479:TBC65500 TKY65479:TKY65500 TUU65479:TUU65500 UEQ65479:UEQ65500 UOM65479:UOM65500 UYI65479:UYI65500 VIE65479:VIE65500 VSA65479:VSA65500 WBW65479:WBW65500 WLS65479:WLS65500 WVO65479:WVO65500 D131015:G131036 JC131015:JC131036 SY131015:SY131036 ACU131015:ACU131036 AMQ131015:AMQ131036 AWM131015:AWM131036 BGI131015:BGI131036 BQE131015:BQE131036 CAA131015:CAA131036 CJW131015:CJW131036 CTS131015:CTS131036 DDO131015:DDO131036 DNK131015:DNK131036 DXG131015:DXG131036 EHC131015:EHC131036 EQY131015:EQY131036 FAU131015:FAU131036 FKQ131015:FKQ131036 FUM131015:FUM131036 GEI131015:GEI131036 GOE131015:GOE131036 GYA131015:GYA131036 HHW131015:HHW131036 HRS131015:HRS131036 IBO131015:IBO131036 ILK131015:ILK131036 IVG131015:IVG131036 JFC131015:JFC131036 JOY131015:JOY131036 JYU131015:JYU131036 KIQ131015:KIQ131036 KSM131015:KSM131036 LCI131015:LCI131036 LME131015:LME131036 LWA131015:LWA131036 MFW131015:MFW131036 MPS131015:MPS131036 MZO131015:MZO131036 NJK131015:NJK131036 NTG131015:NTG131036 ODC131015:ODC131036 OMY131015:OMY131036 OWU131015:OWU131036 PGQ131015:PGQ131036 PQM131015:PQM131036 QAI131015:QAI131036 QKE131015:QKE131036 QUA131015:QUA131036 RDW131015:RDW131036 RNS131015:RNS131036 RXO131015:RXO131036 SHK131015:SHK131036 SRG131015:SRG131036 TBC131015:TBC131036 TKY131015:TKY131036 TUU131015:TUU131036 UEQ131015:UEQ131036 UOM131015:UOM131036 UYI131015:UYI131036 VIE131015:VIE131036 VSA131015:VSA131036 WBW131015:WBW131036 WLS131015:WLS131036 WVO131015:WVO131036 D196551:G196572 JC196551:JC196572 SY196551:SY196572 ACU196551:ACU196572 AMQ196551:AMQ196572 AWM196551:AWM196572 BGI196551:BGI196572 BQE196551:BQE196572 CAA196551:CAA196572 CJW196551:CJW196572 CTS196551:CTS196572 DDO196551:DDO196572 DNK196551:DNK196572 DXG196551:DXG196572 EHC196551:EHC196572 EQY196551:EQY196572 FAU196551:FAU196572 FKQ196551:FKQ196572 FUM196551:FUM196572 GEI196551:GEI196572 GOE196551:GOE196572 GYA196551:GYA196572 HHW196551:HHW196572 HRS196551:HRS196572 IBO196551:IBO196572 ILK196551:ILK196572 IVG196551:IVG196572 JFC196551:JFC196572 JOY196551:JOY196572 JYU196551:JYU196572 KIQ196551:KIQ196572 KSM196551:KSM196572 LCI196551:LCI196572 LME196551:LME196572 LWA196551:LWA196572 MFW196551:MFW196572 MPS196551:MPS196572 MZO196551:MZO196572 NJK196551:NJK196572 NTG196551:NTG196572 ODC196551:ODC196572 OMY196551:OMY196572 OWU196551:OWU196572 PGQ196551:PGQ196572 PQM196551:PQM196572 QAI196551:QAI196572 QKE196551:QKE196572 QUA196551:QUA196572 RDW196551:RDW196572 RNS196551:RNS196572 RXO196551:RXO196572 SHK196551:SHK196572 SRG196551:SRG196572 TBC196551:TBC196572 TKY196551:TKY196572 TUU196551:TUU196572 UEQ196551:UEQ196572 UOM196551:UOM196572 UYI196551:UYI196572 VIE196551:VIE196572 VSA196551:VSA196572 WBW196551:WBW196572 WLS196551:WLS196572 WVO196551:WVO196572 D262087:G262108 JC262087:JC262108 SY262087:SY262108 ACU262087:ACU262108 AMQ262087:AMQ262108 AWM262087:AWM262108 BGI262087:BGI262108 BQE262087:BQE262108 CAA262087:CAA262108 CJW262087:CJW262108 CTS262087:CTS262108 DDO262087:DDO262108 DNK262087:DNK262108 DXG262087:DXG262108 EHC262087:EHC262108 EQY262087:EQY262108 FAU262087:FAU262108 FKQ262087:FKQ262108 FUM262087:FUM262108 GEI262087:GEI262108 GOE262087:GOE262108 GYA262087:GYA262108 HHW262087:HHW262108 HRS262087:HRS262108 IBO262087:IBO262108 ILK262087:ILK262108 IVG262087:IVG262108 JFC262087:JFC262108 JOY262087:JOY262108 JYU262087:JYU262108 KIQ262087:KIQ262108 KSM262087:KSM262108 LCI262087:LCI262108 LME262087:LME262108 LWA262087:LWA262108 MFW262087:MFW262108 MPS262087:MPS262108 MZO262087:MZO262108 NJK262087:NJK262108 NTG262087:NTG262108 ODC262087:ODC262108 OMY262087:OMY262108 OWU262087:OWU262108 PGQ262087:PGQ262108 PQM262087:PQM262108 QAI262087:QAI262108 QKE262087:QKE262108 QUA262087:QUA262108 RDW262087:RDW262108 RNS262087:RNS262108 RXO262087:RXO262108 SHK262087:SHK262108 SRG262087:SRG262108 TBC262087:TBC262108 TKY262087:TKY262108 TUU262087:TUU262108 UEQ262087:UEQ262108 UOM262087:UOM262108 UYI262087:UYI262108 VIE262087:VIE262108 VSA262087:VSA262108 WBW262087:WBW262108 WLS262087:WLS262108 WVO262087:WVO262108 D327623:G327644 JC327623:JC327644 SY327623:SY327644 ACU327623:ACU327644 AMQ327623:AMQ327644 AWM327623:AWM327644 BGI327623:BGI327644 BQE327623:BQE327644 CAA327623:CAA327644 CJW327623:CJW327644 CTS327623:CTS327644 DDO327623:DDO327644 DNK327623:DNK327644 DXG327623:DXG327644 EHC327623:EHC327644 EQY327623:EQY327644 FAU327623:FAU327644 FKQ327623:FKQ327644 FUM327623:FUM327644 GEI327623:GEI327644 GOE327623:GOE327644 GYA327623:GYA327644 HHW327623:HHW327644 HRS327623:HRS327644 IBO327623:IBO327644 ILK327623:ILK327644 IVG327623:IVG327644 JFC327623:JFC327644 JOY327623:JOY327644 JYU327623:JYU327644 KIQ327623:KIQ327644 KSM327623:KSM327644 LCI327623:LCI327644 LME327623:LME327644 LWA327623:LWA327644 MFW327623:MFW327644 MPS327623:MPS327644 MZO327623:MZO327644 NJK327623:NJK327644 NTG327623:NTG327644 ODC327623:ODC327644 OMY327623:OMY327644 OWU327623:OWU327644 PGQ327623:PGQ327644 PQM327623:PQM327644 QAI327623:QAI327644 QKE327623:QKE327644 QUA327623:QUA327644 RDW327623:RDW327644 RNS327623:RNS327644 RXO327623:RXO327644 SHK327623:SHK327644 SRG327623:SRG327644 TBC327623:TBC327644 TKY327623:TKY327644 TUU327623:TUU327644 UEQ327623:UEQ327644 UOM327623:UOM327644 UYI327623:UYI327644 VIE327623:VIE327644 VSA327623:VSA327644 WBW327623:WBW327644 WLS327623:WLS327644 WVO327623:WVO327644 D393159:G393180 JC393159:JC393180 SY393159:SY393180 ACU393159:ACU393180 AMQ393159:AMQ393180 AWM393159:AWM393180 BGI393159:BGI393180 BQE393159:BQE393180 CAA393159:CAA393180 CJW393159:CJW393180 CTS393159:CTS393180 DDO393159:DDO393180 DNK393159:DNK393180 DXG393159:DXG393180 EHC393159:EHC393180 EQY393159:EQY393180 FAU393159:FAU393180 FKQ393159:FKQ393180 FUM393159:FUM393180 GEI393159:GEI393180 GOE393159:GOE393180 GYA393159:GYA393180 HHW393159:HHW393180 HRS393159:HRS393180 IBO393159:IBO393180 ILK393159:ILK393180 IVG393159:IVG393180 JFC393159:JFC393180 JOY393159:JOY393180 JYU393159:JYU393180 KIQ393159:KIQ393180 KSM393159:KSM393180 LCI393159:LCI393180 LME393159:LME393180 LWA393159:LWA393180 MFW393159:MFW393180 MPS393159:MPS393180 MZO393159:MZO393180 NJK393159:NJK393180 NTG393159:NTG393180 ODC393159:ODC393180 OMY393159:OMY393180 OWU393159:OWU393180 PGQ393159:PGQ393180 PQM393159:PQM393180 QAI393159:QAI393180 QKE393159:QKE393180 QUA393159:QUA393180 RDW393159:RDW393180 RNS393159:RNS393180 RXO393159:RXO393180 SHK393159:SHK393180 SRG393159:SRG393180 TBC393159:TBC393180 TKY393159:TKY393180 TUU393159:TUU393180 UEQ393159:UEQ393180 UOM393159:UOM393180 UYI393159:UYI393180 VIE393159:VIE393180 VSA393159:VSA393180 WBW393159:WBW393180 WLS393159:WLS393180 WVO393159:WVO393180 D458695:G458716 JC458695:JC458716 SY458695:SY458716 ACU458695:ACU458716 AMQ458695:AMQ458716 AWM458695:AWM458716 BGI458695:BGI458716 BQE458695:BQE458716 CAA458695:CAA458716 CJW458695:CJW458716 CTS458695:CTS458716 DDO458695:DDO458716 DNK458695:DNK458716 DXG458695:DXG458716 EHC458695:EHC458716 EQY458695:EQY458716 FAU458695:FAU458716 FKQ458695:FKQ458716 FUM458695:FUM458716 GEI458695:GEI458716 GOE458695:GOE458716 GYA458695:GYA458716 HHW458695:HHW458716 HRS458695:HRS458716 IBO458695:IBO458716 ILK458695:ILK458716 IVG458695:IVG458716 JFC458695:JFC458716 JOY458695:JOY458716 JYU458695:JYU458716 KIQ458695:KIQ458716 KSM458695:KSM458716 LCI458695:LCI458716 LME458695:LME458716 LWA458695:LWA458716 MFW458695:MFW458716 MPS458695:MPS458716 MZO458695:MZO458716 NJK458695:NJK458716 NTG458695:NTG458716 ODC458695:ODC458716 OMY458695:OMY458716 OWU458695:OWU458716 PGQ458695:PGQ458716 PQM458695:PQM458716 QAI458695:QAI458716 QKE458695:QKE458716 QUA458695:QUA458716 RDW458695:RDW458716 RNS458695:RNS458716 RXO458695:RXO458716 SHK458695:SHK458716 SRG458695:SRG458716 TBC458695:TBC458716 TKY458695:TKY458716 TUU458695:TUU458716 UEQ458695:UEQ458716 UOM458695:UOM458716 UYI458695:UYI458716 VIE458695:VIE458716 VSA458695:VSA458716 WBW458695:WBW458716 WLS458695:WLS458716 WVO458695:WVO458716 D524231:G524252 JC524231:JC524252 SY524231:SY524252 ACU524231:ACU524252 AMQ524231:AMQ524252 AWM524231:AWM524252 BGI524231:BGI524252 BQE524231:BQE524252 CAA524231:CAA524252 CJW524231:CJW524252 CTS524231:CTS524252 DDO524231:DDO524252 DNK524231:DNK524252 DXG524231:DXG524252 EHC524231:EHC524252 EQY524231:EQY524252 FAU524231:FAU524252 FKQ524231:FKQ524252 FUM524231:FUM524252 GEI524231:GEI524252 GOE524231:GOE524252 GYA524231:GYA524252 HHW524231:HHW524252 HRS524231:HRS524252 IBO524231:IBO524252 ILK524231:ILK524252 IVG524231:IVG524252 JFC524231:JFC524252 JOY524231:JOY524252 JYU524231:JYU524252 KIQ524231:KIQ524252 KSM524231:KSM524252 LCI524231:LCI524252 LME524231:LME524252 LWA524231:LWA524252 MFW524231:MFW524252 MPS524231:MPS524252 MZO524231:MZO524252 NJK524231:NJK524252 NTG524231:NTG524252 ODC524231:ODC524252 OMY524231:OMY524252 OWU524231:OWU524252 PGQ524231:PGQ524252 PQM524231:PQM524252 QAI524231:QAI524252 QKE524231:QKE524252 QUA524231:QUA524252 RDW524231:RDW524252 RNS524231:RNS524252 RXO524231:RXO524252 SHK524231:SHK524252 SRG524231:SRG524252 TBC524231:TBC524252 TKY524231:TKY524252 TUU524231:TUU524252 UEQ524231:UEQ524252 UOM524231:UOM524252 UYI524231:UYI524252 VIE524231:VIE524252 VSA524231:VSA524252 WBW524231:WBW524252 WLS524231:WLS524252 WVO524231:WVO524252 D589767:G589788 JC589767:JC589788 SY589767:SY589788 ACU589767:ACU589788 AMQ589767:AMQ589788 AWM589767:AWM589788 BGI589767:BGI589788 BQE589767:BQE589788 CAA589767:CAA589788 CJW589767:CJW589788 CTS589767:CTS589788 DDO589767:DDO589788 DNK589767:DNK589788 DXG589767:DXG589788 EHC589767:EHC589788 EQY589767:EQY589788 FAU589767:FAU589788 FKQ589767:FKQ589788 FUM589767:FUM589788 GEI589767:GEI589788 GOE589767:GOE589788 GYA589767:GYA589788 HHW589767:HHW589788 HRS589767:HRS589788 IBO589767:IBO589788 ILK589767:ILK589788 IVG589767:IVG589788 JFC589767:JFC589788 JOY589767:JOY589788 JYU589767:JYU589788 KIQ589767:KIQ589788 KSM589767:KSM589788 LCI589767:LCI589788 LME589767:LME589788 LWA589767:LWA589788 MFW589767:MFW589788 MPS589767:MPS589788 MZO589767:MZO589788 NJK589767:NJK589788 NTG589767:NTG589788 ODC589767:ODC589788 OMY589767:OMY589788 OWU589767:OWU589788 PGQ589767:PGQ589788 PQM589767:PQM589788 QAI589767:QAI589788 QKE589767:QKE589788 QUA589767:QUA589788 RDW589767:RDW589788 RNS589767:RNS589788 RXO589767:RXO589788 SHK589767:SHK589788 SRG589767:SRG589788 TBC589767:TBC589788 TKY589767:TKY589788 TUU589767:TUU589788 UEQ589767:UEQ589788 UOM589767:UOM589788 UYI589767:UYI589788 VIE589767:VIE589788 VSA589767:VSA589788 WBW589767:WBW589788 WLS589767:WLS589788 WVO589767:WVO589788 D655303:G655324 JC655303:JC655324 SY655303:SY655324 ACU655303:ACU655324 AMQ655303:AMQ655324 AWM655303:AWM655324 BGI655303:BGI655324 BQE655303:BQE655324 CAA655303:CAA655324 CJW655303:CJW655324 CTS655303:CTS655324 DDO655303:DDO655324 DNK655303:DNK655324 DXG655303:DXG655324 EHC655303:EHC655324 EQY655303:EQY655324 FAU655303:FAU655324 FKQ655303:FKQ655324 FUM655303:FUM655324 GEI655303:GEI655324 GOE655303:GOE655324 GYA655303:GYA655324 HHW655303:HHW655324 HRS655303:HRS655324 IBO655303:IBO655324 ILK655303:ILK655324 IVG655303:IVG655324 JFC655303:JFC655324 JOY655303:JOY655324 JYU655303:JYU655324 KIQ655303:KIQ655324 KSM655303:KSM655324 LCI655303:LCI655324 LME655303:LME655324 LWA655303:LWA655324 MFW655303:MFW655324 MPS655303:MPS655324 MZO655303:MZO655324 NJK655303:NJK655324 NTG655303:NTG655324 ODC655303:ODC655324 OMY655303:OMY655324 OWU655303:OWU655324 PGQ655303:PGQ655324 PQM655303:PQM655324 QAI655303:QAI655324 QKE655303:QKE655324 QUA655303:QUA655324 RDW655303:RDW655324 RNS655303:RNS655324 RXO655303:RXO655324 SHK655303:SHK655324 SRG655303:SRG655324 TBC655303:TBC655324 TKY655303:TKY655324 TUU655303:TUU655324 UEQ655303:UEQ655324 UOM655303:UOM655324 UYI655303:UYI655324 VIE655303:VIE655324 VSA655303:VSA655324 WBW655303:WBW655324 WLS655303:WLS655324 WVO655303:WVO655324 D720839:G720860 JC720839:JC720860 SY720839:SY720860 ACU720839:ACU720860 AMQ720839:AMQ720860 AWM720839:AWM720860 BGI720839:BGI720860 BQE720839:BQE720860 CAA720839:CAA720860 CJW720839:CJW720860 CTS720839:CTS720860 DDO720839:DDO720860 DNK720839:DNK720860 DXG720839:DXG720860 EHC720839:EHC720860 EQY720839:EQY720860 FAU720839:FAU720860 FKQ720839:FKQ720860 FUM720839:FUM720860 GEI720839:GEI720860 GOE720839:GOE720860 GYA720839:GYA720860 HHW720839:HHW720860 HRS720839:HRS720860 IBO720839:IBO720860 ILK720839:ILK720860 IVG720839:IVG720860 JFC720839:JFC720860 JOY720839:JOY720860 JYU720839:JYU720860 KIQ720839:KIQ720860 KSM720839:KSM720860 LCI720839:LCI720860 LME720839:LME720860 LWA720839:LWA720860 MFW720839:MFW720860 MPS720839:MPS720860 MZO720839:MZO720860 NJK720839:NJK720860 NTG720839:NTG720860 ODC720839:ODC720860 OMY720839:OMY720860 OWU720839:OWU720860 PGQ720839:PGQ720860 PQM720839:PQM720860 QAI720839:QAI720860 QKE720839:QKE720860 QUA720839:QUA720860 RDW720839:RDW720860 RNS720839:RNS720860 RXO720839:RXO720860 SHK720839:SHK720860 SRG720839:SRG720860 TBC720839:TBC720860 TKY720839:TKY720860 TUU720839:TUU720860 UEQ720839:UEQ720860 UOM720839:UOM720860 UYI720839:UYI720860 VIE720839:VIE720860 VSA720839:VSA720860 WBW720839:WBW720860 WLS720839:WLS720860 WVO720839:WVO720860 D786375:G786396 JC786375:JC786396 SY786375:SY786396 ACU786375:ACU786396 AMQ786375:AMQ786396 AWM786375:AWM786396 BGI786375:BGI786396 BQE786375:BQE786396 CAA786375:CAA786396 CJW786375:CJW786396 CTS786375:CTS786396 DDO786375:DDO786396 DNK786375:DNK786396 DXG786375:DXG786396 EHC786375:EHC786396 EQY786375:EQY786396 FAU786375:FAU786396 FKQ786375:FKQ786396 FUM786375:FUM786396 GEI786375:GEI786396 GOE786375:GOE786396 GYA786375:GYA786396 HHW786375:HHW786396 HRS786375:HRS786396 IBO786375:IBO786396 ILK786375:ILK786396 IVG786375:IVG786396 JFC786375:JFC786396 JOY786375:JOY786396 JYU786375:JYU786396 KIQ786375:KIQ786396 KSM786375:KSM786396 LCI786375:LCI786396 LME786375:LME786396 LWA786375:LWA786396 MFW786375:MFW786396 MPS786375:MPS786396 MZO786375:MZO786396 NJK786375:NJK786396 NTG786375:NTG786396 ODC786375:ODC786396 OMY786375:OMY786396 OWU786375:OWU786396 PGQ786375:PGQ786396 PQM786375:PQM786396 QAI786375:QAI786396 QKE786375:QKE786396 QUA786375:QUA786396 RDW786375:RDW786396 RNS786375:RNS786396 RXO786375:RXO786396 SHK786375:SHK786396 SRG786375:SRG786396 TBC786375:TBC786396 TKY786375:TKY786396 TUU786375:TUU786396 UEQ786375:UEQ786396 UOM786375:UOM786396 UYI786375:UYI786396 VIE786375:VIE786396 VSA786375:VSA786396 WBW786375:WBW786396 WLS786375:WLS786396 WVO786375:WVO786396 D851911:G851932 JC851911:JC851932 SY851911:SY851932 ACU851911:ACU851932 AMQ851911:AMQ851932 AWM851911:AWM851932 BGI851911:BGI851932 BQE851911:BQE851932 CAA851911:CAA851932 CJW851911:CJW851932 CTS851911:CTS851932 DDO851911:DDO851932 DNK851911:DNK851932 DXG851911:DXG851932 EHC851911:EHC851932 EQY851911:EQY851932 FAU851911:FAU851932 FKQ851911:FKQ851932 FUM851911:FUM851932 GEI851911:GEI851932 GOE851911:GOE851932 GYA851911:GYA851932 HHW851911:HHW851932 HRS851911:HRS851932 IBO851911:IBO851932 ILK851911:ILK851932 IVG851911:IVG851932 JFC851911:JFC851932 JOY851911:JOY851932 JYU851911:JYU851932 KIQ851911:KIQ851932 KSM851911:KSM851932 LCI851911:LCI851932 LME851911:LME851932 LWA851911:LWA851932 MFW851911:MFW851932 MPS851911:MPS851932 MZO851911:MZO851932 NJK851911:NJK851932 NTG851911:NTG851932 ODC851911:ODC851932 OMY851911:OMY851932 OWU851911:OWU851932 PGQ851911:PGQ851932 PQM851911:PQM851932 QAI851911:QAI851932 QKE851911:QKE851932 QUA851911:QUA851932 RDW851911:RDW851932 RNS851911:RNS851932 RXO851911:RXO851932 SHK851911:SHK851932 SRG851911:SRG851932 TBC851911:TBC851932 TKY851911:TKY851932 TUU851911:TUU851932 UEQ851911:UEQ851932 UOM851911:UOM851932 UYI851911:UYI851932 VIE851911:VIE851932 VSA851911:VSA851932 WBW851911:WBW851932 WLS851911:WLS851932 WVO851911:WVO851932 D917447:G917468 JC917447:JC917468 SY917447:SY917468 ACU917447:ACU917468 AMQ917447:AMQ917468 AWM917447:AWM917468 BGI917447:BGI917468 BQE917447:BQE917468 CAA917447:CAA917468 CJW917447:CJW917468 CTS917447:CTS917468 DDO917447:DDO917468 DNK917447:DNK917468 DXG917447:DXG917468 EHC917447:EHC917468 EQY917447:EQY917468 FAU917447:FAU917468 FKQ917447:FKQ917468 FUM917447:FUM917468 GEI917447:GEI917468 GOE917447:GOE917468 GYA917447:GYA917468 HHW917447:HHW917468 HRS917447:HRS917468 IBO917447:IBO917468 ILK917447:ILK917468 IVG917447:IVG917468 JFC917447:JFC917468 JOY917447:JOY917468 JYU917447:JYU917468 KIQ917447:KIQ917468 KSM917447:KSM917468 LCI917447:LCI917468 LME917447:LME917468 LWA917447:LWA917468 MFW917447:MFW917468 MPS917447:MPS917468 MZO917447:MZO917468 NJK917447:NJK917468 NTG917447:NTG917468 ODC917447:ODC917468 OMY917447:OMY917468 OWU917447:OWU917468 PGQ917447:PGQ917468 PQM917447:PQM917468 QAI917447:QAI917468 QKE917447:QKE917468 QUA917447:QUA917468 RDW917447:RDW917468 RNS917447:RNS917468 RXO917447:RXO917468 SHK917447:SHK917468 SRG917447:SRG917468 TBC917447:TBC917468 TKY917447:TKY917468 TUU917447:TUU917468 UEQ917447:UEQ917468 UOM917447:UOM917468 UYI917447:UYI917468 VIE917447:VIE917468 VSA917447:VSA917468 WBW917447:WBW917468 WLS917447:WLS917468 WVO917447:WVO917468 D982983:G983004 JC982983:JC983004 SY982983:SY983004 ACU982983:ACU983004 AMQ982983:AMQ983004 AWM982983:AWM983004 BGI982983:BGI983004 BQE982983:BQE983004 CAA982983:CAA983004 CJW982983:CJW983004 CTS982983:CTS983004 DDO982983:DDO983004 DNK982983:DNK983004 DXG982983:DXG983004 EHC982983:EHC983004 EQY982983:EQY983004 FAU982983:FAU983004 FKQ982983:FKQ983004 FUM982983:FUM983004 GEI982983:GEI983004 GOE982983:GOE983004 GYA982983:GYA983004 HHW982983:HHW983004 HRS982983:HRS983004 IBO982983:IBO983004 ILK982983:ILK983004 IVG982983:IVG983004 JFC982983:JFC983004 JOY982983:JOY983004 JYU982983:JYU983004 KIQ982983:KIQ983004 KSM982983:KSM983004 LCI982983:LCI983004 LME982983:LME983004 LWA982983:LWA983004 MFW982983:MFW983004 MPS982983:MPS983004 MZO982983:MZO983004 NJK982983:NJK983004 NTG982983:NTG983004 ODC982983:ODC983004 OMY982983:OMY983004 OWU982983:OWU983004 PGQ982983:PGQ983004 PQM982983:PQM983004 QAI982983:QAI983004 QKE982983:QKE983004 QUA982983:QUA983004 RDW982983:RDW983004 RNS982983:RNS983004 RXO982983:RXO983004 SHK982983:SHK983004 SRG982983:SRG983004 TBC982983:TBC983004 TKY982983:TKY983004 TUU982983:TUU983004 UEQ982983:UEQ983004 UOM982983:UOM983004 UYI982983:UYI983004 VIE982983:VIE983004 VSA982983:VSA983004 WBW982983:WBW983004 WLS982983:WLS983004 WVO982983:WVO983004">
      <formula1>"Document Review,Code Review,Unit,Integration,System,Performance,User Acceptance,Beta"</formula1>
    </dataValidation>
    <dataValidation type="list" allowBlank="1" showInputMessage="1" showErrorMessage="1" sqref="N65479:N65502 JI65479:JI65502 TE65479:TE65502 ADA65479:ADA65502 AMW65479:AMW65502 AWS65479:AWS65502 BGO65479:BGO65502 BQK65479:BQK65502 CAG65479:CAG65502 CKC65479:CKC65502 CTY65479:CTY65502 DDU65479:DDU65502 DNQ65479:DNQ65502 DXM65479:DXM65502 EHI65479:EHI65502 ERE65479:ERE65502 FBA65479:FBA65502 FKW65479:FKW65502 FUS65479:FUS65502 GEO65479:GEO65502 GOK65479:GOK65502 GYG65479:GYG65502 HIC65479:HIC65502 HRY65479:HRY65502 IBU65479:IBU65502 ILQ65479:ILQ65502 IVM65479:IVM65502 JFI65479:JFI65502 JPE65479:JPE65502 JZA65479:JZA65502 KIW65479:KIW65502 KSS65479:KSS65502 LCO65479:LCO65502 LMK65479:LMK65502 LWG65479:LWG65502 MGC65479:MGC65502 MPY65479:MPY65502 MZU65479:MZU65502 NJQ65479:NJQ65502 NTM65479:NTM65502 ODI65479:ODI65502 ONE65479:ONE65502 OXA65479:OXA65502 PGW65479:PGW65502 PQS65479:PQS65502 QAO65479:QAO65502 QKK65479:QKK65502 QUG65479:QUG65502 REC65479:REC65502 RNY65479:RNY65502 RXU65479:RXU65502 SHQ65479:SHQ65502 SRM65479:SRM65502 TBI65479:TBI65502 TLE65479:TLE65502 TVA65479:TVA65502 UEW65479:UEW65502 UOS65479:UOS65502 UYO65479:UYO65502 VIK65479:VIK65502 VSG65479:VSG65502 WCC65479:WCC65502 WLY65479:WLY65502 WVU65479:WVU65502 N131015:N131038 JI131015:JI131038 TE131015:TE131038 ADA131015:ADA131038 AMW131015:AMW131038 AWS131015:AWS131038 BGO131015:BGO131038 BQK131015:BQK131038 CAG131015:CAG131038 CKC131015:CKC131038 CTY131015:CTY131038 DDU131015:DDU131038 DNQ131015:DNQ131038 DXM131015:DXM131038 EHI131015:EHI131038 ERE131015:ERE131038 FBA131015:FBA131038 FKW131015:FKW131038 FUS131015:FUS131038 GEO131015:GEO131038 GOK131015:GOK131038 GYG131015:GYG131038 HIC131015:HIC131038 HRY131015:HRY131038 IBU131015:IBU131038 ILQ131015:ILQ131038 IVM131015:IVM131038 JFI131015:JFI131038 JPE131015:JPE131038 JZA131015:JZA131038 KIW131015:KIW131038 KSS131015:KSS131038 LCO131015:LCO131038 LMK131015:LMK131038 LWG131015:LWG131038 MGC131015:MGC131038 MPY131015:MPY131038 MZU131015:MZU131038 NJQ131015:NJQ131038 NTM131015:NTM131038 ODI131015:ODI131038 ONE131015:ONE131038 OXA131015:OXA131038 PGW131015:PGW131038 PQS131015:PQS131038 QAO131015:QAO131038 QKK131015:QKK131038 QUG131015:QUG131038 REC131015:REC131038 RNY131015:RNY131038 RXU131015:RXU131038 SHQ131015:SHQ131038 SRM131015:SRM131038 TBI131015:TBI131038 TLE131015:TLE131038 TVA131015:TVA131038 UEW131015:UEW131038 UOS131015:UOS131038 UYO131015:UYO131038 VIK131015:VIK131038 VSG131015:VSG131038 WCC131015:WCC131038 WLY131015:WLY131038 WVU131015:WVU131038 N196551:N196574 JI196551:JI196574 TE196551:TE196574 ADA196551:ADA196574 AMW196551:AMW196574 AWS196551:AWS196574 BGO196551:BGO196574 BQK196551:BQK196574 CAG196551:CAG196574 CKC196551:CKC196574 CTY196551:CTY196574 DDU196551:DDU196574 DNQ196551:DNQ196574 DXM196551:DXM196574 EHI196551:EHI196574 ERE196551:ERE196574 FBA196551:FBA196574 FKW196551:FKW196574 FUS196551:FUS196574 GEO196551:GEO196574 GOK196551:GOK196574 GYG196551:GYG196574 HIC196551:HIC196574 HRY196551:HRY196574 IBU196551:IBU196574 ILQ196551:ILQ196574 IVM196551:IVM196574 JFI196551:JFI196574 JPE196551:JPE196574 JZA196551:JZA196574 KIW196551:KIW196574 KSS196551:KSS196574 LCO196551:LCO196574 LMK196551:LMK196574 LWG196551:LWG196574 MGC196551:MGC196574 MPY196551:MPY196574 MZU196551:MZU196574 NJQ196551:NJQ196574 NTM196551:NTM196574 ODI196551:ODI196574 ONE196551:ONE196574 OXA196551:OXA196574 PGW196551:PGW196574 PQS196551:PQS196574 QAO196551:QAO196574 QKK196551:QKK196574 QUG196551:QUG196574 REC196551:REC196574 RNY196551:RNY196574 RXU196551:RXU196574 SHQ196551:SHQ196574 SRM196551:SRM196574 TBI196551:TBI196574 TLE196551:TLE196574 TVA196551:TVA196574 UEW196551:UEW196574 UOS196551:UOS196574 UYO196551:UYO196574 VIK196551:VIK196574 VSG196551:VSG196574 WCC196551:WCC196574 WLY196551:WLY196574 WVU196551:WVU196574 N262087:N262110 JI262087:JI262110 TE262087:TE262110 ADA262087:ADA262110 AMW262087:AMW262110 AWS262087:AWS262110 BGO262087:BGO262110 BQK262087:BQK262110 CAG262087:CAG262110 CKC262087:CKC262110 CTY262087:CTY262110 DDU262087:DDU262110 DNQ262087:DNQ262110 DXM262087:DXM262110 EHI262087:EHI262110 ERE262087:ERE262110 FBA262087:FBA262110 FKW262087:FKW262110 FUS262087:FUS262110 GEO262087:GEO262110 GOK262087:GOK262110 GYG262087:GYG262110 HIC262087:HIC262110 HRY262087:HRY262110 IBU262087:IBU262110 ILQ262087:ILQ262110 IVM262087:IVM262110 JFI262087:JFI262110 JPE262087:JPE262110 JZA262087:JZA262110 KIW262087:KIW262110 KSS262087:KSS262110 LCO262087:LCO262110 LMK262087:LMK262110 LWG262087:LWG262110 MGC262087:MGC262110 MPY262087:MPY262110 MZU262087:MZU262110 NJQ262087:NJQ262110 NTM262087:NTM262110 ODI262087:ODI262110 ONE262087:ONE262110 OXA262087:OXA262110 PGW262087:PGW262110 PQS262087:PQS262110 QAO262087:QAO262110 QKK262087:QKK262110 QUG262087:QUG262110 REC262087:REC262110 RNY262087:RNY262110 RXU262087:RXU262110 SHQ262087:SHQ262110 SRM262087:SRM262110 TBI262087:TBI262110 TLE262087:TLE262110 TVA262087:TVA262110 UEW262087:UEW262110 UOS262087:UOS262110 UYO262087:UYO262110 VIK262087:VIK262110 VSG262087:VSG262110 WCC262087:WCC262110 WLY262087:WLY262110 WVU262087:WVU262110 N327623:N327646 JI327623:JI327646 TE327623:TE327646 ADA327623:ADA327646 AMW327623:AMW327646 AWS327623:AWS327646 BGO327623:BGO327646 BQK327623:BQK327646 CAG327623:CAG327646 CKC327623:CKC327646 CTY327623:CTY327646 DDU327623:DDU327646 DNQ327623:DNQ327646 DXM327623:DXM327646 EHI327623:EHI327646 ERE327623:ERE327646 FBA327623:FBA327646 FKW327623:FKW327646 FUS327623:FUS327646 GEO327623:GEO327646 GOK327623:GOK327646 GYG327623:GYG327646 HIC327623:HIC327646 HRY327623:HRY327646 IBU327623:IBU327646 ILQ327623:ILQ327646 IVM327623:IVM327646 JFI327623:JFI327646 JPE327623:JPE327646 JZA327623:JZA327646 KIW327623:KIW327646 KSS327623:KSS327646 LCO327623:LCO327646 LMK327623:LMK327646 LWG327623:LWG327646 MGC327623:MGC327646 MPY327623:MPY327646 MZU327623:MZU327646 NJQ327623:NJQ327646 NTM327623:NTM327646 ODI327623:ODI327646 ONE327623:ONE327646 OXA327623:OXA327646 PGW327623:PGW327646 PQS327623:PQS327646 QAO327623:QAO327646 QKK327623:QKK327646 QUG327623:QUG327646 REC327623:REC327646 RNY327623:RNY327646 RXU327623:RXU327646 SHQ327623:SHQ327646 SRM327623:SRM327646 TBI327623:TBI327646 TLE327623:TLE327646 TVA327623:TVA327646 UEW327623:UEW327646 UOS327623:UOS327646 UYO327623:UYO327646 VIK327623:VIK327646 VSG327623:VSG327646 WCC327623:WCC327646 WLY327623:WLY327646 WVU327623:WVU327646 N393159:N393182 JI393159:JI393182 TE393159:TE393182 ADA393159:ADA393182 AMW393159:AMW393182 AWS393159:AWS393182 BGO393159:BGO393182 BQK393159:BQK393182 CAG393159:CAG393182 CKC393159:CKC393182 CTY393159:CTY393182 DDU393159:DDU393182 DNQ393159:DNQ393182 DXM393159:DXM393182 EHI393159:EHI393182 ERE393159:ERE393182 FBA393159:FBA393182 FKW393159:FKW393182 FUS393159:FUS393182 GEO393159:GEO393182 GOK393159:GOK393182 GYG393159:GYG393182 HIC393159:HIC393182 HRY393159:HRY393182 IBU393159:IBU393182 ILQ393159:ILQ393182 IVM393159:IVM393182 JFI393159:JFI393182 JPE393159:JPE393182 JZA393159:JZA393182 KIW393159:KIW393182 KSS393159:KSS393182 LCO393159:LCO393182 LMK393159:LMK393182 LWG393159:LWG393182 MGC393159:MGC393182 MPY393159:MPY393182 MZU393159:MZU393182 NJQ393159:NJQ393182 NTM393159:NTM393182 ODI393159:ODI393182 ONE393159:ONE393182 OXA393159:OXA393182 PGW393159:PGW393182 PQS393159:PQS393182 QAO393159:QAO393182 QKK393159:QKK393182 QUG393159:QUG393182 REC393159:REC393182 RNY393159:RNY393182 RXU393159:RXU393182 SHQ393159:SHQ393182 SRM393159:SRM393182 TBI393159:TBI393182 TLE393159:TLE393182 TVA393159:TVA393182 UEW393159:UEW393182 UOS393159:UOS393182 UYO393159:UYO393182 VIK393159:VIK393182 VSG393159:VSG393182 WCC393159:WCC393182 WLY393159:WLY393182 WVU393159:WVU393182 N458695:N458718 JI458695:JI458718 TE458695:TE458718 ADA458695:ADA458718 AMW458695:AMW458718 AWS458695:AWS458718 BGO458695:BGO458718 BQK458695:BQK458718 CAG458695:CAG458718 CKC458695:CKC458718 CTY458695:CTY458718 DDU458695:DDU458718 DNQ458695:DNQ458718 DXM458695:DXM458718 EHI458695:EHI458718 ERE458695:ERE458718 FBA458695:FBA458718 FKW458695:FKW458718 FUS458695:FUS458718 GEO458695:GEO458718 GOK458695:GOK458718 GYG458695:GYG458718 HIC458695:HIC458718 HRY458695:HRY458718 IBU458695:IBU458718 ILQ458695:ILQ458718 IVM458695:IVM458718 JFI458695:JFI458718 JPE458695:JPE458718 JZA458695:JZA458718 KIW458695:KIW458718 KSS458695:KSS458718 LCO458695:LCO458718 LMK458695:LMK458718 LWG458695:LWG458718 MGC458695:MGC458718 MPY458695:MPY458718 MZU458695:MZU458718 NJQ458695:NJQ458718 NTM458695:NTM458718 ODI458695:ODI458718 ONE458695:ONE458718 OXA458695:OXA458718 PGW458695:PGW458718 PQS458695:PQS458718 QAO458695:QAO458718 QKK458695:QKK458718 QUG458695:QUG458718 REC458695:REC458718 RNY458695:RNY458718 RXU458695:RXU458718 SHQ458695:SHQ458718 SRM458695:SRM458718 TBI458695:TBI458718 TLE458695:TLE458718 TVA458695:TVA458718 UEW458695:UEW458718 UOS458695:UOS458718 UYO458695:UYO458718 VIK458695:VIK458718 VSG458695:VSG458718 WCC458695:WCC458718 WLY458695:WLY458718 WVU458695:WVU458718 N524231:N524254 JI524231:JI524254 TE524231:TE524254 ADA524231:ADA524254 AMW524231:AMW524254 AWS524231:AWS524254 BGO524231:BGO524254 BQK524231:BQK524254 CAG524231:CAG524254 CKC524231:CKC524254 CTY524231:CTY524254 DDU524231:DDU524254 DNQ524231:DNQ524254 DXM524231:DXM524254 EHI524231:EHI524254 ERE524231:ERE524254 FBA524231:FBA524254 FKW524231:FKW524254 FUS524231:FUS524254 GEO524231:GEO524254 GOK524231:GOK524254 GYG524231:GYG524254 HIC524231:HIC524254 HRY524231:HRY524254 IBU524231:IBU524254 ILQ524231:ILQ524254 IVM524231:IVM524254 JFI524231:JFI524254 JPE524231:JPE524254 JZA524231:JZA524254 KIW524231:KIW524254 KSS524231:KSS524254 LCO524231:LCO524254 LMK524231:LMK524254 LWG524231:LWG524254 MGC524231:MGC524254 MPY524231:MPY524254 MZU524231:MZU524254 NJQ524231:NJQ524254 NTM524231:NTM524254 ODI524231:ODI524254 ONE524231:ONE524254 OXA524231:OXA524254 PGW524231:PGW524254 PQS524231:PQS524254 QAO524231:QAO524254 QKK524231:QKK524254 QUG524231:QUG524254 REC524231:REC524254 RNY524231:RNY524254 RXU524231:RXU524254 SHQ524231:SHQ524254 SRM524231:SRM524254 TBI524231:TBI524254 TLE524231:TLE524254 TVA524231:TVA524254 UEW524231:UEW524254 UOS524231:UOS524254 UYO524231:UYO524254 VIK524231:VIK524254 VSG524231:VSG524254 WCC524231:WCC524254 WLY524231:WLY524254 WVU524231:WVU524254 N589767:N589790 JI589767:JI589790 TE589767:TE589790 ADA589767:ADA589790 AMW589767:AMW589790 AWS589767:AWS589790 BGO589767:BGO589790 BQK589767:BQK589790 CAG589767:CAG589790 CKC589767:CKC589790 CTY589767:CTY589790 DDU589767:DDU589790 DNQ589767:DNQ589790 DXM589767:DXM589790 EHI589767:EHI589790 ERE589767:ERE589790 FBA589767:FBA589790 FKW589767:FKW589790 FUS589767:FUS589790 GEO589767:GEO589790 GOK589767:GOK589790 GYG589767:GYG589790 HIC589767:HIC589790 HRY589767:HRY589790 IBU589767:IBU589790 ILQ589767:ILQ589790 IVM589767:IVM589790 JFI589767:JFI589790 JPE589767:JPE589790 JZA589767:JZA589790 KIW589767:KIW589790 KSS589767:KSS589790 LCO589767:LCO589790 LMK589767:LMK589790 LWG589767:LWG589790 MGC589767:MGC589790 MPY589767:MPY589790 MZU589767:MZU589790 NJQ589767:NJQ589790 NTM589767:NTM589790 ODI589767:ODI589790 ONE589767:ONE589790 OXA589767:OXA589790 PGW589767:PGW589790 PQS589767:PQS589790 QAO589767:QAO589790 QKK589767:QKK589790 QUG589767:QUG589790 REC589767:REC589790 RNY589767:RNY589790 RXU589767:RXU589790 SHQ589767:SHQ589790 SRM589767:SRM589790 TBI589767:TBI589790 TLE589767:TLE589790 TVA589767:TVA589790 UEW589767:UEW589790 UOS589767:UOS589790 UYO589767:UYO589790 VIK589767:VIK589790 VSG589767:VSG589790 WCC589767:WCC589790 WLY589767:WLY589790 WVU589767:WVU589790 N655303:N655326 JI655303:JI655326 TE655303:TE655326 ADA655303:ADA655326 AMW655303:AMW655326 AWS655303:AWS655326 BGO655303:BGO655326 BQK655303:BQK655326 CAG655303:CAG655326 CKC655303:CKC655326 CTY655303:CTY655326 DDU655303:DDU655326 DNQ655303:DNQ655326 DXM655303:DXM655326 EHI655303:EHI655326 ERE655303:ERE655326 FBA655303:FBA655326 FKW655303:FKW655326 FUS655303:FUS655326 GEO655303:GEO655326 GOK655303:GOK655326 GYG655303:GYG655326 HIC655303:HIC655326 HRY655303:HRY655326 IBU655303:IBU655326 ILQ655303:ILQ655326 IVM655303:IVM655326 JFI655303:JFI655326 JPE655303:JPE655326 JZA655303:JZA655326 KIW655303:KIW655326 KSS655303:KSS655326 LCO655303:LCO655326 LMK655303:LMK655326 LWG655303:LWG655326 MGC655303:MGC655326 MPY655303:MPY655326 MZU655303:MZU655326 NJQ655303:NJQ655326 NTM655303:NTM655326 ODI655303:ODI655326 ONE655303:ONE655326 OXA655303:OXA655326 PGW655303:PGW655326 PQS655303:PQS655326 QAO655303:QAO655326 QKK655303:QKK655326 QUG655303:QUG655326 REC655303:REC655326 RNY655303:RNY655326 RXU655303:RXU655326 SHQ655303:SHQ655326 SRM655303:SRM655326 TBI655303:TBI655326 TLE655303:TLE655326 TVA655303:TVA655326 UEW655303:UEW655326 UOS655303:UOS655326 UYO655303:UYO655326 VIK655303:VIK655326 VSG655303:VSG655326 WCC655303:WCC655326 WLY655303:WLY655326 WVU655303:WVU655326 N720839:N720862 JI720839:JI720862 TE720839:TE720862 ADA720839:ADA720862 AMW720839:AMW720862 AWS720839:AWS720862 BGO720839:BGO720862 BQK720839:BQK720862 CAG720839:CAG720862 CKC720839:CKC720862 CTY720839:CTY720862 DDU720839:DDU720862 DNQ720839:DNQ720862 DXM720839:DXM720862 EHI720839:EHI720862 ERE720839:ERE720862 FBA720839:FBA720862 FKW720839:FKW720862 FUS720839:FUS720862 GEO720839:GEO720862 GOK720839:GOK720862 GYG720839:GYG720862 HIC720839:HIC720862 HRY720839:HRY720862 IBU720839:IBU720862 ILQ720839:ILQ720862 IVM720839:IVM720862 JFI720839:JFI720862 JPE720839:JPE720862 JZA720839:JZA720862 KIW720839:KIW720862 KSS720839:KSS720862 LCO720839:LCO720862 LMK720839:LMK720862 LWG720839:LWG720862 MGC720839:MGC720862 MPY720839:MPY720862 MZU720839:MZU720862 NJQ720839:NJQ720862 NTM720839:NTM720862 ODI720839:ODI720862 ONE720839:ONE720862 OXA720839:OXA720862 PGW720839:PGW720862 PQS720839:PQS720862 QAO720839:QAO720862 QKK720839:QKK720862 QUG720839:QUG720862 REC720839:REC720862 RNY720839:RNY720862 RXU720839:RXU720862 SHQ720839:SHQ720862 SRM720839:SRM720862 TBI720839:TBI720862 TLE720839:TLE720862 TVA720839:TVA720862 UEW720839:UEW720862 UOS720839:UOS720862 UYO720839:UYO720862 VIK720839:VIK720862 VSG720839:VSG720862 WCC720839:WCC720862 WLY720839:WLY720862 WVU720839:WVU720862 N786375:N786398 JI786375:JI786398 TE786375:TE786398 ADA786375:ADA786398 AMW786375:AMW786398 AWS786375:AWS786398 BGO786375:BGO786398 BQK786375:BQK786398 CAG786375:CAG786398 CKC786375:CKC786398 CTY786375:CTY786398 DDU786375:DDU786398 DNQ786375:DNQ786398 DXM786375:DXM786398 EHI786375:EHI786398 ERE786375:ERE786398 FBA786375:FBA786398 FKW786375:FKW786398 FUS786375:FUS786398 GEO786375:GEO786398 GOK786375:GOK786398 GYG786375:GYG786398 HIC786375:HIC786398 HRY786375:HRY786398 IBU786375:IBU786398 ILQ786375:ILQ786398 IVM786375:IVM786398 JFI786375:JFI786398 JPE786375:JPE786398 JZA786375:JZA786398 KIW786375:KIW786398 KSS786375:KSS786398 LCO786375:LCO786398 LMK786375:LMK786398 LWG786375:LWG786398 MGC786375:MGC786398 MPY786375:MPY786398 MZU786375:MZU786398 NJQ786375:NJQ786398 NTM786375:NTM786398 ODI786375:ODI786398 ONE786375:ONE786398 OXA786375:OXA786398 PGW786375:PGW786398 PQS786375:PQS786398 QAO786375:QAO786398 QKK786375:QKK786398 QUG786375:QUG786398 REC786375:REC786398 RNY786375:RNY786398 RXU786375:RXU786398 SHQ786375:SHQ786398 SRM786375:SRM786398 TBI786375:TBI786398 TLE786375:TLE786398 TVA786375:TVA786398 UEW786375:UEW786398 UOS786375:UOS786398 UYO786375:UYO786398 VIK786375:VIK786398 VSG786375:VSG786398 WCC786375:WCC786398 WLY786375:WLY786398 WVU786375:WVU786398 N851911:N851934 JI851911:JI851934 TE851911:TE851934 ADA851911:ADA851934 AMW851911:AMW851934 AWS851911:AWS851934 BGO851911:BGO851934 BQK851911:BQK851934 CAG851911:CAG851934 CKC851911:CKC851934 CTY851911:CTY851934 DDU851911:DDU851934 DNQ851911:DNQ851934 DXM851911:DXM851934 EHI851911:EHI851934 ERE851911:ERE851934 FBA851911:FBA851934 FKW851911:FKW851934 FUS851911:FUS851934 GEO851911:GEO851934 GOK851911:GOK851934 GYG851911:GYG851934 HIC851911:HIC851934 HRY851911:HRY851934 IBU851911:IBU851934 ILQ851911:ILQ851934 IVM851911:IVM851934 JFI851911:JFI851934 JPE851911:JPE851934 JZA851911:JZA851934 KIW851911:KIW851934 KSS851911:KSS851934 LCO851911:LCO851934 LMK851911:LMK851934 LWG851911:LWG851934 MGC851911:MGC851934 MPY851911:MPY851934 MZU851911:MZU851934 NJQ851911:NJQ851934 NTM851911:NTM851934 ODI851911:ODI851934 ONE851911:ONE851934 OXA851911:OXA851934 PGW851911:PGW851934 PQS851911:PQS851934 QAO851911:QAO851934 QKK851911:QKK851934 QUG851911:QUG851934 REC851911:REC851934 RNY851911:RNY851934 RXU851911:RXU851934 SHQ851911:SHQ851934 SRM851911:SRM851934 TBI851911:TBI851934 TLE851911:TLE851934 TVA851911:TVA851934 UEW851911:UEW851934 UOS851911:UOS851934 UYO851911:UYO851934 VIK851911:VIK851934 VSG851911:VSG851934 WCC851911:WCC851934 WLY851911:WLY851934 WVU851911:WVU851934 N917447:N917470 JI917447:JI917470 TE917447:TE917470 ADA917447:ADA917470 AMW917447:AMW917470 AWS917447:AWS917470 BGO917447:BGO917470 BQK917447:BQK917470 CAG917447:CAG917470 CKC917447:CKC917470 CTY917447:CTY917470 DDU917447:DDU917470 DNQ917447:DNQ917470 DXM917447:DXM917470 EHI917447:EHI917470 ERE917447:ERE917470 FBA917447:FBA917470 FKW917447:FKW917470 FUS917447:FUS917470 GEO917447:GEO917470 GOK917447:GOK917470 GYG917447:GYG917470 HIC917447:HIC917470 HRY917447:HRY917470 IBU917447:IBU917470 ILQ917447:ILQ917470 IVM917447:IVM917470 JFI917447:JFI917470 JPE917447:JPE917470 JZA917447:JZA917470 KIW917447:KIW917470 KSS917447:KSS917470 LCO917447:LCO917470 LMK917447:LMK917470 LWG917447:LWG917470 MGC917447:MGC917470 MPY917447:MPY917470 MZU917447:MZU917470 NJQ917447:NJQ917470 NTM917447:NTM917470 ODI917447:ODI917470 ONE917447:ONE917470 OXA917447:OXA917470 PGW917447:PGW917470 PQS917447:PQS917470 QAO917447:QAO917470 QKK917447:QKK917470 QUG917447:QUG917470 REC917447:REC917470 RNY917447:RNY917470 RXU917447:RXU917470 SHQ917447:SHQ917470 SRM917447:SRM917470 TBI917447:TBI917470 TLE917447:TLE917470 TVA917447:TVA917470 UEW917447:UEW917470 UOS917447:UOS917470 UYO917447:UYO917470 VIK917447:VIK917470 VSG917447:VSG917470 WCC917447:WCC917470 WLY917447:WLY917470 WVU917447:WVU917470 N982983:N983006 JI982983:JI983006 TE982983:TE983006 ADA982983:ADA983006 AMW982983:AMW983006 AWS982983:AWS983006 BGO982983:BGO983006 BQK982983:BQK983006 CAG982983:CAG983006 CKC982983:CKC983006 CTY982983:CTY983006 DDU982983:DDU983006 DNQ982983:DNQ983006 DXM982983:DXM983006 EHI982983:EHI983006 ERE982983:ERE983006 FBA982983:FBA983006 FKW982983:FKW983006 FUS982983:FUS983006 GEO982983:GEO983006 GOK982983:GOK983006 GYG982983:GYG983006 HIC982983:HIC983006 HRY982983:HRY983006 IBU982983:IBU983006 ILQ982983:ILQ983006 IVM982983:IVM983006 JFI982983:JFI983006 JPE982983:JPE983006 JZA982983:JZA983006 KIW982983:KIW983006 KSS982983:KSS983006 LCO982983:LCO983006 LMK982983:LMK983006 LWG982983:LWG983006 MGC982983:MGC983006 MPY982983:MPY983006 MZU982983:MZU983006 NJQ982983:NJQ983006 NTM982983:NTM983006 ODI982983:ODI983006 ONE982983:ONE983006 OXA982983:OXA983006 PGW982983:PGW983006 PQS982983:PQS983006 QAO982983:QAO983006 QKK982983:QKK983006 QUG982983:QUG983006 REC982983:REC983006 RNY982983:RNY983006 RXU982983:RXU983006 SHQ982983:SHQ983006 SRM982983:SRM983006 TBI982983:TBI983006 TLE982983:TLE983006 TVA982983:TVA983006 UEW982983:UEW983006 UOS982983:UOS983006 UYO982983:UYO983006 VIK982983:VIK983006 VSG982983:VSG983006 WCC982983:WCC983006 WLY982983:WLY983006 WVU982983:WVU983006">
      <formula1>"Development,Test,Staging,Beta"</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'QA References'!$Q$89:$Q$92</xm:f>
          </x14:formula1>
          <xm:sqref>F13:F100</xm:sqref>
        </x14:dataValidation>
        <x14:dataValidation type="list" allowBlank="1" showInputMessage="1" showErrorMessage="1">
          <x14:formula1>
            <xm:f>'QA References'!$Q$95:$Q$98</xm:f>
          </x14:formula1>
          <xm:sqref>G13:G100</xm:sqref>
        </x14:dataValidation>
        <x14:dataValidation type="list" allowBlank="1" showInputMessage="1" showErrorMessage="1">
          <x14:formula1>
            <xm:f>'QA References'!$Q$77:$Q$86</xm:f>
          </x14:formula1>
          <xm:sqref>H13:H100</xm:sqref>
        </x14:dataValidation>
        <x14:dataValidation type="list" allowBlank="1" showInputMessage="1" showErrorMessage="1">
          <x14:formula1>
            <xm:f>'QA References'!$H$111:$H$115</xm:f>
          </x14:formula1>
          <xm:sqref>K13:K100</xm:sqref>
        </x14:dataValidation>
        <x14:dataValidation type="list" allowBlank="1" showInputMessage="1" showErrorMessage="1">
          <x14:formula1>
            <xm:f>'QA References'!$E$140:$E$145</xm:f>
          </x14:formula1>
          <xm:sqref>J13:J100</xm:sqref>
        </x14:dataValidation>
        <x14:dataValidation type="list" allowBlank="1" showInputMessage="1" showErrorMessage="1">
          <x14:formula1>
            <xm:f>'QA References'!$H$122:$H$125</xm:f>
          </x14:formula1>
          <xm:sqref>L13:L100</xm:sqref>
        </x14:dataValidation>
        <x14:dataValidation type="list" allowBlank="1" showInputMessage="1" showErrorMessage="1">
          <x14:formula1>
            <xm:f>'QA References'!$K$111:$K$131</xm:f>
          </x14:formula1>
          <xm:sqref>M13:M100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270"/>
  <sheetViews>
    <sheetView tabSelected="1" workbookViewId="0">
      <selection activeCell="I4" sqref="A1:W5"/>
    </sheetView>
  </sheetViews>
  <sheetFormatPr defaultRowHeight="15" outlineLevelRow="2"/>
  <cols>
    <col min="2" max="2" width="13" customWidth="1"/>
    <col min="3" max="3" width="10.375" customWidth="1"/>
    <col min="4" max="4" width="12.375" customWidth="1"/>
    <col min="5" max="5" width="12.125" customWidth="1"/>
    <col min="6" max="6" width="11.25" customWidth="1"/>
    <col min="9" max="9" width="14.125" customWidth="1"/>
    <col min="10" max="10" width="10.875" customWidth="1"/>
    <col min="11" max="11" width="15.375" customWidth="1"/>
    <col min="12" max="12" width="13" customWidth="1"/>
    <col min="13" max="13" width="12.375" customWidth="1"/>
    <col min="14" max="14" width="12.75" customWidth="1"/>
    <col min="15" max="15" width="12.625" customWidth="1"/>
    <col min="16" max="16" width="11.125" customWidth="1"/>
    <col min="17" max="17" width="12" customWidth="1"/>
  </cols>
  <sheetData>
    <row r="1" spans="1:50">
      <c r="A1" s="495" t="s">
        <v>45</v>
      </c>
      <c r="B1" s="495"/>
      <c r="C1" s="495"/>
      <c r="D1" s="495"/>
      <c r="E1" s="495"/>
      <c r="F1" s="495"/>
      <c r="G1" s="495"/>
      <c r="H1" s="495"/>
      <c r="I1" s="495"/>
      <c r="J1" s="495"/>
      <c r="K1" s="495"/>
      <c r="L1" s="495"/>
      <c r="M1" s="495"/>
      <c r="N1" s="495"/>
      <c r="O1" s="495"/>
      <c r="P1" s="495"/>
      <c r="Q1" s="495"/>
      <c r="R1" s="495"/>
      <c r="S1" s="495"/>
      <c r="T1" s="495"/>
      <c r="U1" s="495"/>
      <c r="V1" s="495"/>
      <c r="W1" s="495"/>
      <c r="X1" s="1"/>
      <c r="Y1" s="1"/>
      <c r="Z1" s="1"/>
      <c r="AA1" s="1"/>
      <c r="AB1" s="1"/>
      <c r="AC1" s="1"/>
      <c r="AD1" s="1"/>
      <c r="AE1" s="1"/>
      <c r="AF1" s="1"/>
      <c r="AG1" s="1"/>
      <c r="AH1" s="1"/>
      <c r="AI1" s="1"/>
      <c r="AJ1" s="1"/>
      <c r="AK1" s="1"/>
      <c r="AL1" s="1"/>
      <c r="AM1" s="1"/>
      <c r="AN1" s="1"/>
      <c r="AO1" s="1"/>
      <c r="AP1" s="1"/>
      <c r="AQ1" s="1"/>
      <c r="AR1" s="1"/>
      <c r="AS1" s="1"/>
      <c r="AT1" s="1"/>
      <c r="AU1" s="1"/>
      <c r="AV1" s="1"/>
      <c r="AW1" s="1"/>
      <c r="AX1" s="1"/>
    </row>
    <row r="2" spans="1:50">
      <c r="A2" s="495"/>
      <c r="B2" s="495"/>
      <c r="C2" s="495"/>
      <c r="D2" s="495"/>
      <c r="E2" s="495"/>
      <c r="F2" s="495"/>
      <c r="G2" s="495"/>
      <c r="H2" s="495"/>
      <c r="I2" s="495"/>
      <c r="J2" s="495"/>
      <c r="K2" s="495"/>
      <c r="L2" s="495"/>
      <c r="M2" s="495"/>
      <c r="N2" s="495"/>
      <c r="O2" s="495"/>
      <c r="P2" s="495"/>
      <c r="Q2" s="495"/>
      <c r="R2" s="495"/>
      <c r="S2" s="495"/>
      <c r="T2" s="495"/>
      <c r="U2" s="495"/>
      <c r="V2" s="495"/>
      <c r="W2" s="495"/>
      <c r="X2" s="1"/>
      <c r="Y2" s="1"/>
      <c r="Z2" s="1"/>
      <c r="AA2" s="1"/>
      <c r="AB2" s="1"/>
      <c r="AC2" s="1"/>
      <c r="AD2" s="1"/>
      <c r="AE2" s="1"/>
      <c r="AF2" s="1"/>
      <c r="AG2" s="1"/>
      <c r="AH2" s="1"/>
      <c r="AI2" s="1"/>
      <c r="AJ2" s="1"/>
      <c r="AK2" s="1"/>
      <c r="AL2" s="1"/>
      <c r="AM2" s="1"/>
      <c r="AN2" s="1"/>
      <c r="AO2" s="1"/>
      <c r="AP2" s="1"/>
      <c r="AQ2" s="1"/>
      <c r="AR2" s="1"/>
      <c r="AS2" s="1"/>
      <c r="AT2" s="1"/>
      <c r="AU2" s="1"/>
      <c r="AV2" s="1"/>
      <c r="AW2" s="1"/>
      <c r="AX2" s="1"/>
    </row>
    <row r="3" spans="1:50">
      <c r="A3" s="495"/>
      <c r="B3" s="495"/>
      <c r="C3" s="495"/>
      <c r="D3" s="495"/>
      <c r="E3" s="495"/>
      <c r="F3" s="495"/>
      <c r="G3" s="495"/>
      <c r="H3" s="495"/>
      <c r="I3" s="495"/>
      <c r="J3" s="495"/>
      <c r="K3" s="495"/>
      <c r="L3" s="495"/>
      <c r="M3" s="495"/>
      <c r="N3" s="495"/>
      <c r="O3" s="495"/>
      <c r="P3" s="495"/>
      <c r="Q3" s="495"/>
      <c r="R3" s="495"/>
      <c r="S3" s="495"/>
      <c r="T3" s="495"/>
      <c r="U3" s="495"/>
      <c r="V3" s="495"/>
      <c r="W3" s="495"/>
      <c r="X3" s="1"/>
      <c r="Y3" s="1"/>
      <c r="Z3" s="1"/>
      <c r="AA3" s="1"/>
      <c r="AB3" s="1"/>
      <c r="AC3" s="1"/>
      <c r="AD3" s="1"/>
      <c r="AE3" s="1"/>
      <c r="AF3" s="1"/>
      <c r="AG3" s="1"/>
      <c r="AH3" s="1"/>
      <c r="AI3" s="1"/>
      <c r="AJ3" s="1"/>
      <c r="AK3" s="1"/>
      <c r="AL3" s="1"/>
      <c r="AM3" s="1"/>
      <c r="AN3" s="1"/>
      <c r="AO3" s="1"/>
      <c r="AP3" s="1"/>
      <c r="AQ3" s="1"/>
      <c r="AR3" s="1"/>
      <c r="AS3" s="1"/>
      <c r="AT3" s="1"/>
      <c r="AU3" s="1"/>
      <c r="AV3" s="1"/>
      <c r="AW3" s="1"/>
      <c r="AX3" s="1"/>
    </row>
    <row r="4" spans="1:50">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row>
    <row r="5" spans="1:50" ht="23.25">
      <c r="A5" s="1"/>
      <c r="B5" s="1"/>
      <c r="C5" s="45" t="s">
        <v>46</v>
      </c>
      <c r="D5" s="46"/>
      <c r="E5" s="46"/>
      <c r="F5" s="46"/>
      <c r="G5" s="46"/>
      <c r="H5" s="46"/>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row>
    <row r="6" spans="1:50">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row>
    <row r="7" spans="1:50" ht="15.75">
      <c r="A7" s="1"/>
      <c r="B7" s="1"/>
      <c r="C7" s="1"/>
      <c r="D7" s="1"/>
      <c r="E7" s="1"/>
      <c r="F7" s="1"/>
      <c r="G7" s="1"/>
      <c r="H7" s="1"/>
      <c r="I7" s="47" t="s">
        <v>47</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row>
    <row r="8" spans="1:50">
      <c r="A8" s="1"/>
      <c r="B8" s="1"/>
      <c r="C8" s="1"/>
      <c r="D8" s="1"/>
      <c r="E8" s="1"/>
      <c r="F8" s="1"/>
      <c r="G8" s="1"/>
      <c r="H8" s="1"/>
      <c r="I8" s="1"/>
      <c r="J8" s="48" t="s">
        <v>48</v>
      </c>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row>
    <row r="9" spans="1:50">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row>
    <row r="10" spans="1:50" ht="15.75">
      <c r="A10" s="1"/>
      <c r="B10" s="1"/>
      <c r="C10" s="1"/>
      <c r="D10" s="1"/>
      <c r="E10" s="1"/>
      <c r="F10" s="1"/>
      <c r="G10" s="1"/>
      <c r="H10" s="1"/>
      <c r="I10" s="47" t="s">
        <v>49</v>
      </c>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row>
    <row r="11" spans="1:50">
      <c r="A11" s="1"/>
      <c r="B11" s="1"/>
      <c r="C11" s="1"/>
      <c r="D11" s="1"/>
      <c r="E11" s="1"/>
      <c r="F11" s="1"/>
      <c r="G11" s="1"/>
      <c r="H11" s="1"/>
      <c r="I11" s="1"/>
      <c r="J11" s="48" t="s">
        <v>50</v>
      </c>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row>
    <row r="12" spans="1:50" ht="15.75">
      <c r="A12" s="1"/>
      <c r="B12" s="1"/>
      <c r="C12" s="1"/>
      <c r="D12" s="1"/>
      <c r="E12" s="1"/>
      <c r="F12" s="1"/>
      <c r="G12" s="1"/>
      <c r="H12" s="1"/>
      <c r="I12" s="47" t="s">
        <v>51</v>
      </c>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row>
    <row r="13" spans="1:50">
      <c r="A13" s="1"/>
      <c r="B13" s="1"/>
      <c r="C13" s="1"/>
      <c r="D13" s="1"/>
      <c r="E13" s="1"/>
      <c r="F13" s="1"/>
      <c r="G13" s="1"/>
      <c r="H13" s="1"/>
      <c r="I13" s="1"/>
      <c r="J13" s="48" t="s">
        <v>57</v>
      </c>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row>
    <row r="14" spans="1:50">
      <c r="A14" s="1"/>
      <c r="B14" s="1"/>
      <c r="C14" s="1"/>
      <c r="D14" s="1"/>
      <c r="E14" s="1"/>
      <c r="F14" s="1"/>
      <c r="G14" s="1"/>
      <c r="H14" s="1"/>
      <c r="I14" s="1"/>
      <c r="J14" s="48" t="s">
        <v>58</v>
      </c>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row>
    <row r="15" spans="1:50" ht="15.75">
      <c r="A15" s="1"/>
      <c r="B15" s="1"/>
      <c r="C15" s="1"/>
      <c r="D15" s="1"/>
      <c r="E15" s="1"/>
      <c r="F15" s="1"/>
      <c r="G15" s="1"/>
      <c r="H15" s="1"/>
      <c r="I15" s="47" t="s">
        <v>52</v>
      </c>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row>
    <row r="16" spans="1:50">
      <c r="A16" s="1"/>
      <c r="B16" s="1"/>
      <c r="C16" s="1"/>
      <c r="D16" s="1"/>
      <c r="E16" s="1"/>
      <c r="F16" s="1"/>
      <c r="G16" s="1"/>
      <c r="H16" s="1"/>
      <c r="I16" s="1"/>
      <c r="J16" s="48" t="s">
        <v>53</v>
      </c>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row>
    <row r="17" spans="1:50">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row>
    <row r="18" spans="1:50" ht="15.75">
      <c r="A18" s="1"/>
      <c r="B18" s="1"/>
      <c r="C18" s="1"/>
      <c r="D18" s="1"/>
      <c r="E18" s="1"/>
      <c r="F18" s="1"/>
      <c r="G18" s="1"/>
      <c r="H18" s="1"/>
      <c r="I18" s="47" t="s">
        <v>17</v>
      </c>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row>
    <row r="19" spans="1:50">
      <c r="A19" s="1"/>
      <c r="B19" s="1"/>
      <c r="C19" s="1"/>
      <c r="D19" s="1"/>
      <c r="E19" s="1"/>
      <c r="F19" s="1"/>
      <c r="G19" s="1"/>
      <c r="H19" s="1"/>
      <c r="I19" s="1"/>
      <c r="J19" s="48" t="s">
        <v>55</v>
      </c>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row>
    <row r="20" spans="1:50">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row>
    <row r="21" spans="1:50" ht="15.75">
      <c r="A21" s="1"/>
      <c r="B21" s="1"/>
      <c r="C21" s="1"/>
      <c r="D21" s="1"/>
      <c r="E21" s="1"/>
      <c r="F21" s="1"/>
      <c r="G21" s="1"/>
      <c r="H21" s="1"/>
      <c r="I21" s="47" t="s">
        <v>54</v>
      </c>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row>
    <row r="22" spans="1:50">
      <c r="A22" s="1"/>
      <c r="B22" s="1"/>
      <c r="C22" s="1"/>
      <c r="D22" s="1"/>
      <c r="E22" s="1"/>
      <c r="F22" s="1"/>
      <c r="G22" s="1"/>
      <c r="H22" s="1"/>
      <c r="I22" s="1"/>
      <c r="J22" s="48" t="s">
        <v>56</v>
      </c>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row>
    <row r="23" spans="1:50">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row>
    <row r="24" spans="1:50">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row>
    <row r="25" spans="1:50">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row>
    <row r="26" spans="1:50">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row>
    <row r="27" spans="1:50" ht="15" customHeight="1">
      <c r="A27" s="448" t="s">
        <v>4</v>
      </c>
      <c r="B27" s="448"/>
      <c r="C27" s="448"/>
      <c r="D27" s="448"/>
      <c r="E27" s="448"/>
      <c r="F27" s="448"/>
      <c r="G27" s="448"/>
      <c r="H27" s="448"/>
      <c r="I27" s="448"/>
      <c r="J27" s="448"/>
      <c r="K27" s="448"/>
      <c r="L27" s="448"/>
      <c r="M27" s="448"/>
      <c r="N27" s="448"/>
      <c r="O27" s="448"/>
      <c r="P27" s="448"/>
      <c r="Q27" s="448"/>
      <c r="R27" s="448"/>
      <c r="S27" s="448"/>
      <c r="T27" s="448"/>
      <c r="U27" s="448"/>
      <c r="V27" s="448"/>
      <c r="W27" s="448"/>
    </row>
    <row r="28" spans="1:50" ht="15" customHeight="1">
      <c r="A28" s="448"/>
      <c r="B28" s="448"/>
      <c r="C28" s="448"/>
      <c r="D28" s="448"/>
      <c r="E28" s="448"/>
      <c r="F28" s="448"/>
      <c r="G28" s="448"/>
      <c r="H28" s="448"/>
      <c r="I28" s="448"/>
      <c r="J28" s="448"/>
      <c r="K28" s="448"/>
      <c r="L28" s="448"/>
      <c r="M28" s="448"/>
      <c r="N28" s="448"/>
      <c r="O28" s="448"/>
      <c r="P28" s="448"/>
      <c r="Q28" s="448"/>
      <c r="R28" s="448"/>
      <c r="S28" s="448"/>
      <c r="T28" s="448"/>
      <c r="U28" s="448"/>
      <c r="V28" s="448"/>
      <c r="W28" s="448"/>
    </row>
    <row r="29" spans="1:50" ht="15" customHeight="1">
      <c r="A29" s="448"/>
      <c r="B29" s="448"/>
      <c r="C29" s="448"/>
      <c r="D29" s="448"/>
      <c r="E29" s="448"/>
      <c r="F29" s="448"/>
      <c r="G29" s="448"/>
      <c r="H29" s="448"/>
      <c r="I29" s="448"/>
      <c r="J29" s="448"/>
      <c r="K29" s="448"/>
      <c r="L29" s="448"/>
      <c r="M29" s="448"/>
      <c r="N29" s="448"/>
      <c r="O29" s="448"/>
      <c r="P29" s="448"/>
      <c r="Q29" s="448"/>
      <c r="R29" s="448"/>
      <c r="S29" s="448"/>
      <c r="T29" s="448"/>
      <c r="U29" s="448"/>
      <c r="V29" s="448"/>
      <c r="W29" s="448"/>
    </row>
    <row r="30" spans="1:50" ht="18.75">
      <c r="A30" s="7" t="s">
        <v>5</v>
      </c>
      <c r="C30" s="2"/>
      <c r="D30" s="2"/>
      <c r="E30" s="2"/>
      <c r="F30" s="2"/>
      <c r="G30" s="2"/>
      <c r="H30" s="2"/>
      <c r="I30" s="2"/>
      <c r="J30" s="2"/>
      <c r="K30" s="2"/>
      <c r="L30" s="2"/>
      <c r="M30" s="2"/>
      <c r="N30" s="1"/>
      <c r="O30" s="1"/>
      <c r="P30" s="1"/>
      <c r="Q30" s="1"/>
      <c r="R30" s="1"/>
      <c r="S30" s="1"/>
      <c r="T30" s="1"/>
      <c r="U30" s="1"/>
    </row>
    <row r="31" spans="1:50">
      <c r="A31" s="1"/>
      <c r="B31" s="1"/>
      <c r="C31" s="1"/>
      <c r="D31" s="1"/>
      <c r="E31" s="1"/>
      <c r="F31" s="1"/>
      <c r="G31" s="1"/>
      <c r="H31" s="1"/>
      <c r="I31" s="1"/>
      <c r="J31" s="1"/>
      <c r="K31" s="1"/>
      <c r="L31" s="1" t="s">
        <v>77</v>
      </c>
      <c r="M31" s="1"/>
      <c r="N31" s="1"/>
      <c r="O31" s="1"/>
      <c r="P31" s="1"/>
      <c r="Q31" s="1"/>
      <c r="R31" s="1"/>
      <c r="S31" s="1"/>
      <c r="T31" s="1"/>
      <c r="U31" s="1"/>
    </row>
    <row r="32" spans="1:50">
      <c r="A32" s="1" t="s">
        <v>79</v>
      </c>
      <c r="B32" s="1"/>
      <c r="C32" s="1"/>
      <c r="D32" s="1"/>
      <c r="E32" s="1"/>
      <c r="F32" s="1"/>
      <c r="G32" s="1"/>
      <c r="H32" s="1"/>
      <c r="I32" s="1"/>
      <c r="J32" s="1"/>
      <c r="K32" s="1"/>
      <c r="L32" s="61"/>
      <c r="M32" s="1"/>
      <c r="N32" s="1"/>
      <c r="O32" s="1"/>
      <c r="P32" s="1"/>
      <c r="Q32" s="1"/>
      <c r="R32" s="1"/>
      <c r="S32" s="1"/>
      <c r="T32" s="1"/>
      <c r="U32" s="1"/>
    </row>
    <row r="33" spans="1:21">
      <c r="A33" s="1"/>
      <c r="B33" s="1"/>
      <c r="C33" s="1"/>
      <c r="D33" s="1"/>
      <c r="E33" s="1"/>
      <c r="F33" s="1"/>
      <c r="G33" s="1"/>
      <c r="H33" s="1"/>
      <c r="I33" s="1"/>
      <c r="J33" s="1"/>
      <c r="K33" s="1"/>
      <c r="L33" s="1"/>
      <c r="M33" s="1"/>
      <c r="N33" s="1"/>
      <c r="O33" s="1"/>
      <c r="P33" s="1"/>
      <c r="Q33" s="1"/>
      <c r="R33" s="1"/>
      <c r="S33" s="1"/>
      <c r="T33" s="1"/>
      <c r="U33" s="1"/>
    </row>
    <row r="34" spans="1:21" ht="18.75">
      <c r="A34" s="1"/>
      <c r="B34" s="1"/>
      <c r="C34" s="1"/>
      <c r="D34" s="1"/>
      <c r="E34" s="1"/>
      <c r="F34" s="1"/>
      <c r="G34" s="1"/>
      <c r="H34" s="1"/>
      <c r="I34" s="1"/>
      <c r="J34" s="1"/>
      <c r="K34" s="1"/>
      <c r="L34" s="1"/>
      <c r="M34" s="2"/>
      <c r="N34" s="2"/>
      <c r="O34" s="2"/>
      <c r="P34" s="2"/>
      <c r="Q34" s="2"/>
      <c r="R34" s="2"/>
      <c r="S34" s="1"/>
      <c r="T34" s="1"/>
      <c r="U34" s="1"/>
    </row>
    <row r="35" spans="1:21" ht="18.75">
      <c r="A35" s="61" t="s">
        <v>86</v>
      </c>
      <c r="B35" s="1"/>
      <c r="C35" s="1"/>
      <c r="D35" s="1"/>
      <c r="E35" s="1"/>
      <c r="F35" s="1"/>
      <c r="G35" s="1"/>
      <c r="H35" s="1"/>
      <c r="I35" s="1"/>
      <c r="J35" s="1"/>
      <c r="K35" s="1"/>
      <c r="M35" s="2"/>
      <c r="N35" s="2"/>
      <c r="O35" s="2"/>
      <c r="P35" s="2"/>
      <c r="Q35" s="2"/>
      <c r="R35" s="2"/>
      <c r="S35" s="1"/>
      <c r="T35" s="1"/>
      <c r="U35" s="1"/>
    </row>
    <row r="36" spans="1:21" ht="18.75">
      <c r="A36" s="1"/>
      <c r="B36" s="1"/>
      <c r="C36" s="1"/>
      <c r="D36" s="1"/>
      <c r="E36" s="1"/>
      <c r="F36" s="1"/>
      <c r="G36" s="1"/>
      <c r="H36" s="1"/>
      <c r="I36" s="1"/>
      <c r="J36" s="1"/>
      <c r="K36" s="1"/>
      <c r="L36" s="1"/>
      <c r="M36" s="2"/>
      <c r="N36" s="2"/>
      <c r="O36" s="2"/>
      <c r="P36" s="2"/>
      <c r="Q36" s="2"/>
      <c r="R36" s="2"/>
      <c r="S36" s="1"/>
      <c r="T36" s="1"/>
      <c r="U36" s="1"/>
    </row>
    <row r="37" spans="1:21" ht="18.75">
      <c r="A37" s="1"/>
      <c r="B37" s="1"/>
      <c r="C37" s="1"/>
      <c r="D37" s="1"/>
      <c r="E37" s="1"/>
      <c r="F37" s="1"/>
      <c r="G37" s="1"/>
      <c r="H37" s="1"/>
      <c r="I37" s="1"/>
      <c r="J37" s="1"/>
      <c r="K37" s="1"/>
      <c r="L37" s="4"/>
      <c r="M37" s="34"/>
      <c r="N37" s="2"/>
      <c r="O37" s="2"/>
      <c r="P37" s="2"/>
      <c r="Q37" s="2"/>
      <c r="R37" s="2"/>
      <c r="S37" s="1"/>
      <c r="T37" s="1"/>
      <c r="U37" s="1"/>
    </row>
    <row r="38" spans="1:21" ht="18.75">
      <c r="A38" s="1"/>
      <c r="B38" s="1"/>
      <c r="C38" s="1"/>
      <c r="D38" s="1"/>
      <c r="E38" s="1"/>
      <c r="F38" s="1"/>
      <c r="G38" s="1"/>
      <c r="H38" s="1"/>
      <c r="I38" s="1"/>
      <c r="J38" s="1"/>
      <c r="K38" s="1"/>
      <c r="L38" s="51"/>
      <c r="M38" s="52" t="s">
        <v>38</v>
      </c>
      <c r="N38" s="2"/>
      <c r="O38" s="2"/>
      <c r="P38" s="2"/>
      <c r="Q38" s="2"/>
      <c r="R38" s="2"/>
      <c r="S38" s="1"/>
      <c r="T38" s="1"/>
      <c r="U38" s="1"/>
    </row>
    <row r="39" spans="1:21" ht="18.75">
      <c r="A39" s="1"/>
      <c r="B39" s="1"/>
      <c r="C39" s="1"/>
      <c r="D39" s="1"/>
      <c r="E39" s="1"/>
      <c r="F39" s="1"/>
      <c r="G39" s="1"/>
      <c r="H39" s="1"/>
      <c r="I39" s="1"/>
      <c r="J39" s="1"/>
      <c r="K39" s="1"/>
      <c r="L39" s="4"/>
      <c r="M39" s="34"/>
      <c r="N39" s="2"/>
      <c r="O39" s="2"/>
      <c r="P39" s="2"/>
      <c r="Q39" s="2"/>
      <c r="R39" s="2"/>
      <c r="S39" s="1"/>
      <c r="T39" s="1"/>
      <c r="U39" s="1"/>
    </row>
    <row r="40" spans="1:21" ht="16.5" customHeight="1">
      <c r="A40" s="1"/>
      <c r="B40" s="1"/>
      <c r="C40" s="1"/>
      <c r="D40" s="1"/>
      <c r="E40" s="1"/>
      <c r="F40" s="1"/>
      <c r="G40" s="1"/>
      <c r="H40" s="1"/>
      <c r="I40" s="1"/>
      <c r="J40" s="1"/>
      <c r="K40" s="1"/>
      <c r="L40" s="51"/>
      <c r="M40" s="35"/>
      <c r="N40" s="2"/>
      <c r="O40" s="2"/>
      <c r="P40" s="2"/>
      <c r="Q40" s="2"/>
      <c r="R40" s="2"/>
      <c r="S40" s="1"/>
      <c r="T40" s="1"/>
      <c r="U40" s="1"/>
    </row>
    <row r="41" spans="1:21" ht="18.75">
      <c r="A41" s="36" t="s">
        <v>81</v>
      </c>
      <c r="B41" s="1"/>
      <c r="C41" s="1"/>
      <c r="D41" s="1"/>
      <c r="E41" s="1"/>
      <c r="F41" s="1"/>
      <c r="G41" s="1"/>
      <c r="H41" s="1"/>
      <c r="I41" s="1"/>
      <c r="J41" s="1"/>
      <c r="K41" s="1"/>
      <c r="L41" s="1"/>
      <c r="M41" s="34"/>
      <c r="N41" s="2"/>
      <c r="O41" s="2"/>
      <c r="P41" s="2"/>
      <c r="Q41" s="2"/>
      <c r="R41" s="2"/>
      <c r="S41" s="1"/>
      <c r="T41" s="1"/>
      <c r="U41" s="1"/>
    </row>
    <row r="42" spans="1:21" ht="18.75">
      <c r="A42" s="36" t="s">
        <v>80</v>
      </c>
      <c r="B42" s="1"/>
      <c r="C42" s="1"/>
      <c r="D42" s="1"/>
      <c r="E42" s="1"/>
      <c r="F42" s="1"/>
      <c r="G42" s="1"/>
      <c r="H42" s="1"/>
      <c r="I42" s="1"/>
      <c r="J42" s="1"/>
      <c r="K42" s="1"/>
      <c r="L42" s="1"/>
      <c r="M42" s="37"/>
      <c r="N42" s="2"/>
      <c r="O42" s="2"/>
      <c r="P42" s="2"/>
      <c r="Q42" s="2"/>
      <c r="R42" s="2"/>
      <c r="S42" s="1"/>
      <c r="T42" s="1"/>
      <c r="U42" s="1"/>
    </row>
    <row r="43" spans="1:21" ht="18.75">
      <c r="A43" s="36" t="s">
        <v>82</v>
      </c>
      <c r="B43" s="1"/>
      <c r="C43" s="1"/>
      <c r="D43" s="1"/>
      <c r="E43" s="1"/>
      <c r="F43" s="1"/>
      <c r="G43" s="1"/>
      <c r="H43" s="1"/>
      <c r="I43" s="1"/>
      <c r="J43" s="1"/>
      <c r="K43" s="1"/>
      <c r="L43" s="1"/>
      <c r="M43" s="1"/>
      <c r="N43" s="2"/>
      <c r="O43" s="2"/>
      <c r="P43" s="2"/>
      <c r="Q43" s="2"/>
      <c r="R43" s="2"/>
      <c r="S43" s="1"/>
      <c r="T43" s="1"/>
      <c r="U43" s="1"/>
    </row>
    <row r="44" spans="1:21" ht="18.75">
      <c r="A44" s="36" t="s">
        <v>83</v>
      </c>
      <c r="B44" s="1"/>
      <c r="C44" s="1"/>
      <c r="D44" s="1"/>
      <c r="E44" s="1"/>
      <c r="F44" s="1"/>
      <c r="G44" s="1"/>
      <c r="H44" s="1"/>
      <c r="I44" s="1"/>
      <c r="J44" s="1"/>
      <c r="K44" s="1"/>
      <c r="L44" s="1"/>
      <c r="M44" s="2"/>
      <c r="N44" s="2"/>
      <c r="O44" s="2"/>
      <c r="P44" s="2"/>
      <c r="Q44" s="2"/>
      <c r="R44" s="2"/>
      <c r="S44" s="1"/>
      <c r="T44" s="1"/>
      <c r="U44" s="1"/>
    </row>
    <row r="45" spans="1:21" ht="18.75">
      <c r="A45" s="36" t="s">
        <v>84</v>
      </c>
      <c r="B45" s="1"/>
      <c r="C45" s="1"/>
      <c r="D45" s="1"/>
      <c r="E45" s="1"/>
      <c r="F45" s="1"/>
      <c r="G45" s="1"/>
      <c r="H45" s="1"/>
      <c r="I45" s="1"/>
      <c r="J45" s="1"/>
      <c r="K45" s="1"/>
      <c r="L45" s="1"/>
      <c r="M45" s="2"/>
      <c r="N45" s="2"/>
      <c r="O45" s="2"/>
      <c r="P45" s="2"/>
      <c r="Q45" s="2"/>
      <c r="R45" s="2"/>
      <c r="S45" s="1"/>
      <c r="T45" s="1"/>
      <c r="U45" s="1"/>
    </row>
    <row r="46" spans="1:21" ht="18.75">
      <c r="A46" s="36" t="s">
        <v>85</v>
      </c>
      <c r="B46" s="1"/>
      <c r="C46" s="1"/>
      <c r="D46" s="1"/>
      <c r="E46" s="1"/>
      <c r="F46" s="1"/>
      <c r="G46" s="1"/>
      <c r="H46" s="1"/>
      <c r="I46" s="1"/>
      <c r="J46" s="1"/>
      <c r="K46" s="1"/>
      <c r="L46" s="1"/>
      <c r="M46" s="2"/>
      <c r="N46" s="2"/>
      <c r="O46" s="2"/>
      <c r="P46" s="2"/>
      <c r="Q46" s="2"/>
      <c r="R46" s="2"/>
      <c r="S46" s="1"/>
      <c r="T46" s="1"/>
      <c r="U46" s="1"/>
    </row>
    <row r="47" spans="1:21" ht="18.75">
      <c r="A47" s="1"/>
      <c r="B47" s="1"/>
      <c r="C47" s="1"/>
      <c r="D47" s="1"/>
      <c r="E47" s="1"/>
      <c r="F47" s="1"/>
      <c r="G47" s="1"/>
      <c r="H47" s="1"/>
      <c r="I47" s="1"/>
      <c r="J47" s="1"/>
      <c r="K47" s="1"/>
      <c r="L47" s="51"/>
      <c r="M47" s="2"/>
      <c r="N47" s="2"/>
      <c r="O47" s="2"/>
      <c r="P47" s="2"/>
      <c r="Q47" s="2"/>
      <c r="R47" s="2"/>
      <c r="S47" s="1"/>
      <c r="T47" s="1"/>
      <c r="U47" s="1"/>
    </row>
    <row r="48" spans="1:21" ht="18.75">
      <c r="A48" s="1"/>
      <c r="B48" s="1"/>
      <c r="C48" s="1"/>
      <c r="D48" s="1"/>
      <c r="E48" s="1"/>
      <c r="F48" s="1"/>
      <c r="G48" s="1"/>
      <c r="H48" s="1"/>
      <c r="I48" s="1"/>
      <c r="J48" s="1"/>
      <c r="K48" s="1"/>
      <c r="L48" s="309"/>
      <c r="M48" s="310"/>
      <c r="N48" s="310"/>
      <c r="O48" s="310"/>
      <c r="P48" s="310"/>
      <c r="Q48" s="2"/>
      <c r="R48" s="2"/>
      <c r="S48" s="1"/>
      <c r="T48" s="1"/>
      <c r="U48" s="1"/>
    </row>
    <row r="49" spans="1:21" ht="18.75">
      <c r="A49" s="1"/>
      <c r="B49" s="1"/>
      <c r="C49" s="1"/>
      <c r="D49" s="1"/>
      <c r="E49" s="1"/>
      <c r="F49" s="1"/>
      <c r="G49" s="1"/>
      <c r="H49" s="1"/>
      <c r="I49" s="1"/>
      <c r="J49" s="1"/>
      <c r="K49" s="1"/>
      <c r="L49" s="309"/>
      <c r="M49" s="311"/>
      <c r="N49" s="311"/>
      <c r="O49" s="311"/>
      <c r="P49" s="310"/>
      <c r="Q49" s="2"/>
      <c r="R49" s="2"/>
      <c r="S49" s="1"/>
      <c r="T49" s="1"/>
      <c r="U49" s="1"/>
    </row>
    <row r="50" spans="1:21" ht="15.75">
      <c r="A50" s="313"/>
      <c r="C50" s="1"/>
      <c r="D50" s="1"/>
      <c r="E50" s="1"/>
      <c r="F50" s="1"/>
      <c r="G50" s="1"/>
      <c r="H50" s="1"/>
      <c r="I50" s="1"/>
      <c r="J50" s="1"/>
      <c r="K50" s="496" t="s">
        <v>16</v>
      </c>
      <c r="L50" s="497"/>
      <c r="M50" s="498" t="s">
        <v>20</v>
      </c>
      <c r="N50" s="498"/>
      <c r="O50" s="498"/>
      <c r="P50" s="1"/>
      <c r="Q50" s="1"/>
      <c r="R50" s="1"/>
      <c r="S50" s="1"/>
      <c r="T50" s="1"/>
      <c r="U50" s="1"/>
    </row>
    <row r="51" spans="1:21">
      <c r="A51" s="312"/>
      <c r="B51" s="293" t="s">
        <v>8</v>
      </c>
      <c r="C51" s="455" t="s">
        <v>9</v>
      </c>
      <c r="D51" s="455"/>
      <c r="E51" s="455"/>
      <c r="F51" s="455"/>
      <c r="G51" s="455"/>
      <c r="H51" s="455"/>
      <c r="I51" s="455"/>
      <c r="J51" s="456"/>
      <c r="K51" s="89" t="s">
        <v>19</v>
      </c>
      <c r="L51" s="89" t="s">
        <v>15</v>
      </c>
      <c r="M51" s="89" t="s">
        <v>18</v>
      </c>
      <c r="N51" s="89" t="s">
        <v>44</v>
      </c>
      <c r="O51" s="89" t="s">
        <v>156</v>
      </c>
      <c r="P51" s="1"/>
      <c r="Q51" s="1"/>
      <c r="R51" s="1"/>
      <c r="S51" s="1"/>
      <c r="T51" s="1"/>
      <c r="U51" s="1"/>
    </row>
    <row r="52" spans="1:21">
      <c r="A52" s="62"/>
      <c r="B52" s="6" t="s">
        <v>21</v>
      </c>
      <c r="C52" s="53" t="s">
        <v>61</v>
      </c>
      <c r="D52" s="53" t="s">
        <v>25</v>
      </c>
      <c r="E52" s="53"/>
      <c r="F52" s="53"/>
      <c r="G52" s="53"/>
      <c r="H52" s="10"/>
      <c r="I52" s="10"/>
      <c r="J52" s="10"/>
      <c r="K52" s="63"/>
      <c r="L52" s="63"/>
      <c r="M52" s="63"/>
      <c r="N52" s="63"/>
      <c r="O52" s="63"/>
      <c r="P52" s="1"/>
      <c r="Q52" s="1"/>
      <c r="R52" s="1"/>
      <c r="S52" s="1"/>
      <c r="T52" s="1"/>
      <c r="U52" s="1"/>
    </row>
    <row r="53" spans="1:21" ht="15" customHeight="1" outlineLevel="1">
      <c r="A53" s="62"/>
      <c r="B53" s="1"/>
      <c r="C53" s="55"/>
      <c r="D53" s="54" t="s">
        <v>6</v>
      </c>
      <c r="E53" s="54"/>
      <c r="F53" s="54"/>
      <c r="G53" s="54"/>
      <c r="H53" s="13"/>
      <c r="I53" s="13"/>
      <c r="J53" s="13"/>
      <c r="K53" s="21"/>
      <c r="L53" s="23"/>
      <c r="M53" s="22"/>
      <c r="N53" s="22"/>
      <c r="O53" s="22"/>
      <c r="P53" s="1"/>
      <c r="Q53" s="1"/>
      <c r="R53" s="1"/>
      <c r="S53" s="1"/>
      <c r="T53" s="1"/>
      <c r="U53" s="1"/>
    </row>
    <row r="54" spans="1:21" outlineLevel="1">
      <c r="A54" s="62"/>
      <c r="B54" s="1"/>
      <c r="C54" s="55"/>
      <c r="D54" s="56"/>
      <c r="E54" s="57" t="s">
        <v>62</v>
      </c>
      <c r="F54" s="57"/>
      <c r="G54" s="57"/>
      <c r="H54" s="11"/>
      <c r="I54" s="11"/>
      <c r="J54" s="11"/>
      <c r="K54" s="21"/>
      <c r="L54" s="23"/>
      <c r="M54" s="22"/>
      <c r="N54" s="22"/>
      <c r="O54" s="22"/>
      <c r="P54" s="1"/>
      <c r="Q54" s="1"/>
      <c r="R54" s="1"/>
      <c r="S54" s="1"/>
      <c r="T54" s="1"/>
      <c r="U54" s="1"/>
    </row>
    <row r="55" spans="1:21" outlineLevel="2">
      <c r="A55" s="62"/>
      <c r="B55" s="1"/>
      <c r="C55" s="55"/>
      <c r="D55" s="56"/>
      <c r="E55" s="56"/>
      <c r="F55" s="58" t="s">
        <v>66</v>
      </c>
      <c r="G55" s="58"/>
      <c r="H55" s="12"/>
      <c r="I55" s="12"/>
      <c r="J55" s="12"/>
      <c r="K55" s="21"/>
      <c r="L55" s="23"/>
      <c r="M55" s="22"/>
      <c r="N55" s="22"/>
      <c r="O55" s="22"/>
      <c r="P55" s="1"/>
      <c r="Q55" s="1"/>
      <c r="R55" s="1"/>
      <c r="S55" s="1"/>
      <c r="T55" s="1"/>
      <c r="U55" s="1"/>
    </row>
    <row r="56" spans="1:21" outlineLevel="2">
      <c r="A56" s="62"/>
      <c r="B56" s="1"/>
      <c r="C56" s="55"/>
      <c r="D56" s="56"/>
      <c r="E56" s="56"/>
      <c r="F56" s="58" t="s">
        <v>67</v>
      </c>
      <c r="G56" s="58"/>
      <c r="H56" s="12"/>
      <c r="I56" s="12"/>
      <c r="J56" s="12"/>
      <c r="K56" s="21"/>
      <c r="L56" s="23"/>
      <c r="M56" s="22"/>
      <c r="N56" s="22"/>
      <c r="O56" s="22"/>
      <c r="P56" s="1"/>
      <c r="Q56" s="1"/>
      <c r="R56" s="1"/>
      <c r="S56" s="1"/>
      <c r="T56" s="1"/>
      <c r="U56" s="1"/>
    </row>
    <row r="57" spans="1:21" outlineLevel="1">
      <c r="A57" s="62"/>
      <c r="B57" s="1"/>
      <c r="C57" s="6"/>
      <c r="D57" s="56"/>
      <c r="E57" s="57" t="s">
        <v>63</v>
      </c>
      <c r="F57" s="57"/>
      <c r="G57" s="57"/>
      <c r="H57" s="11"/>
      <c r="I57" s="11"/>
      <c r="J57" s="11"/>
      <c r="K57" s="21"/>
      <c r="L57" s="23"/>
      <c r="M57" s="22"/>
      <c r="N57" s="22"/>
      <c r="O57" s="22"/>
      <c r="P57" s="1"/>
      <c r="Q57" s="1"/>
      <c r="R57" s="1"/>
      <c r="S57" s="1"/>
      <c r="T57" s="1"/>
      <c r="U57" s="1"/>
    </row>
    <row r="58" spans="1:21" outlineLevel="2">
      <c r="A58" s="62"/>
      <c r="B58" s="1"/>
      <c r="C58" s="6"/>
      <c r="D58" s="56"/>
      <c r="E58" s="56"/>
      <c r="F58" s="58" t="s">
        <v>66</v>
      </c>
      <c r="G58" s="58"/>
      <c r="H58" s="12"/>
      <c r="I58" s="12"/>
      <c r="J58" s="12"/>
      <c r="K58" s="21"/>
      <c r="L58" s="23"/>
      <c r="M58" s="22"/>
      <c r="N58" s="22"/>
      <c r="O58" s="22"/>
      <c r="P58" s="1"/>
      <c r="Q58" s="1"/>
      <c r="R58" s="1"/>
      <c r="S58" s="1"/>
      <c r="T58" s="1"/>
      <c r="U58" s="1"/>
    </row>
    <row r="59" spans="1:21" outlineLevel="2">
      <c r="A59" s="62"/>
      <c r="B59" s="1"/>
      <c r="C59" s="6"/>
      <c r="D59" s="56"/>
      <c r="E59" s="56"/>
      <c r="F59" s="58" t="s">
        <v>72</v>
      </c>
      <c r="G59" s="58"/>
      <c r="H59" s="12"/>
      <c r="I59" s="12"/>
      <c r="J59" s="12"/>
      <c r="K59" s="21"/>
      <c r="L59" s="23"/>
      <c r="M59" s="22"/>
      <c r="N59" s="22"/>
      <c r="O59" s="22"/>
      <c r="P59" s="1"/>
      <c r="Q59" s="1"/>
      <c r="R59" s="1"/>
      <c r="S59" s="1"/>
      <c r="T59" s="1"/>
      <c r="U59" s="1"/>
    </row>
    <row r="60" spans="1:21" outlineLevel="1">
      <c r="A60" s="62"/>
      <c r="B60" s="1"/>
      <c r="C60" s="6"/>
      <c r="D60" s="54" t="s">
        <v>7</v>
      </c>
      <c r="E60" s="54"/>
      <c r="F60" s="54"/>
      <c r="G60" s="54"/>
      <c r="H60" s="13"/>
      <c r="I60" s="13"/>
      <c r="J60" s="13"/>
      <c r="K60" s="21"/>
      <c r="L60" s="23"/>
      <c r="M60" s="22"/>
      <c r="N60" s="22"/>
      <c r="O60" s="22"/>
      <c r="P60" s="1"/>
      <c r="Q60" s="1"/>
      <c r="R60" s="1"/>
      <c r="S60" s="1"/>
      <c r="T60" s="1"/>
      <c r="U60" s="1"/>
    </row>
    <row r="61" spans="1:21" outlineLevel="1">
      <c r="A61" s="62"/>
      <c r="B61" s="1"/>
      <c r="C61" s="6"/>
      <c r="D61" s="56"/>
      <c r="E61" s="57" t="s">
        <v>64</v>
      </c>
      <c r="F61" s="57"/>
      <c r="G61" s="57"/>
      <c r="H61" s="11"/>
      <c r="I61" s="11"/>
      <c r="J61" s="11"/>
      <c r="K61" s="21"/>
      <c r="L61" s="23"/>
      <c r="M61" s="22"/>
      <c r="N61" s="22"/>
      <c r="O61" s="22"/>
      <c r="P61" s="1"/>
      <c r="Q61" s="1"/>
      <c r="R61" s="1"/>
      <c r="S61" s="1"/>
      <c r="T61" s="1"/>
      <c r="U61" s="1"/>
    </row>
    <row r="62" spans="1:21" outlineLevel="2">
      <c r="A62" s="62"/>
      <c r="B62" s="1"/>
      <c r="C62" s="6"/>
      <c r="D62" s="56"/>
      <c r="E62" s="56"/>
      <c r="F62" s="58" t="s">
        <v>73</v>
      </c>
      <c r="G62" s="58"/>
      <c r="H62" s="17"/>
      <c r="I62" s="17"/>
      <c r="J62" s="17"/>
      <c r="K62" s="22"/>
      <c r="L62" s="24"/>
      <c r="M62" s="22"/>
      <c r="N62" s="22"/>
      <c r="O62" s="22"/>
      <c r="P62" s="1"/>
      <c r="Q62" s="1"/>
      <c r="R62" s="1"/>
      <c r="S62" s="1"/>
      <c r="T62" s="1"/>
      <c r="U62" s="1"/>
    </row>
    <row r="63" spans="1:21" outlineLevel="2">
      <c r="A63" s="62"/>
      <c r="B63" s="1"/>
      <c r="C63" s="6"/>
      <c r="D63" s="56"/>
      <c r="E63" s="56"/>
      <c r="F63" s="58" t="s">
        <v>74</v>
      </c>
      <c r="G63" s="58"/>
      <c r="H63" s="17"/>
      <c r="I63" s="17"/>
      <c r="J63" s="17"/>
      <c r="K63" s="22"/>
      <c r="L63" s="24"/>
      <c r="M63" s="22"/>
      <c r="N63" s="22"/>
      <c r="O63" s="22"/>
      <c r="P63" s="1"/>
      <c r="Q63" s="1"/>
      <c r="R63" s="1"/>
      <c r="S63" s="1"/>
      <c r="T63" s="1"/>
      <c r="U63" s="1"/>
    </row>
    <row r="64" spans="1:21" outlineLevel="1">
      <c r="A64" s="62"/>
      <c r="B64" s="1"/>
      <c r="C64" s="6"/>
      <c r="D64" s="56"/>
      <c r="E64" s="57" t="s">
        <v>65</v>
      </c>
      <c r="F64" s="57"/>
      <c r="G64" s="57"/>
      <c r="H64" s="11"/>
      <c r="I64" s="11"/>
      <c r="J64" s="11"/>
      <c r="K64" s="21"/>
      <c r="L64" s="23"/>
      <c r="M64" s="22"/>
      <c r="N64" s="22"/>
      <c r="O64" s="22"/>
      <c r="P64" s="1"/>
      <c r="Q64" s="1"/>
      <c r="R64" s="1"/>
      <c r="S64" s="1"/>
      <c r="T64" s="1"/>
      <c r="U64" s="1"/>
    </row>
    <row r="65" spans="1:50" outlineLevel="2">
      <c r="A65" s="62"/>
      <c r="B65" s="1"/>
      <c r="C65" s="6"/>
      <c r="D65" s="56"/>
      <c r="E65" s="56"/>
      <c r="F65" s="58" t="s">
        <v>75</v>
      </c>
      <c r="G65" s="58"/>
      <c r="H65" s="17"/>
      <c r="I65" s="17"/>
      <c r="J65" s="17"/>
      <c r="K65" s="22"/>
      <c r="L65" s="24"/>
      <c r="M65" s="22"/>
      <c r="N65" s="22"/>
      <c r="O65" s="22"/>
      <c r="P65" s="1"/>
      <c r="Q65" s="1"/>
      <c r="R65" s="1"/>
      <c r="S65" s="1"/>
      <c r="T65" s="1"/>
      <c r="U65" s="1"/>
    </row>
    <row r="66" spans="1:50" outlineLevel="2">
      <c r="A66" s="62"/>
      <c r="B66" s="1"/>
      <c r="C66" s="6"/>
      <c r="D66" s="56"/>
      <c r="E66" s="56"/>
      <c r="F66" s="58" t="s">
        <v>76</v>
      </c>
      <c r="G66" s="58"/>
      <c r="H66" s="17"/>
      <c r="I66" s="17"/>
      <c r="J66" s="17"/>
      <c r="K66" s="22"/>
      <c r="L66" s="24"/>
      <c r="M66" s="22"/>
      <c r="N66" s="22"/>
      <c r="O66" s="22"/>
      <c r="P66" s="1"/>
      <c r="Q66" s="1"/>
      <c r="R66" s="1"/>
      <c r="S66" s="1"/>
      <c r="T66" s="1"/>
      <c r="U66" s="1"/>
    </row>
    <row r="67" spans="1:50" s="1" customFormat="1" outlineLevel="1">
      <c r="A67" s="62"/>
      <c r="C67" s="5"/>
      <c r="D67" s="5"/>
      <c r="E67" s="16"/>
      <c r="F67" s="26"/>
      <c r="G67" s="14"/>
      <c r="H67" s="5"/>
      <c r="I67" s="5"/>
      <c r="J67" s="5"/>
      <c r="K67" s="25"/>
      <c r="L67" s="25"/>
      <c r="M67" s="25"/>
      <c r="N67" s="25"/>
    </row>
    <row r="68" spans="1:50" ht="18.75">
      <c r="A68" s="62"/>
      <c r="B68" s="1"/>
      <c r="C68" s="1"/>
      <c r="D68" s="1"/>
      <c r="E68" s="9"/>
      <c r="F68" s="15"/>
      <c r="G68" s="14"/>
      <c r="H68" s="1"/>
      <c r="I68" s="1"/>
      <c r="J68" s="1"/>
      <c r="K68" s="1"/>
      <c r="L68" s="1"/>
      <c r="M68" s="1"/>
      <c r="N68" s="1"/>
      <c r="O68" s="1"/>
      <c r="P68" s="1"/>
      <c r="Q68" s="1"/>
      <c r="R68" s="1"/>
      <c r="S68" s="1"/>
      <c r="T68" s="1"/>
      <c r="U68" s="1"/>
    </row>
    <row r="69" spans="1:50">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row>
    <row r="70" spans="1:50">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row>
    <row r="71" spans="1:50">
      <c r="A71" s="448" t="s">
        <v>93</v>
      </c>
      <c r="B71" s="448"/>
      <c r="C71" s="448"/>
      <c r="D71" s="448"/>
      <c r="E71" s="448"/>
      <c r="F71" s="448"/>
      <c r="G71" s="448"/>
      <c r="H71" s="448"/>
      <c r="I71" s="448"/>
      <c r="J71" s="448"/>
      <c r="K71" s="448"/>
      <c r="L71" s="448"/>
      <c r="M71" s="448"/>
      <c r="N71" s="448"/>
      <c r="O71" s="448"/>
      <c r="P71" s="448"/>
      <c r="Q71" s="448"/>
      <c r="R71" s="448"/>
      <c r="S71" s="448"/>
      <c r="T71" s="448"/>
      <c r="U71" s="448"/>
      <c r="V71" s="448"/>
      <c r="W71" s="448"/>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row>
    <row r="72" spans="1:50">
      <c r="A72" s="448"/>
      <c r="B72" s="448"/>
      <c r="C72" s="448"/>
      <c r="D72" s="448"/>
      <c r="E72" s="448"/>
      <c r="F72" s="448"/>
      <c r="G72" s="448"/>
      <c r="H72" s="448"/>
      <c r="I72" s="448"/>
      <c r="J72" s="448"/>
      <c r="K72" s="448"/>
      <c r="L72" s="448"/>
      <c r="M72" s="448"/>
      <c r="N72" s="448"/>
      <c r="O72" s="448"/>
      <c r="P72" s="448"/>
      <c r="Q72" s="448"/>
      <c r="R72" s="448"/>
      <c r="S72" s="448"/>
      <c r="T72" s="448"/>
      <c r="U72" s="448"/>
      <c r="V72" s="448"/>
      <c r="W72" s="448"/>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row>
    <row r="73" spans="1:50">
      <c r="A73" s="448"/>
      <c r="B73" s="448"/>
      <c r="C73" s="448"/>
      <c r="D73" s="448"/>
      <c r="E73" s="448"/>
      <c r="F73" s="448"/>
      <c r="G73" s="448"/>
      <c r="H73" s="448"/>
      <c r="I73" s="448"/>
      <c r="J73" s="448"/>
      <c r="K73" s="448"/>
      <c r="L73" s="448"/>
      <c r="M73" s="448"/>
      <c r="N73" s="448"/>
      <c r="O73" s="448"/>
      <c r="P73" s="448"/>
      <c r="Q73" s="448"/>
      <c r="R73" s="448"/>
      <c r="S73" s="448"/>
      <c r="T73" s="448"/>
      <c r="U73" s="448"/>
      <c r="V73" s="448"/>
      <c r="W73" s="448"/>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row>
    <row r="74" spans="1:50">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row>
    <row r="75" spans="1:50">
      <c r="A75" s="1"/>
      <c r="B75" s="1"/>
      <c r="C75" s="1"/>
      <c r="D75" s="1"/>
      <c r="E75" s="1"/>
      <c r="F75" s="1"/>
      <c r="G75" s="1"/>
      <c r="H75" s="1"/>
      <c r="I75" s="1"/>
      <c r="J75" s="1"/>
      <c r="K75" s="1"/>
      <c r="L75" s="1"/>
      <c r="M75" s="1"/>
      <c r="N75" s="1"/>
      <c r="O75" s="1"/>
      <c r="P75" s="1"/>
      <c r="Q75" s="1"/>
      <c r="R75" s="1"/>
      <c r="S75" s="1"/>
      <c r="T75" s="1"/>
      <c r="U75" s="1"/>
      <c r="V75" s="1"/>
      <c r="W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row>
    <row r="76" spans="1:50">
      <c r="A76" s="1"/>
      <c r="B76" s="1"/>
      <c r="C76" s="1"/>
      <c r="D76" s="1"/>
      <c r="E76" s="1"/>
      <c r="F76" s="1"/>
      <c r="G76" s="1"/>
      <c r="H76" s="1"/>
      <c r="I76" s="1"/>
      <c r="J76" s="1"/>
      <c r="K76" s="1"/>
      <c r="L76" s="1"/>
      <c r="M76" s="1"/>
      <c r="N76" s="1"/>
      <c r="O76" s="1"/>
      <c r="P76" s="1"/>
      <c r="Q76" s="290" t="s">
        <v>245</v>
      </c>
      <c r="R76" s="290"/>
      <c r="S76" s="289"/>
      <c r="T76" s="289"/>
      <c r="U76" s="289"/>
      <c r="V76" s="289"/>
      <c r="W76" s="289"/>
      <c r="X76" s="289"/>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row>
    <row r="77" spans="1:50">
      <c r="A77" s="1"/>
      <c r="B77" s="1"/>
      <c r="C77" s="1"/>
      <c r="D77" s="1"/>
      <c r="E77" s="1"/>
      <c r="F77" s="1"/>
      <c r="G77" s="1"/>
      <c r="H77" s="1"/>
      <c r="I77" s="1"/>
      <c r="J77" s="1"/>
      <c r="K77" s="1"/>
      <c r="L77" s="1"/>
      <c r="M77" s="1"/>
      <c r="N77" s="1"/>
      <c r="O77" s="1"/>
      <c r="P77" s="1"/>
      <c r="Q77" s="81" t="s">
        <v>230</v>
      </c>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row>
    <row r="78" spans="1:50" ht="15.75">
      <c r="A78" s="1"/>
      <c r="B78" s="1"/>
      <c r="C78" s="1"/>
      <c r="D78" s="1"/>
      <c r="E78" s="1"/>
      <c r="F78" s="1"/>
      <c r="G78" s="1"/>
      <c r="H78" s="1"/>
      <c r="I78" s="80"/>
      <c r="J78" s="1"/>
      <c r="K78" s="1"/>
      <c r="L78" s="1"/>
      <c r="M78" s="1"/>
      <c r="N78" s="1"/>
      <c r="O78" s="1"/>
      <c r="P78" s="1"/>
      <c r="Q78" s="81" t="s">
        <v>231</v>
      </c>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row>
    <row r="79" spans="1:50">
      <c r="A79" s="1"/>
      <c r="B79" s="1"/>
      <c r="C79" s="1"/>
      <c r="D79" s="1"/>
      <c r="E79" s="1"/>
      <c r="F79" s="1"/>
      <c r="G79" s="1"/>
      <c r="I79" s="1"/>
      <c r="J79" s="1"/>
      <c r="K79" s="1"/>
      <c r="L79" s="1"/>
      <c r="M79" s="1"/>
      <c r="N79" s="1"/>
      <c r="O79" s="1"/>
      <c r="P79" s="25"/>
      <c r="Q79" s="81" t="s">
        <v>246</v>
      </c>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row>
    <row r="80" spans="1:50">
      <c r="A80" s="1"/>
      <c r="B80" s="1"/>
      <c r="C80" s="1"/>
      <c r="D80" s="1"/>
      <c r="E80" s="1"/>
      <c r="F80" s="1"/>
      <c r="G80" s="1"/>
      <c r="H80" s="338" t="s">
        <v>101</v>
      </c>
      <c r="I80" s="338"/>
      <c r="J80" s="338"/>
      <c r="K80" s="338"/>
      <c r="L80" s="338"/>
      <c r="M80" s="338"/>
      <c r="N80" s="338"/>
      <c r="O80" s="338"/>
      <c r="P80" s="25"/>
      <c r="Q80" s="81" t="s">
        <v>149</v>
      </c>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row>
    <row r="81" spans="1:50">
      <c r="A81" s="1"/>
      <c r="B81" s="1"/>
      <c r="C81" s="1"/>
      <c r="D81" s="1"/>
      <c r="E81" s="1"/>
      <c r="F81" s="1"/>
      <c r="G81" s="1"/>
      <c r="H81" s="340"/>
      <c r="I81" s="340"/>
      <c r="J81" s="340"/>
      <c r="K81" s="340"/>
      <c r="L81" s="340"/>
      <c r="M81" s="340"/>
      <c r="N81" s="340"/>
      <c r="O81" s="340"/>
      <c r="P81" s="25"/>
      <c r="Q81" s="81" t="s">
        <v>249</v>
      </c>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row>
    <row r="82" spans="1:50">
      <c r="A82" s="1"/>
      <c r="B82" s="1"/>
      <c r="C82" s="1"/>
      <c r="D82" s="1"/>
      <c r="E82" s="1"/>
      <c r="F82" s="1"/>
      <c r="G82" s="1"/>
      <c r="H82" s="338" t="s">
        <v>99</v>
      </c>
      <c r="I82" s="338"/>
      <c r="J82" s="338"/>
      <c r="K82" s="338"/>
      <c r="L82" s="338"/>
      <c r="M82" s="338"/>
      <c r="N82" s="338"/>
      <c r="O82" s="338"/>
      <c r="P82" s="25"/>
      <c r="Q82" s="81" t="s">
        <v>229</v>
      </c>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row>
    <row r="83" spans="1:50">
      <c r="A83" s="1"/>
      <c r="B83" s="1"/>
      <c r="C83" s="1"/>
      <c r="D83" s="1"/>
      <c r="E83" s="1"/>
      <c r="F83" s="1"/>
      <c r="G83" s="1"/>
      <c r="H83" s="338" t="s">
        <v>98</v>
      </c>
      <c r="I83" s="338"/>
      <c r="J83" s="338"/>
      <c r="K83" s="338"/>
      <c r="L83" s="338"/>
      <c r="M83" s="338"/>
      <c r="N83" s="338"/>
      <c r="O83" s="338"/>
      <c r="P83" s="25"/>
      <c r="Q83" s="81" t="s">
        <v>248</v>
      </c>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row>
    <row r="84" spans="1:50">
      <c r="A84" s="1"/>
      <c r="B84" s="1"/>
      <c r="C84" s="1"/>
      <c r="D84" s="1"/>
      <c r="E84" s="1"/>
      <c r="F84" s="1"/>
      <c r="G84" s="1"/>
      <c r="H84" s="338" t="s">
        <v>100</v>
      </c>
      <c r="I84" s="338"/>
      <c r="J84" s="338"/>
      <c r="K84" s="338"/>
      <c r="L84" s="338"/>
      <c r="M84" s="338"/>
      <c r="N84" s="338"/>
      <c r="O84" s="338"/>
      <c r="P84" s="25"/>
      <c r="Q84" s="81" t="s">
        <v>247</v>
      </c>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row>
    <row r="85" spans="1:50">
      <c r="A85" s="1"/>
      <c r="B85" s="1"/>
      <c r="C85" s="1"/>
      <c r="D85" s="1"/>
      <c r="E85" s="1"/>
      <c r="F85" s="1"/>
      <c r="G85" s="1"/>
      <c r="H85" s="341"/>
      <c r="I85" s="341"/>
      <c r="J85" s="341"/>
      <c r="K85" s="341"/>
      <c r="L85" s="341"/>
      <c r="M85" s="341"/>
      <c r="N85" s="341"/>
      <c r="O85" s="341"/>
      <c r="P85" s="25"/>
      <c r="Q85" s="81" t="s">
        <v>293</v>
      </c>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row>
    <row r="86" spans="1:50">
      <c r="A86" s="1"/>
      <c r="B86" s="1"/>
      <c r="C86" s="1"/>
      <c r="D86" s="1"/>
      <c r="E86" s="1"/>
      <c r="F86" s="1"/>
      <c r="G86" s="1"/>
      <c r="H86" s="340"/>
      <c r="I86" s="340"/>
      <c r="J86" s="340"/>
      <c r="K86" s="340"/>
      <c r="L86" s="340"/>
      <c r="M86" s="340"/>
      <c r="N86" s="340"/>
      <c r="O86" s="340"/>
      <c r="P86" s="25"/>
      <c r="Q86" s="81" t="s">
        <v>228</v>
      </c>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row>
    <row r="87" spans="1:50">
      <c r="A87" s="1"/>
      <c r="B87" s="1"/>
      <c r="C87" s="1"/>
      <c r="D87" s="1"/>
      <c r="E87" s="1"/>
      <c r="F87" s="1"/>
      <c r="G87" s="1"/>
      <c r="H87" s="338" t="s">
        <v>102</v>
      </c>
      <c r="I87" s="338"/>
      <c r="J87" s="338"/>
      <c r="K87" s="338"/>
      <c r="L87" s="338"/>
      <c r="M87" s="338"/>
      <c r="N87" s="338"/>
      <c r="O87" s="338"/>
      <c r="P87" s="25"/>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row>
    <row r="88" spans="1:50">
      <c r="A88" s="1"/>
      <c r="B88" s="1"/>
      <c r="C88" s="1"/>
      <c r="D88" s="1"/>
      <c r="E88" s="1"/>
      <c r="F88" s="1"/>
      <c r="G88" s="1"/>
      <c r="H88" s="340"/>
      <c r="I88" s="340"/>
      <c r="J88" s="340"/>
      <c r="K88" s="340"/>
      <c r="L88" s="340"/>
      <c r="M88" s="340"/>
      <c r="N88" s="340"/>
      <c r="O88" s="340"/>
      <c r="P88" s="25"/>
      <c r="Q88" s="290" t="s">
        <v>232</v>
      </c>
      <c r="R88" s="290"/>
      <c r="S88" s="289"/>
      <c r="T88" s="289"/>
      <c r="U88" s="289"/>
      <c r="V88" s="289"/>
      <c r="W88" s="289"/>
      <c r="X88" s="289"/>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row>
    <row r="89" spans="1:50">
      <c r="A89" s="1"/>
      <c r="B89" s="1"/>
      <c r="C89" s="1"/>
      <c r="D89" s="1"/>
      <c r="E89" s="1"/>
      <c r="F89" s="1"/>
      <c r="G89" s="1"/>
      <c r="H89" s="338" t="s">
        <v>103</v>
      </c>
      <c r="I89" s="338"/>
      <c r="J89" s="338"/>
      <c r="K89" s="338"/>
      <c r="L89" s="338"/>
      <c r="M89" s="338"/>
      <c r="N89" s="338"/>
      <c r="O89" s="338"/>
      <c r="P89" s="25"/>
      <c r="Q89" s="81" t="s">
        <v>233</v>
      </c>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row>
    <row r="90" spans="1:50">
      <c r="A90" s="1"/>
      <c r="B90" s="1"/>
      <c r="C90" s="1"/>
      <c r="D90" s="1"/>
      <c r="E90" s="1"/>
      <c r="F90" s="1"/>
      <c r="G90" s="1"/>
      <c r="H90" s="340"/>
      <c r="I90" s="341"/>
      <c r="J90" s="341"/>
      <c r="K90" s="341"/>
      <c r="L90" s="341"/>
      <c r="M90" s="341"/>
      <c r="N90" s="341"/>
      <c r="O90" s="341"/>
      <c r="P90" s="25"/>
      <c r="Q90" s="81" t="s">
        <v>227</v>
      </c>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row>
    <row r="91" spans="1:50">
      <c r="A91" s="1"/>
      <c r="B91" s="1"/>
      <c r="C91" s="1"/>
      <c r="D91" s="1"/>
      <c r="E91" s="1"/>
      <c r="F91" s="1"/>
      <c r="G91" s="1"/>
      <c r="H91" s="340"/>
      <c r="I91" s="340"/>
      <c r="J91" s="340"/>
      <c r="K91" s="340"/>
      <c r="L91" s="340"/>
      <c r="M91" s="340"/>
      <c r="N91" s="340"/>
      <c r="O91" s="340"/>
      <c r="P91" s="25"/>
      <c r="Q91" s="81" t="s">
        <v>226</v>
      </c>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row>
    <row r="92" spans="1:50">
      <c r="A92" s="1"/>
      <c r="B92" s="1"/>
      <c r="C92" s="1"/>
      <c r="D92" s="1"/>
      <c r="E92" s="1"/>
      <c r="F92" s="1"/>
      <c r="G92" s="1"/>
      <c r="H92" s="338" t="s">
        <v>104</v>
      </c>
      <c r="I92" s="338"/>
      <c r="J92" s="338"/>
      <c r="K92" s="338"/>
      <c r="L92" s="338"/>
      <c r="M92" s="338"/>
      <c r="N92" s="338"/>
      <c r="O92" s="338"/>
      <c r="P92" s="339"/>
      <c r="Q92" s="81" t="s">
        <v>225</v>
      </c>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row>
    <row r="93" spans="1:50">
      <c r="A93" s="1"/>
      <c r="B93" s="1"/>
      <c r="C93" s="1"/>
      <c r="D93" s="1"/>
      <c r="E93" s="1"/>
      <c r="F93" s="1"/>
      <c r="G93" s="1"/>
      <c r="H93" s="338" t="s">
        <v>105</v>
      </c>
      <c r="I93" s="338"/>
      <c r="J93" s="338"/>
      <c r="K93" s="338"/>
      <c r="L93" s="338"/>
      <c r="M93" s="338"/>
      <c r="N93" s="338"/>
      <c r="O93" s="338"/>
      <c r="P93" s="25"/>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row>
    <row r="94" spans="1:50">
      <c r="A94" s="1"/>
      <c r="B94" s="1"/>
      <c r="C94" s="1"/>
      <c r="D94" s="1"/>
      <c r="E94" s="1"/>
      <c r="F94" s="1"/>
      <c r="G94" s="1"/>
      <c r="H94" s="340"/>
      <c r="I94" s="340"/>
      <c r="J94" s="340"/>
      <c r="K94" s="340"/>
      <c r="L94" s="340"/>
      <c r="M94" s="340"/>
      <c r="N94" s="340"/>
      <c r="O94" s="340"/>
      <c r="P94" s="25"/>
      <c r="Q94" s="290" t="s">
        <v>237</v>
      </c>
      <c r="R94" s="289"/>
      <c r="S94" s="289"/>
      <c r="T94" s="289"/>
      <c r="U94" s="289"/>
      <c r="V94" s="289"/>
      <c r="W94" s="289"/>
      <c r="X94" s="289"/>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row>
    <row r="95" spans="1:50">
      <c r="A95" s="1"/>
      <c r="B95" s="1"/>
      <c r="C95" s="1"/>
      <c r="D95" s="1"/>
      <c r="E95" s="1"/>
      <c r="F95" s="1"/>
      <c r="G95" s="1"/>
      <c r="H95" s="340"/>
      <c r="I95" s="340"/>
      <c r="J95" s="340"/>
      <c r="K95" s="340"/>
      <c r="L95" s="340"/>
      <c r="M95" s="340"/>
      <c r="N95" s="340"/>
      <c r="O95" s="340"/>
      <c r="P95" s="25"/>
      <c r="Q95" s="81" t="s">
        <v>233</v>
      </c>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row>
    <row r="96" spans="1:50">
      <c r="A96" s="1"/>
      <c r="B96" s="1"/>
      <c r="C96" s="1"/>
      <c r="D96" s="1"/>
      <c r="E96" s="1"/>
      <c r="F96" s="1"/>
      <c r="G96" s="1"/>
      <c r="H96" s="340"/>
      <c r="I96" s="340"/>
      <c r="J96" s="340"/>
      <c r="K96" s="340"/>
      <c r="L96" s="340"/>
      <c r="M96" s="340"/>
      <c r="N96" s="340"/>
      <c r="O96" s="340"/>
      <c r="P96" s="25"/>
      <c r="Q96" s="81" t="s">
        <v>234</v>
      </c>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row>
    <row r="97" spans="1:50">
      <c r="A97" s="1"/>
      <c r="B97" s="1"/>
      <c r="C97" s="1"/>
      <c r="D97" s="1"/>
      <c r="E97" s="1"/>
      <c r="F97" s="1"/>
      <c r="G97" s="1"/>
      <c r="H97" s="338" t="s">
        <v>106</v>
      </c>
      <c r="I97" s="338"/>
      <c r="J97" s="338"/>
      <c r="K97" s="338"/>
      <c r="L97" s="338"/>
      <c r="M97" s="338"/>
      <c r="N97" s="338"/>
      <c r="O97" s="338"/>
      <c r="P97" s="25"/>
      <c r="Q97" s="81" t="s">
        <v>235</v>
      </c>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row>
    <row r="98" spans="1:50">
      <c r="A98" s="1"/>
      <c r="B98" s="1"/>
      <c r="C98" s="1"/>
      <c r="D98" s="1"/>
      <c r="E98" s="1"/>
      <c r="F98" s="1"/>
      <c r="G98" s="1"/>
      <c r="H98" s="340"/>
      <c r="I98" s="340"/>
      <c r="J98" s="340"/>
      <c r="K98" s="340"/>
      <c r="L98" s="340"/>
      <c r="M98" s="340"/>
      <c r="N98" s="340"/>
      <c r="O98" s="340"/>
      <c r="P98" s="1"/>
      <c r="Q98" s="81" t="s">
        <v>236</v>
      </c>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row>
    <row r="99" spans="1:50">
      <c r="A99" s="1"/>
      <c r="B99" s="1"/>
      <c r="C99" s="1"/>
      <c r="D99" s="1"/>
      <c r="E99" s="1"/>
      <c r="F99" s="1"/>
      <c r="G99" s="1"/>
      <c r="H99" s="340"/>
      <c r="I99" s="340"/>
      <c r="J99" s="340"/>
      <c r="K99" s="340"/>
      <c r="L99" s="340"/>
      <c r="M99" s="340"/>
      <c r="N99" s="340"/>
      <c r="O99" s="340"/>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row>
    <row r="100" spans="1:50">
      <c r="A100" s="1"/>
      <c r="B100" s="1"/>
      <c r="C100" s="1"/>
      <c r="D100" s="1"/>
      <c r="E100" s="1"/>
      <c r="F100" s="1"/>
      <c r="G100" s="1"/>
      <c r="H100" s="340"/>
      <c r="I100" s="340"/>
      <c r="J100" s="340"/>
      <c r="K100" s="340"/>
      <c r="L100" s="340"/>
      <c r="M100" s="340"/>
      <c r="N100" s="340"/>
      <c r="O100" s="340"/>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row>
    <row r="101" spans="1:50">
      <c r="A101" s="1"/>
      <c r="B101" s="1"/>
      <c r="C101" s="1"/>
      <c r="D101" s="1"/>
      <c r="E101" s="1"/>
      <c r="F101" s="1"/>
      <c r="G101" s="1"/>
      <c r="H101" s="338" t="s">
        <v>107</v>
      </c>
      <c r="I101" s="338"/>
      <c r="J101" s="338"/>
      <c r="K101" s="338"/>
      <c r="L101" s="338"/>
      <c r="M101" s="338"/>
      <c r="N101" s="338"/>
      <c r="O101" s="338"/>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row>
    <row r="102" spans="1:50">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row>
    <row r="103" spans="1:50">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row>
    <row r="104" spans="1:50">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row>
    <row r="105" spans="1:50">
      <c r="A105" s="448" t="s">
        <v>137</v>
      </c>
      <c r="B105" s="448"/>
      <c r="C105" s="448"/>
      <c r="D105" s="448"/>
      <c r="E105" s="448"/>
      <c r="F105" s="448"/>
      <c r="G105" s="448"/>
      <c r="H105" s="448"/>
      <c r="I105" s="448"/>
      <c r="J105" s="448"/>
      <c r="K105" s="448"/>
      <c r="L105" s="448"/>
      <c r="M105" s="448"/>
      <c r="N105" s="448"/>
      <c r="O105" s="448"/>
      <c r="P105" s="448"/>
      <c r="Q105" s="448"/>
      <c r="R105" s="448"/>
      <c r="S105" s="448"/>
      <c r="T105" s="448"/>
      <c r="U105" s="448"/>
      <c r="V105" s="448"/>
      <c r="W105" s="448"/>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row>
    <row r="106" spans="1:50">
      <c r="A106" s="448"/>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row>
    <row r="107" spans="1:50">
      <c r="A107" s="448"/>
      <c r="B107" s="448"/>
      <c r="C107" s="448"/>
      <c r="D107" s="448"/>
      <c r="E107" s="448"/>
      <c r="F107" s="448"/>
      <c r="G107" s="448"/>
      <c r="H107" s="448"/>
      <c r="I107" s="448"/>
      <c r="J107" s="448"/>
      <c r="K107" s="448"/>
      <c r="L107" s="448"/>
      <c r="M107" s="448"/>
      <c r="N107" s="448"/>
      <c r="O107" s="448"/>
      <c r="P107" s="448"/>
      <c r="Q107" s="448"/>
      <c r="R107" s="448"/>
      <c r="S107" s="448"/>
      <c r="T107" s="448"/>
      <c r="U107" s="448"/>
      <c r="V107" s="448"/>
      <c r="W107" s="448"/>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row>
    <row r="108" spans="1:50">
      <c r="A108" s="1" t="s">
        <v>136</v>
      </c>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row>
    <row r="109" spans="1:50">
      <c r="A109" s="1"/>
      <c r="B109" s="500" t="s">
        <v>116</v>
      </c>
      <c r="C109" s="501"/>
      <c r="D109" s="501"/>
      <c r="E109" s="501"/>
      <c r="F109" s="501"/>
      <c r="G109" s="501"/>
      <c r="H109" s="501"/>
      <c r="I109" s="501"/>
      <c r="J109" s="1"/>
      <c r="K109" s="493" t="s">
        <v>266</v>
      </c>
      <c r="L109" s="494"/>
      <c r="M109" s="348"/>
      <c r="N109" s="348"/>
      <c r="O109" s="348"/>
      <c r="P109" s="348"/>
      <c r="Q109" s="348"/>
      <c r="R109" s="348"/>
      <c r="S109" s="25"/>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row>
    <row r="110" spans="1:50">
      <c r="A110" s="1"/>
      <c r="B110" s="499" t="s">
        <v>115</v>
      </c>
      <c r="C110" s="499"/>
      <c r="D110" s="499" t="s">
        <v>119</v>
      </c>
      <c r="E110" s="499"/>
      <c r="F110" s="499" t="s">
        <v>120</v>
      </c>
      <c r="G110" s="499"/>
      <c r="H110" s="499" t="s">
        <v>254</v>
      </c>
      <c r="I110" s="499"/>
      <c r="J110" s="1"/>
      <c r="K110" s="491" t="s">
        <v>267</v>
      </c>
      <c r="L110" s="492"/>
      <c r="M110" s="349"/>
      <c r="N110" s="349"/>
      <c r="O110" s="349"/>
      <c r="P110" s="349"/>
      <c r="Q110" s="349"/>
      <c r="R110" s="349"/>
      <c r="S110" s="25"/>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row>
    <row r="111" spans="1:50">
      <c r="A111" s="1"/>
      <c r="B111" s="93" t="s">
        <v>117</v>
      </c>
      <c r="C111" s="90"/>
      <c r="D111" s="93" t="s">
        <v>117</v>
      </c>
      <c r="E111" s="90"/>
      <c r="F111" s="93" t="s">
        <v>117</v>
      </c>
      <c r="G111" s="90"/>
      <c r="H111" s="93" t="s">
        <v>117</v>
      </c>
      <c r="I111" s="90"/>
      <c r="J111" s="1"/>
      <c r="K111" s="358" t="s">
        <v>285</v>
      </c>
      <c r="L111" s="352"/>
      <c r="M111" s="25"/>
      <c r="N111" s="25"/>
      <c r="O111" s="25"/>
      <c r="P111" s="25"/>
      <c r="Q111" s="25"/>
      <c r="R111" s="25"/>
      <c r="S111" s="25"/>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row>
    <row r="112" spans="1:50">
      <c r="A112" s="1"/>
      <c r="B112" s="94" t="s">
        <v>146</v>
      </c>
      <c r="C112" s="91"/>
      <c r="D112" s="94" t="s">
        <v>124</v>
      </c>
      <c r="E112" s="91"/>
      <c r="F112" s="94" t="s">
        <v>121</v>
      </c>
      <c r="G112" s="91"/>
      <c r="H112" s="94" t="s">
        <v>255</v>
      </c>
      <c r="I112" s="91"/>
      <c r="J112" s="1"/>
      <c r="K112" s="353" t="s">
        <v>258</v>
      </c>
      <c r="L112" s="351"/>
      <c r="M112" s="25"/>
      <c r="N112" s="25"/>
      <c r="O112" s="25"/>
      <c r="P112" s="25"/>
      <c r="Q112" s="25"/>
      <c r="R112" s="25"/>
      <c r="S112" s="25"/>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row>
    <row r="113" spans="1:50">
      <c r="A113" s="1"/>
      <c r="B113" s="94" t="s">
        <v>118</v>
      </c>
      <c r="C113" s="91"/>
      <c r="D113" s="94" t="s">
        <v>118</v>
      </c>
      <c r="E113" s="91"/>
      <c r="F113" s="94" t="s">
        <v>122</v>
      </c>
      <c r="G113" s="91"/>
      <c r="H113" s="94" t="s">
        <v>256</v>
      </c>
      <c r="I113" s="91"/>
      <c r="J113" s="1"/>
      <c r="K113" s="358" t="s">
        <v>286</v>
      </c>
      <c r="L113" s="352"/>
      <c r="M113" s="25"/>
      <c r="N113" s="25"/>
      <c r="O113" s="25"/>
      <c r="P113" s="25"/>
      <c r="Q113" s="87"/>
      <c r="R113" s="87"/>
      <c r="S113" s="25"/>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row>
    <row r="114" spans="1:50">
      <c r="A114" s="1"/>
      <c r="B114" s="94" t="s">
        <v>150</v>
      </c>
      <c r="C114" s="91"/>
      <c r="D114" s="94" t="s">
        <v>125</v>
      </c>
      <c r="E114" s="91"/>
      <c r="F114" s="94" t="s">
        <v>151</v>
      </c>
      <c r="G114" s="91"/>
      <c r="H114" s="94" t="s">
        <v>156</v>
      </c>
      <c r="I114" s="91"/>
      <c r="J114" s="1"/>
      <c r="K114" s="353" t="s">
        <v>263</v>
      </c>
      <c r="L114" s="360"/>
      <c r="M114" s="25"/>
      <c r="N114" s="25"/>
      <c r="O114" s="25"/>
      <c r="P114" s="25"/>
      <c r="Q114" s="87"/>
      <c r="R114" s="87"/>
      <c r="S114" s="25"/>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row>
    <row r="115" spans="1:50">
      <c r="A115" s="1"/>
      <c r="B115" s="94" t="s">
        <v>149</v>
      </c>
      <c r="C115" s="91"/>
      <c r="D115" s="94" t="s">
        <v>150</v>
      </c>
      <c r="E115" s="91"/>
      <c r="F115" s="94"/>
      <c r="G115" s="91"/>
      <c r="H115" s="94" t="s">
        <v>44</v>
      </c>
      <c r="I115" s="91"/>
      <c r="J115" s="1"/>
      <c r="K115" s="353" t="s">
        <v>264</v>
      </c>
      <c r="L115" s="351"/>
      <c r="M115" s="25"/>
      <c r="N115" s="25"/>
      <c r="O115" s="87"/>
      <c r="P115" s="87"/>
      <c r="Q115" s="87"/>
      <c r="R115" s="87"/>
      <c r="S115" s="25"/>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row>
    <row r="116" spans="1:50">
      <c r="A116" s="1"/>
      <c r="B116" s="94" t="s">
        <v>123</v>
      </c>
      <c r="C116" s="92"/>
      <c r="D116" s="94" t="s">
        <v>149</v>
      </c>
      <c r="E116" s="91"/>
      <c r="F116" s="95"/>
      <c r="G116" s="92"/>
      <c r="H116" s="94"/>
      <c r="I116" s="91"/>
      <c r="J116" s="1"/>
      <c r="K116" s="353" t="s">
        <v>265</v>
      </c>
      <c r="L116" s="354"/>
      <c r="M116" s="25"/>
      <c r="N116" s="25"/>
      <c r="O116" s="87"/>
      <c r="P116" s="87"/>
      <c r="Q116" s="87"/>
      <c r="R116" s="87"/>
      <c r="S116" s="25"/>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row>
    <row r="117" spans="1:50">
      <c r="A117" s="1"/>
      <c r="B117" s="87"/>
      <c r="C117" s="25"/>
      <c r="D117" s="94" t="s">
        <v>123</v>
      </c>
      <c r="E117" s="91"/>
      <c r="F117" s="25"/>
      <c r="G117" s="25"/>
      <c r="H117" s="94"/>
      <c r="I117" s="91"/>
      <c r="J117" s="1"/>
      <c r="K117" s="353" t="s">
        <v>262</v>
      </c>
      <c r="L117" s="354"/>
      <c r="M117" s="25"/>
      <c r="N117" s="25"/>
      <c r="O117" s="25"/>
      <c r="P117" s="25"/>
      <c r="Q117" s="87"/>
      <c r="R117" s="87"/>
      <c r="S117" s="25"/>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row>
    <row r="118" spans="1:50">
      <c r="A118" s="1"/>
      <c r="B118" s="1"/>
      <c r="C118" s="490"/>
      <c r="D118" s="490"/>
      <c r="E118" s="490"/>
      <c r="F118" s="490"/>
      <c r="G118" s="490"/>
      <c r="H118" s="490"/>
      <c r="I118" s="1"/>
      <c r="J118" s="1"/>
      <c r="K118" s="353" t="s">
        <v>261</v>
      </c>
      <c r="L118" s="354"/>
      <c r="M118" s="25"/>
      <c r="N118" s="25"/>
      <c r="O118" s="25"/>
      <c r="P118" s="25"/>
      <c r="Q118" s="25"/>
      <c r="R118" s="25"/>
      <c r="S118" s="25"/>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row>
    <row r="119" spans="1:50">
      <c r="A119" s="1"/>
      <c r="B119" s="502" t="s">
        <v>88</v>
      </c>
      <c r="C119" s="502"/>
      <c r="D119" s="502"/>
      <c r="E119" s="502"/>
      <c r="F119" s="502"/>
      <c r="G119" s="502"/>
      <c r="H119" s="502"/>
      <c r="I119" s="502"/>
      <c r="J119" s="1"/>
      <c r="K119" s="358" t="s">
        <v>287</v>
      </c>
      <c r="L119" s="352"/>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row>
    <row r="120" spans="1:50">
      <c r="A120" s="1"/>
      <c r="B120" s="1"/>
      <c r="C120" s="4"/>
      <c r="D120" s="4"/>
      <c r="E120" s="4"/>
      <c r="F120" s="4"/>
      <c r="G120" s="4"/>
      <c r="H120" s="4"/>
      <c r="I120" s="1"/>
      <c r="J120" s="1"/>
      <c r="K120" s="353" t="s">
        <v>259</v>
      </c>
      <c r="L120" s="35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row>
    <row r="121" spans="1:50">
      <c r="A121" s="1"/>
      <c r="B121" s="486" t="s">
        <v>135</v>
      </c>
      <c r="C121" s="487"/>
      <c r="D121" s="96"/>
      <c r="E121" s="486" t="s">
        <v>143</v>
      </c>
      <c r="F121" s="487"/>
      <c r="G121" s="96"/>
      <c r="H121" s="486" t="s">
        <v>274</v>
      </c>
      <c r="I121" s="487"/>
      <c r="J121" s="1"/>
      <c r="K121" s="353" t="s">
        <v>260</v>
      </c>
      <c r="L121" s="354"/>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row>
    <row r="122" spans="1:50">
      <c r="A122" s="1"/>
      <c r="B122" s="99" t="s">
        <v>138</v>
      </c>
      <c r="C122" s="97"/>
      <c r="D122" s="25"/>
      <c r="E122" s="105" t="s">
        <v>117</v>
      </c>
      <c r="F122" s="104"/>
      <c r="G122" s="25"/>
      <c r="H122" s="105" t="s">
        <v>117</v>
      </c>
      <c r="I122" s="104"/>
      <c r="J122" s="1"/>
      <c r="K122" s="353" t="s">
        <v>280</v>
      </c>
      <c r="L122" s="354"/>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row>
    <row r="123" spans="1:50">
      <c r="A123" s="1"/>
      <c r="B123" s="94" t="s">
        <v>126</v>
      </c>
      <c r="C123" s="92"/>
      <c r="D123" s="25"/>
      <c r="E123" s="104" t="s">
        <v>152</v>
      </c>
      <c r="F123" s="104"/>
      <c r="G123" s="25"/>
      <c r="H123" s="104" t="s">
        <v>59</v>
      </c>
      <c r="I123" s="104"/>
      <c r="J123" s="1"/>
      <c r="K123" s="358" t="s">
        <v>288</v>
      </c>
      <c r="L123" s="352"/>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row>
    <row r="124" spans="1:50">
      <c r="A124" s="1"/>
      <c r="B124" s="94" t="s">
        <v>127</v>
      </c>
      <c r="C124" s="92"/>
      <c r="D124" s="25"/>
      <c r="E124" s="104" t="s">
        <v>153</v>
      </c>
      <c r="F124" s="104"/>
      <c r="G124" s="25"/>
      <c r="H124" s="104" t="s">
        <v>60</v>
      </c>
      <c r="I124" s="104"/>
      <c r="J124" s="1"/>
      <c r="K124" s="353" t="s">
        <v>281</v>
      </c>
      <c r="L124" s="35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row>
    <row r="125" spans="1:50">
      <c r="A125" s="1"/>
      <c r="B125" s="99" t="s">
        <v>139</v>
      </c>
      <c r="C125" s="97"/>
      <c r="D125" s="25"/>
      <c r="E125" s="104" t="s">
        <v>154</v>
      </c>
      <c r="F125" s="104"/>
      <c r="G125" s="25"/>
      <c r="H125" s="104" t="s">
        <v>275</v>
      </c>
      <c r="I125" s="346" t="s">
        <v>276</v>
      </c>
      <c r="J125" s="1"/>
      <c r="K125" s="358" t="s">
        <v>289</v>
      </c>
      <c r="L125" s="352"/>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row>
    <row r="126" spans="1:50">
      <c r="A126" s="1"/>
      <c r="B126" s="94" t="s">
        <v>128</v>
      </c>
      <c r="C126" s="92"/>
      <c r="D126" s="25"/>
      <c r="E126" s="104" t="s">
        <v>144</v>
      </c>
      <c r="F126" s="104"/>
      <c r="G126" s="25"/>
      <c r="H126" s="25"/>
      <c r="I126" s="1"/>
      <c r="J126" s="1"/>
      <c r="K126" s="350" t="s">
        <v>283</v>
      </c>
      <c r="L126" s="355"/>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row>
    <row r="127" spans="1:50">
      <c r="A127" s="1"/>
      <c r="B127" s="94" t="s">
        <v>126</v>
      </c>
      <c r="C127" s="92"/>
      <c r="D127" s="25"/>
      <c r="E127" s="1"/>
      <c r="F127" s="1"/>
      <c r="G127" s="25"/>
      <c r="H127" s="25"/>
      <c r="I127" s="1"/>
      <c r="J127" s="1"/>
      <c r="K127" s="356" t="s">
        <v>284</v>
      </c>
      <c r="L127" s="35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row>
    <row r="128" spans="1:50">
      <c r="A128" s="1"/>
      <c r="B128" s="94" t="s">
        <v>129</v>
      </c>
      <c r="C128" s="92"/>
      <c r="D128" s="25"/>
      <c r="E128" s="488" t="s">
        <v>145</v>
      </c>
      <c r="F128" s="489"/>
      <c r="G128" s="25"/>
      <c r="H128" s="25"/>
      <c r="I128" s="1"/>
      <c r="J128" s="1"/>
      <c r="K128" s="359" t="s">
        <v>290</v>
      </c>
      <c r="L128" s="357"/>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row>
    <row r="129" spans="1:50">
      <c r="A129" s="1"/>
      <c r="B129" s="94" t="s">
        <v>130</v>
      </c>
      <c r="C129" s="92"/>
      <c r="D129" s="25"/>
      <c r="E129" s="332" t="s">
        <v>117</v>
      </c>
      <c r="F129" s="336"/>
      <c r="G129" s="25"/>
      <c r="H129" s="25"/>
      <c r="I129" s="1"/>
      <c r="J129" s="1"/>
      <c r="K129" s="350" t="s">
        <v>268</v>
      </c>
      <c r="L129" s="355"/>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row>
    <row r="130" spans="1:50">
      <c r="A130" s="1"/>
      <c r="B130" s="94" t="s">
        <v>131</v>
      </c>
      <c r="C130" s="92"/>
      <c r="D130" s="25"/>
      <c r="E130" s="333" t="s">
        <v>146</v>
      </c>
      <c r="F130" s="336"/>
      <c r="G130" s="25"/>
      <c r="H130" s="25"/>
      <c r="I130" s="1"/>
      <c r="J130" s="1"/>
      <c r="K130" s="356" t="s">
        <v>278</v>
      </c>
      <c r="L130" s="355"/>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row>
    <row r="131" spans="1:50">
      <c r="A131" s="1"/>
      <c r="B131" s="99" t="s">
        <v>140</v>
      </c>
      <c r="C131" s="97"/>
      <c r="D131" s="25"/>
      <c r="E131" s="334" t="s">
        <v>118</v>
      </c>
      <c r="F131" s="336"/>
      <c r="G131" s="25"/>
      <c r="H131" s="25"/>
      <c r="I131" s="1"/>
      <c r="J131" s="1"/>
      <c r="K131" s="356" t="s">
        <v>279</v>
      </c>
      <c r="L131" s="35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row>
    <row r="132" spans="1:50">
      <c r="A132" s="1"/>
      <c r="B132" s="94" t="s">
        <v>97</v>
      </c>
      <c r="C132" s="92"/>
      <c r="D132" s="25"/>
      <c r="E132" s="334" t="s">
        <v>87</v>
      </c>
      <c r="F132" s="336"/>
      <c r="G132" s="25"/>
      <c r="H132" s="25"/>
      <c r="I132" s="1"/>
      <c r="J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row>
    <row r="133" spans="1:50">
      <c r="A133" s="1"/>
      <c r="B133" s="94" t="s">
        <v>126</v>
      </c>
      <c r="C133" s="92"/>
      <c r="D133" s="25"/>
      <c r="E133" s="334" t="s">
        <v>148</v>
      </c>
      <c r="F133" s="336"/>
      <c r="G133" s="25"/>
      <c r="H133" s="25"/>
      <c r="I133" s="1"/>
      <c r="J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row>
    <row r="134" spans="1:50">
      <c r="A134" s="1"/>
      <c r="B134" s="94" t="s">
        <v>132</v>
      </c>
      <c r="C134" s="92"/>
      <c r="D134" s="25"/>
      <c r="E134" s="334" t="s">
        <v>147</v>
      </c>
      <c r="F134" s="336"/>
      <c r="G134" s="25"/>
      <c r="H134" s="25"/>
      <c r="I134" s="1"/>
      <c r="J134" s="25"/>
      <c r="K134" s="25"/>
      <c r="L134" s="25"/>
      <c r="M134" s="25"/>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row>
    <row r="135" spans="1:50">
      <c r="A135" s="1"/>
      <c r="B135" s="99" t="s">
        <v>141</v>
      </c>
      <c r="C135" s="97"/>
      <c r="D135" s="25"/>
      <c r="E135" s="334" t="s">
        <v>149</v>
      </c>
      <c r="F135" s="336"/>
      <c r="G135" s="25"/>
      <c r="H135" s="25"/>
      <c r="I135" s="1"/>
      <c r="J135" s="25"/>
      <c r="K135" s="25"/>
      <c r="L135" s="25"/>
      <c r="M135" s="25"/>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row>
    <row r="136" spans="1:50">
      <c r="A136" s="1"/>
      <c r="B136" s="94" t="s">
        <v>128</v>
      </c>
      <c r="C136" s="92"/>
      <c r="D136" s="25"/>
      <c r="E136" s="335" t="s">
        <v>123</v>
      </c>
      <c r="F136" s="337"/>
      <c r="G136" s="25"/>
      <c r="H136" s="25"/>
      <c r="I136" s="1"/>
      <c r="J136" s="25"/>
      <c r="K136" s="25"/>
      <c r="L136" s="25"/>
      <c r="M136" s="25"/>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row>
    <row r="137" spans="1:50">
      <c r="A137" s="1"/>
      <c r="B137" s="94" t="s">
        <v>126</v>
      </c>
      <c r="C137" s="92"/>
      <c r="D137" s="25"/>
      <c r="E137" s="104" t="s">
        <v>151</v>
      </c>
      <c r="F137" s="104"/>
      <c r="G137" s="25"/>
      <c r="H137" s="25"/>
      <c r="I137" s="1"/>
      <c r="J137" s="25"/>
      <c r="K137" s="25"/>
      <c r="L137" s="25"/>
      <c r="M137" s="25"/>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row>
    <row r="138" spans="1:50">
      <c r="A138" s="1"/>
      <c r="B138" s="94" t="s">
        <v>133</v>
      </c>
      <c r="C138" s="92"/>
      <c r="D138" s="25"/>
      <c r="E138" s="25"/>
      <c r="F138" s="25"/>
      <c r="G138" s="25"/>
      <c r="H138" s="25"/>
      <c r="I138" s="1"/>
      <c r="J138" s="25"/>
      <c r="K138" s="25"/>
      <c r="L138" s="25"/>
      <c r="M138" s="25"/>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row>
    <row r="139" spans="1:50">
      <c r="A139" s="1"/>
      <c r="B139" s="94" t="s">
        <v>132</v>
      </c>
      <c r="C139" s="92"/>
      <c r="D139" s="25"/>
      <c r="E139" s="486" t="s">
        <v>250</v>
      </c>
      <c r="F139" s="487"/>
      <c r="G139" s="25"/>
      <c r="H139" s="25"/>
      <c r="I139" s="1"/>
      <c r="J139" s="25"/>
      <c r="K139" s="25"/>
      <c r="L139" s="25"/>
      <c r="M139" s="25"/>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row>
    <row r="140" spans="1:50">
      <c r="A140" s="1"/>
      <c r="B140" s="94" t="s">
        <v>134</v>
      </c>
      <c r="C140" s="92"/>
      <c r="D140" s="25"/>
      <c r="E140" s="105" t="s">
        <v>117</v>
      </c>
      <c r="F140" s="104"/>
      <c r="G140" s="25"/>
      <c r="H140" s="25"/>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row>
    <row r="141" spans="1:50">
      <c r="A141" s="1"/>
      <c r="B141" s="99" t="s">
        <v>142</v>
      </c>
      <c r="C141" s="98"/>
      <c r="D141" s="25"/>
      <c r="E141" s="104" t="s">
        <v>300</v>
      </c>
      <c r="F141" s="104"/>
      <c r="G141" s="25"/>
      <c r="H141" s="25"/>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row>
    <row r="142" spans="1:50">
      <c r="A142" s="1"/>
      <c r="B142" s="100" t="s">
        <v>97</v>
      </c>
      <c r="C142" s="101"/>
      <c r="D142" s="25"/>
      <c r="E142" s="104" t="s">
        <v>252</v>
      </c>
      <c r="F142" s="104"/>
      <c r="G142" s="25"/>
      <c r="H142" s="25"/>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row>
    <row r="143" spans="1:50">
      <c r="A143" s="1"/>
      <c r="B143" s="100" t="s">
        <v>126</v>
      </c>
      <c r="C143" s="101"/>
      <c r="D143" s="25"/>
      <c r="E143" s="104" t="s">
        <v>253</v>
      </c>
      <c r="F143" s="104"/>
      <c r="G143" s="25"/>
      <c r="H143" s="25"/>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row>
    <row r="144" spans="1:50">
      <c r="A144" s="1"/>
      <c r="B144" s="100" t="s">
        <v>131</v>
      </c>
      <c r="C144" s="101"/>
      <c r="D144" s="25"/>
      <c r="E144" s="104" t="s">
        <v>238</v>
      </c>
      <c r="F144" s="104"/>
      <c r="G144" s="25"/>
      <c r="H144" s="25"/>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row>
    <row r="145" spans="1:50">
      <c r="A145" s="1"/>
      <c r="B145" s="102" t="s">
        <v>117</v>
      </c>
      <c r="C145" s="103"/>
      <c r="D145" s="25"/>
      <c r="E145" s="104" t="s">
        <v>282</v>
      </c>
      <c r="F145" s="104"/>
      <c r="G145" s="25"/>
      <c r="H145" s="25"/>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row>
    <row r="146" spans="1:50">
      <c r="A146" s="1"/>
      <c r="B146" s="1"/>
      <c r="C146" s="25"/>
      <c r="D146" s="25"/>
      <c r="E146" s="25"/>
      <c r="F146" s="25"/>
      <c r="G146" s="25"/>
      <c r="H146" s="25"/>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row>
    <row r="147" spans="1:50">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row>
    <row r="148" spans="1:50">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row>
    <row r="149" spans="1:50">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row>
    <row r="150" spans="1:50">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row>
    <row r="151" spans="1:50">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row>
    <row r="152" spans="1:50">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row>
    <row r="153" spans="1:50">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row>
    <row r="154" spans="1:50">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row>
    <row r="155" spans="1:50">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row>
    <row r="156" spans="1:50">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row>
    <row r="157" spans="1:50">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row>
    <row r="158" spans="1:50">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row>
    <row r="159" spans="1:50">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row>
    <row r="160" spans="1:50">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row>
    <row r="161" spans="1:50">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row>
    <row r="162" spans="1:50">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row>
    <row r="163" spans="1:50">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row>
    <row r="164" spans="1:50">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row>
    <row r="165" spans="1:50">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row>
    <row r="166" spans="1:50">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row>
    <row r="167" spans="1:50">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row>
    <row r="168" spans="1:50">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row>
    <row r="169" spans="1:50">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row>
    <row r="170" spans="1:50">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row>
    <row r="171" spans="1:50">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row>
    <row r="172" spans="1:50">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row>
    <row r="173" spans="1:50">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row>
    <row r="174" spans="1:50">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row>
    <row r="175" spans="1:50">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row>
    <row r="176" spans="1:50">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row>
    <row r="177" spans="1:50">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row>
    <row r="178" spans="1:50">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row>
    <row r="179" spans="1:50">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row>
    <row r="180" spans="1:50">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row>
    <row r="181" spans="1:50">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row>
    <row r="182" spans="1:50">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row>
    <row r="183" spans="1:50">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row>
    <row r="184" spans="1:50">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row>
    <row r="185" spans="1:50">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row>
    <row r="186" spans="1:50">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row>
    <row r="187" spans="1:50">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row>
    <row r="188" spans="1:50">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row>
    <row r="189" spans="1:50">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row>
    <row r="190" spans="1:50">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row>
    <row r="191" spans="1:50">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row>
    <row r="192" spans="1:50">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row>
    <row r="193" spans="1:50">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row>
    <row r="194" spans="1:50">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row>
    <row r="195" spans="1:50">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row>
    <row r="196" spans="1:50">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row>
    <row r="197" spans="1:50">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row>
    <row r="198" spans="1:50">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row>
    <row r="199" spans="1:50">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row>
    <row r="200" spans="1:50">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row>
    <row r="201" spans="1:50">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row>
    <row r="202" spans="1:50">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row>
    <row r="203" spans="1:50">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row>
    <row r="204" spans="1:50">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row>
    <row r="205" spans="1:50">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row>
    <row r="206" spans="1:50">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row>
    <row r="207" spans="1:50">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row>
    <row r="208" spans="1:50">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row>
    <row r="209" spans="1:50">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row>
    <row r="210" spans="1:50">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row>
    <row r="211" spans="1:50">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row>
    <row r="212" spans="1:50">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row>
    <row r="213" spans="1:50">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row>
    <row r="214" spans="1:50">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row>
    <row r="215" spans="1:50">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row>
    <row r="216" spans="1:50">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row>
    <row r="217" spans="1:50">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row>
    <row r="218" spans="1:50">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row>
    <row r="219" spans="1:50">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row>
    <row r="220" spans="1:50">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row>
    <row r="221" spans="1:50">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row>
    <row r="222" spans="1:50">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row>
    <row r="223" spans="1:50">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row>
    <row r="224" spans="1:50">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row>
    <row r="225" spans="1:50">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row>
    <row r="226" spans="1:50">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row>
    <row r="227" spans="1:50">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row>
    <row r="228" spans="1:50">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row>
    <row r="229" spans="1:50">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row>
    <row r="230" spans="1:50">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row>
    <row r="231" spans="1:50">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row>
    <row r="232" spans="1:50">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row>
    <row r="233" spans="1:50">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row>
    <row r="234" spans="1:50">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row>
    <row r="235" spans="1:50">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row>
    <row r="236" spans="1:50">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row>
    <row r="237" spans="1:50">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row>
    <row r="238" spans="1:50">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row>
    <row r="239" spans="1:50">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row>
    <row r="240" spans="1:50">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row>
    <row r="241" spans="1:50">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row>
    <row r="242" spans="1:50">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row>
    <row r="243" spans="1:50">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row>
    <row r="244" spans="1:50">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row>
    <row r="245" spans="1:50">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row>
    <row r="246" spans="1:50">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row>
    <row r="247" spans="1:50">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row>
    <row r="248" spans="1:50">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row>
    <row r="249" spans="1:50">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row>
    <row r="250" spans="1:50">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row>
    <row r="251" spans="1:50">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row>
    <row r="252" spans="1:50">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row>
    <row r="253" spans="1:50">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row>
    <row r="254" spans="1:50">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row>
    <row r="255" spans="1:50">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row>
    <row r="256" spans="1:50">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row>
    <row r="257" spans="1:50">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row>
    <row r="258" spans="1:50">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row>
    <row r="259" spans="1:50">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row>
    <row r="260" spans="1:50">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row>
    <row r="261" spans="1:50">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row>
    <row r="262" spans="1:50">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row>
    <row r="263" spans="1:50">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row>
    <row r="264" spans="1:50">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row>
    <row r="265" spans="1:50">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row>
    <row r="266" spans="1:50">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row>
    <row r="267" spans="1:50">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row>
    <row r="268" spans="1:50">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row>
    <row r="269" spans="1:50">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row>
    <row r="270" spans="1:50">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row>
  </sheetData>
  <sheetProtection algorithmName="SHA-512" hashValue="PoQDkObngOQTrNDaEmvzIBWXbMTDFD5Z8fUpsWC8fSLfLsqf6KkPf9eytaWyOhaq+KGjrjaKsdYP5YOphiuInw==" saltValue="VhlwF1BT6bYh0+Qczx9kRA==" spinCount="100000" sheet="1" objects="1" scenarios="1"/>
  <mergeCells count="21">
    <mergeCell ref="E139:F139"/>
    <mergeCell ref="H110:I110"/>
    <mergeCell ref="B109:I109"/>
    <mergeCell ref="B119:I119"/>
    <mergeCell ref="H121:I121"/>
    <mergeCell ref="B110:C110"/>
    <mergeCell ref="D110:E110"/>
    <mergeCell ref="F110:G110"/>
    <mergeCell ref="C51:J51"/>
    <mergeCell ref="A27:W29"/>
    <mergeCell ref="A71:W73"/>
    <mergeCell ref="A1:W3"/>
    <mergeCell ref="K50:L50"/>
    <mergeCell ref="M50:O50"/>
    <mergeCell ref="A105:W107"/>
    <mergeCell ref="B121:C121"/>
    <mergeCell ref="E121:F121"/>
    <mergeCell ref="E128:F128"/>
    <mergeCell ref="C118:H118"/>
    <mergeCell ref="K110:L110"/>
    <mergeCell ref="K109:L109"/>
  </mergeCells>
  <pageMargins left="0.7" right="0.7" top="0.75" bottom="0.75" header="0.3" footer="0.3"/>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C2A38F4-760E-46D2-B3EB-6A637F313C1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 Summary</vt:lpstr>
      <vt:lpstr>Test Summary</vt:lpstr>
      <vt:lpstr>Traceability  Matrix</vt:lpstr>
      <vt:lpstr>Scripts and Execution</vt:lpstr>
      <vt:lpstr>Defect Log</vt:lpstr>
      <vt:lpstr>QA References</vt:lpstr>
    </vt:vector>
  </TitlesOfParts>
  <Company>National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Dayal</dc:creator>
  <cp:lastModifiedBy>Reynald Perez</cp:lastModifiedBy>
  <dcterms:created xsi:type="dcterms:W3CDTF">2014-08-11T16:24:15Z</dcterms:created>
  <dcterms:modified xsi:type="dcterms:W3CDTF">2016-12-15T08:40:51Z</dcterms:modified>
</cp:coreProperties>
</file>